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ipTime Cloud\Hana Data Research\RawData\"/>
    </mc:Choice>
  </mc:AlternateContent>
  <xr:revisionPtr revIDLastSave="0" documentId="13_ncr:1_{6E615AD4-26DD-4AC7-8B96-5408509D4B89}" xr6:coauthVersionLast="47" xr6:coauthVersionMax="47" xr10:uidLastSave="{00000000-0000-0000-0000-000000000000}"/>
  <bookViews>
    <workbookView xWindow="19200" yWindow="0" windowWidth="19200" windowHeight="15600" xr2:uid="{00000000-000D-0000-FFFF-FFFF00000000}"/>
  </bookViews>
  <sheets>
    <sheet name="GRM별_지점코드" sheetId="15" r:id="rId1"/>
    <sheet name="상품Data" sheetId="16" r:id="rId2"/>
    <sheet name="백업1 (2)" sheetId="8" state="hidden" r:id="rId3"/>
  </sheets>
  <definedNames>
    <definedName name="_xlnm._FilterDatabase" localSheetId="2" hidden="1">'백업1 (2)'!$A$6:$AM$269</definedName>
  </definedNames>
  <calcPr calcId="191029"/>
</workbook>
</file>

<file path=xl/calcChain.xml><?xml version="1.0" encoding="utf-8"?>
<calcChain xmlns="http://schemas.openxmlformats.org/spreadsheetml/2006/main">
  <c r="AM270" i="8" l="1"/>
  <c r="AL270" i="8"/>
  <c r="AK270" i="8"/>
  <c r="AJ270" i="8"/>
  <c r="AI270" i="8"/>
  <c r="AH270" i="8"/>
  <c r="AG270" i="8"/>
  <c r="AF270" i="8"/>
  <c r="AE270" i="8"/>
  <c r="AD270" i="8"/>
  <c r="AC270" i="8"/>
  <c r="AB270" i="8"/>
  <c r="AA270" i="8"/>
  <c r="Z270" i="8"/>
  <c r="Y270" i="8"/>
  <c r="X270" i="8"/>
  <c r="W270" i="8"/>
  <c r="V270" i="8"/>
  <c r="U270" i="8"/>
  <c r="T270" i="8"/>
  <c r="S270" i="8"/>
  <c r="R270" i="8"/>
  <c r="Q270" i="8"/>
  <c r="P270" i="8"/>
  <c r="O270" i="8"/>
  <c r="N270" i="8"/>
  <c r="M270" i="8"/>
  <c r="K270" i="8"/>
  <c r="J270" i="8"/>
  <c r="I270" i="8"/>
  <c r="H270" i="8"/>
  <c r="G270" i="8"/>
  <c r="F270" i="8"/>
  <c r="AI269" i="8"/>
  <c r="AD269" i="8"/>
  <c r="AA269" i="8"/>
  <c r="V269" i="8"/>
  <c r="Q269" i="8"/>
  <c r="L269" i="8"/>
  <c r="G269" i="8"/>
  <c r="AI268" i="8"/>
  <c r="AD268" i="8"/>
  <c r="AA268" i="8"/>
  <c r="V268" i="8"/>
  <c r="Q268" i="8"/>
  <c r="L268" i="8"/>
  <c r="G268" i="8"/>
  <c r="AI267" i="8"/>
  <c r="AD267" i="8"/>
  <c r="L267" i="8" s="1"/>
  <c r="AA267" i="8"/>
  <c r="V267" i="8"/>
  <c r="Q267" i="8"/>
  <c r="G267" i="8"/>
  <c r="AI266" i="8"/>
  <c r="AD266" i="8"/>
  <c r="AA266" i="8"/>
  <c r="V266" i="8"/>
  <c r="Q266" i="8"/>
  <c r="L266" i="8"/>
  <c r="G266" i="8"/>
  <c r="AI265" i="8"/>
  <c r="AD265" i="8"/>
  <c r="AA265" i="8"/>
  <c r="V265" i="8"/>
  <c r="L265" i="8" s="1"/>
  <c r="Q265" i="8"/>
  <c r="G265" i="8"/>
  <c r="AI264" i="8"/>
  <c r="AD264" i="8"/>
  <c r="AA264" i="8"/>
  <c r="V264" i="8"/>
  <c r="Q264" i="8"/>
  <c r="L264" i="8"/>
  <c r="G264" i="8"/>
  <c r="AI263" i="8"/>
  <c r="AD263" i="8"/>
  <c r="AA263" i="8"/>
  <c r="V263" i="8"/>
  <c r="Q263" i="8"/>
  <c r="L263" i="8"/>
  <c r="G263" i="8"/>
  <c r="AI262" i="8"/>
  <c r="AD262" i="8"/>
  <c r="AA262" i="8"/>
  <c r="V262" i="8"/>
  <c r="Q262" i="8"/>
  <c r="L262" i="8"/>
  <c r="G262" i="8"/>
  <c r="AI261" i="8"/>
  <c r="AD261" i="8"/>
  <c r="AA261" i="8"/>
  <c r="V261" i="8"/>
  <c r="Q261" i="8"/>
  <c r="L261" i="8"/>
  <c r="G261" i="8"/>
  <c r="AI260" i="8"/>
  <c r="L260" i="8" s="1"/>
  <c r="AD260" i="8"/>
  <c r="AA260" i="8"/>
  <c r="V260" i="8"/>
  <c r="Q260" i="8"/>
  <c r="G260" i="8"/>
  <c r="AI259" i="8"/>
  <c r="AD259" i="8"/>
  <c r="AA259" i="8"/>
  <c r="V259" i="8"/>
  <c r="Q259" i="8"/>
  <c r="L259" i="8"/>
  <c r="G259" i="8"/>
  <c r="AI258" i="8"/>
  <c r="AD258" i="8"/>
  <c r="AA258" i="8"/>
  <c r="V258" i="8"/>
  <c r="Q258" i="8"/>
  <c r="L258" i="8" s="1"/>
  <c r="G258" i="8"/>
  <c r="AI257" i="8"/>
  <c r="AD257" i="8"/>
  <c r="AA257" i="8"/>
  <c r="V257" i="8"/>
  <c r="Q257" i="8"/>
  <c r="L257" i="8"/>
  <c r="G257" i="8"/>
  <c r="AI256" i="8"/>
  <c r="AD256" i="8"/>
  <c r="AA256" i="8"/>
  <c r="V256" i="8"/>
  <c r="Q256" i="8"/>
  <c r="L256" i="8" s="1"/>
  <c r="G256" i="8"/>
  <c r="AI255" i="8"/>
  <c r="AD255" i="8"/>
  <c r="AA255" i="8"/>
  <c r="V255" i="8"/>
  <c r="Q255" i="8"/>
  <c r="L255" i="8"/>
  <c r="G255" i="8"/>
  <c r="AI254" i="8"/>
  <c r="AD254" i="8"/>
  <c r="AA254" i="8"/>
  <c r="V254" i="8"/>
  <c r="Q254" i="8"/>
  <c r="L254" i="8"/>
  <c r="G254" i="8"/>
  <c r="AI253" i="8"/>
  <c r="AD253" i="8"/>
  <c r="AA253" i="8"/>
  <c r="V253" i="8"/>
  <c r="Q253" i="8"/>
  <c r="L253" i="8"/>
  <c r="G253" i="8"/>
  <c r="AI252" i="8"/>
  <c r="AD252" i="8"/>
  <c r="AA252" i="8"/>
  <c r="V252" i="8"/>
  <c r="Q252" i="8"/>
  <c r="L252" i="8"/>
  <c r="G252" i="8"/>
  <c r="AI251" i="8"/>
  <c r="AD251" i="8"/>
  <c r="L251" i="8" s="1"/>
  <c r="AA251" i="8"/>
  <c r="V251" i="8"/>
  <c r="Q251" i="8"/>
  <c r="G251" i="8"/>
  <c r="AI250" i="8"/>
  <c r="AD250" i="8"/>
  <c r="AA250" i="8"/>
  <c r="V250" i="8"/>
  <c r="Q250" i="8"/>
  <c r="L250" i="8"/>
  <c r="G250" i="8"/>
  <c r="AI249" i="8"/>
  <c r="AD249" i="8"/>
  <c r="AA249" i="8"/>
  <c r="V249" i="8"/>
  <c r="L249" i="8" s="1"/>
  <c r="Q249" i="8"/>
  <c r="G249" i="8"/>
  <c r="AI248" i="8"/>
  <c r="AD248" i="8"/>
  <c r="AA248" i="8"/>
  <c r="V248" i="8"/>
  <c r="Q248" i="8"/>
  <c r="L248" i="8"/>
  <c r="G248" i="8"/>
  <c r="AI247" i="8"/>
  <c r="AD247" i="8"/>
  <c r="AA247" i="8"/>
  <c r="V247" i="8"/>
  <c r="Q247" i="8"/>
  <c r="L247" i="8"/>
  <c r="G247" i="8"/>
  <c r="AI246" i="8"/>
  <c r="AD246" i="8"/>
  <c r="AA246" i="8"/>
  <c r="V246" i="8"/>
  <c r="Q246" i="8"/>
  <c r="L246" i="8"/>
  <c r="G246" i="8"/>
  <c r="AI245" i="8"/>
  <c r="AD245" i="8"/>
  <c r="AA245" i="8"/>
  <c r="V245" i="8"/>
  <c r="Q245" i="8"/>
  <c r="L245" i="8"/>
  <c r="G245" i="8"/>
  <c r="AI244" i="8"/>
  <c r="L244" i="8" s="1"/>
  <c r="AD244" i="8"/>
  <c r="AA244" i="8"/>
  <c r="V244" i="8"/>
  <c r="Q244" i="8"/>
  <c r="G244" i="8"/>
  <c r="AI243" i="8"/>
  <c r="AD243" i="8"/>
  <c r="AA243" i="8"/>
  <c r="V243" i="8"/>
  <c r="Q243" i="8"/>
  <c r="L243" i="8"/>
  <c r="G243" i="8"/>
  <c r="AI242" i="8"/>
  <c r="AD242" i="8"/>
  <c r="AA242" i="8"/>
  <c r="V242" i="8"/>
  <c r="Q242" i="8"/>
  <c r="L242" i="8" s="1"/>
  <c r="G242" i="8"/>
  <c r="AI241" i="8"/>
  <c r="AD241" i="8"/>
  <c r="AA241" i="8"/>
  <c r="V241" i="8"/>
  <c r="Q241" i="8"/>
  <c r="L241" i="8"/>
  <c r="G241" i="8"/>
  <c r="AI240" i="8"/>
  <c r="AD240" i="8"/>
  <c r="AA240" i="8"/>
  <c r="V240" i="8"/>
  <c r="Q240" i="8"/>
  <c r="L240" i="8" s="1"/>
  <c r="G240" i="8"/>
  <c r="AI239" i="8"/>
  <c r="AD239" i="8"/>
  <c r="AA239" i="8"/>
  <c r="V239" i="8"/>
  <c r="Q239" i="8"/>
  <c r="L239" i="8"/>
  <c r="G239" i="8"/>
  <c r="AI238" i="8"/>
  <c r="AD238" i="8"/>
  <c r="AA238" i="8"/>
  <c r="V238" i="8"/>
  <c r="Q238" i="8"/>
  <c r="L238" i="8"/>
  <c r="G238" i="8"/>
  <c r="AI237" i="8"/>
  <c r="AD237" i="8"/>
  <c r="AA237" i="8"/>
  <c r="V237" i="8"/>
  <c r="Q237" i="8"/>
  <c r="L237" i="8"/>
  <c r="G237" i="8"/>
  <c r="AI236" i="8"/>
  <c r="AD236" i="8"/>
  <c r="AA236" i="8"/>
  <c r="V236" i="8"/>
  <c r="Q236" i="8"/>
  <c r="L236" i="8" s="1"/>
  <c r="G236" i="8"/>
  <c r="AI235" i="8"/>
  <c r="AD235" i="8"/>
  <c r="L235" i="8" s="1"/>
  <c r="AA235" i="8"/>
  <c r="V235" i="8"/>
  <c r="Q235" i="8"/>
  <c r="G235" i="8"/>
  <c r="AI234" i="8"/>
  <c r="AD234" i="8"/>
  <c r="AA234" i="8"/>
  <c r="V234" i="8"/>
  <c r="Q234" i="8"/>
  <c r="L234" i="8"/>
  <c r="G234" i="8"/>
  <c r="AI233" i="8"/>
  <c r="AD233" i="8"/>
  <c r="AA233" i="8"/>
  <c r="V233" i="8"/>
  <c r="L233" i="8" s="1"/>
  <c r="Q233" i="8"/>
  <c r="G233" i="8"/>
  <c r="AI232" i="8"/>
  <c r="AD232" i="8"/>
  <c r="AA232" i="8"/>
  <c r="V232" i="8"/>
  <c r="Q232" i="8"/>
  <c r="L232" i="8"/>
  <c r="G232" i="8"/>
  <c r="AI231" i="8"/>
  <c r="AD231" i="8"/>
  <c r="L231" i="8" s="1"/>
  <c r="AA231" i="8"/>
  <c r="V231" i="8"/>
  <c r="Q231" i="8"/>
  <c r="G231" i="8"/>
  <c r="AI230" i="8"/>
  <c r="AD230" i="8"/>
  <c r="AA230" i="8"/>
  <c r="V230" i="8"/>
  <c r="Q230" i="8"/>
  <c r="L230" i="8"/>
  <c r="G230" i="8"/>
  <c r="AI229" i="8"/>
  <c r="AD229" i="8"/>
  <c r="AA229" i="8"/>
  <c r="V229" i="8"/>
  <c r="L229" i="8" s="1"/>
  <c r="Q229" i="8"/>
  <c r="G229" i="8"/>
  <c r="AI228" i="8"/>
  <c r="L228" i="8" s="1"/>
  <c r="AD228" i="8"/>
  <c r="AA228" i="8"/>
  <c r="V228" i="8"/>
  <c r="Q228" i="8"/>
  <c r="G228" i="8"/>
  <c r="AI227" i="8"/>
  <c r="AD227" i="8"/>
  <c r="AA227" i="8"/>
  <c r="V227" i="8"/>
  <c r="Q227" i="8"/>
  <c r="L227" i="8"/>
  <c r="G227" i="8"/>
  <c r="AI226" i="8"/>
  <c r="AD226" i="8"/>
  <c r="AA226" i="8"/>
  <c r="V226" i="8"/>
  <c r="Q226" i="8"/>
  <c r="L226" i="8" s="1"/>
  <c r="G226" i="8"/>
  <c r="AI225" i="8"/>
  <c r="AD225" i="8"/>
  <c r="AA225" i="8"/>
  <c r="V225" i="8"/>
  <c r="Q225" i="8"/>
  <c r="L225" i="8"/>
  <c r="G225" i="8"/>
  <c r="AI224" i="8"/>
  <c r="AD224" i="8"/>
  <c r="AA224" i="8"/>
  <c r="V224" i="8"/>
  <c r="Q224" i="8"/>
  <c r="G224" i="8"/>
  <c r="AI223" i="8"/>
  <c r="AD223" i="8"/>
  <c r="AA223" i="8"/>
  <c r="V223" i="8"/>
  <c r="Q223" i="8"/>
  <c r="L223" i="8"/>
  <c r="G223" i="8"/>
  <c r="AI222" i="8"/>
  <c r="AD222" i="8"/>
  <c r="AA222" i="8"/>
  <c r="V222" i="8"/>
  <c r="Q222" i="8"/>
  <c r="L222" i="8"/>
  <c r="G222" i="8"/>
  <c r="AI221" i="8"/>
  <c r="AD221" i="8"/>
  <c r="AA221" i="8"/>
  <c r="V221" i="8"/>
  <c r="Q221" i="8"/>
  <c r="L221" i="8"/>
  <c r="G221" i="8"/>
  <c r="AI220" i="8"/>
  <c r="AD220" i="8"/>
  <c r="AA220" i="8"/>
  <c r="V220" i="8"/>
  <c r="Q220" i="8"/>
  <c r="L220" i="8"/>
  <c r="G220" i="8"/>
  <c r="AI219" i="8"/>
  <c r="AD219" i="8"/>
  <c r="AA219" i="8"/>
  <c r="V219" i="8"/>
  <c r="Q219" i="8"/>
  <c r="G219" i="8"/>
  <c r="AI218" i="8"/>
  <c r="AD218" i="8"/>
  <c r="AA218" i="8"/>
  <c r="V218" i="8"/>
  <c r="Q218" i="8"/>
  <c r="L218" i="8"/>
  <c r="G218" i="8"/>
  <c r="AI217" i="8"/>
  <c r="AD217" i="8"/>
  <c r="AA217" i="8"/>
  <c r="V217" i="8"/>
  <c r="L217" i="8" s="1"/>
  <c r="Q217" i="8"/>
  <c r="G217" i="8"/>
  <c r="AI216" i="8"/>
  <c r="AD216" i="8"/>
  <c r="AA216" i="8"/>
  <c r="V216" i="8"/>
  <c r="Q216" i="8"/>
  <c r="L216" i="8"/>
  <c r="G216" i="8"/>
  <c r="AI215" i="8"/>
  <c r="AD215" i="8"/>
  <c r="AA215" i="8"/>
  <c r="V215" i="8"/>
  <c r="Q215" i="8"/>
  <c r="L215" i="8"/>
  <c r="G215" i="8"/>
  <c r="AI214" i="8"/>
  <c r="AD214" i="8"/>
  <c r="AA214" i="8"/>
  <c r="V214" i="8"/>
  <c r="Q214" i="8"/>
  <c r="L214" i="8"/>
  <c r="G214" i="8"/>
  <c r="AI213" i="8"/>
  <c r="AD213" i="8"/>
  <c r="AA213" i="8"/>
  <c r="V213" i="8"/>
  <c r="Q213" i="8"/>
  <c r="L213" i="8"/>
  <c r="G213" i="8"/>
  <c r="AI212" i="8"/>
  <c r="L212" i="8" s="1"/>
  <c r="AD212" i="8"/>
  <c r="AA212" i="8"/>
  <c r="V212" i="8"/>
  <c r="Q212" i="8"/>
  <c r="G212" i="8"/>
  <c r="AI211" i="8"/>
  <c r="AD211" i="8"/>
  <c r="AA211" i="8"/>
  <c r="V211" i="8"/>
  <c r="Q211" i="8"/>
  <c r="L211" i="8"/>
  <c r="G211" i="8"/>
  <c r="AI210" i="8"/>
  <c r="AD210" i="8"/>
  <c r="AA210" i="8"/>
  <c r="V210" i="8"/>
  <c r="Q210" i="8"/>
  <c r="L210" i="8" s="1"/>
  <c r="G210" i="8"/>
  <c r="AI209" i="8"/>
  <c r="AD209" i="8"/>
  <c r="AA209" i="8"/>
  <c r="V209" i="8"/>
  <c r="Q209" i="8"/>
  <c r="L209" i="8"/>
  <c r="G209" i="8"/>
  <c r="AI208" i="8"/>
  <c r="AD208" i="8"/>
  <c r="AA208" i="8"/>
  <c r="V208" i="8"/>
  <c r="Q208" i="8"/>
  <c r="L208" i="8" s="1"/>
  <c r="G208" i="8"/>
  <c r="AI207" i="8"/>
  <c r="AD207" i="8"/>
  <c r="AA207" i="8"/>
  <c r="V207" i="8"/>
  <c r="Q207" i="8"/>
  <c r="L207" i="8"/>
  <c r="G207" i="8"/>
  <c r="AI206" i="8"/>
  <c r="AD206" i="8"/>
  <c r="AA206" i="8"/>
  <c r="V206" i="8"/>
  <c r="Q206" i="8"/>
  <c r="L206" i="8"/>
  <c r="G206" i="8"/>
  <c r="AI205" i="8"/>
  <c r="AD205" i="8"/>
  <c r="AA205" i="8"/>
  <c r="V205" i="8"/>
  <c r="Q205" i="8"/>
  <c r="L205" i="8"/>
  <c r="G205" i="8"/>
  <c r="AI204" i="8"/>
  <c r="AD204" i="8"/>
  <c r="AA204" i="8"/>
  <c r="V204" i="8"/>
  <c r="Q204" i="8"/>
  <c r="L204" i="8"/>
  <c r="G204" i="8"/>
  <c r="AI203" i="8"/>
  <c r="AD203" i="8"/>
  <c r="L203" i="8" s="1"/>
  <c r="AA203" i="8"/>
  <c r="V203" i="8"/>
  <c r="Q203" i="8"/>
  <c r="G203" i="8"/>
  <c r="AI202" i="8"/>
  <c r="AD202" i="8"/>
  <c r="AA202" i="8"/>
  <c r="V202" i="8"/>
  <c r="Q202" i="8"/>
  <c r="L202" i="8"/>
  <c r="G202" i="8"/>
  <c r="AI201" i="8"/>
  <c r="AD201" i="8"/>
  <c r="AA201" i="8"/>
  <c r="V201" i="8"/>
  <c r="L201" i="8" s="1"/>
  <c r="Q201" i="8"/>
  <c r="G201" i="8"/>
  <c r="AI200" i="8"/>
  <c r="AD200" i="8"/>
  <c r="AA200" i="8"/>
  <c r="V200" i="8"/>
  <c r="Q200" i="8"/>
  <c r="L200" i="8"/>
  <c r="G200" i="8"/>
  <c r="AI199" i="8"/>
  <c r="AD199" i="8"/>
  <c r="AA199" i="8"/>
  <c r="V199" i="8"/>
  <c r="Q199" i="8"/>
  <c r="L199" i="8"/>
  <c r="G199" i="8"/>
  <c r="AI198" i="8"/>
  <c r="AD198" i="8"/>
  <c r="AA198" i="8"/>
  <c r="V198" i="8"/>
  <c r="Q198" i="8"/>
  <c r="L198" i="8"/>
  <c r="G198" i="8"/>
  <c r="AI197" i="8"/>
  <c r="AD197" i="8"/>
  <c r="AA197" i="8"/>
  <c r="V197" i="8"/>
  <c r="Q197" i="8"/>
  <c r="L197" i="8"/>
  <c r="G197" i="8"/>
  <c r="AI196" i="8"/>
  <c r="L196" i="8" s="1"/>
  <c r="AD196" i="8"/>
  <c r="AA196" i="8"/>
  <c r="V196" i="8"/>
  <c r="Q196" i="8"/>
  <c r="G196" i="8"/>
  <c r="AI195" i="8"/>
  <c r="AD195" i="8"/>
  <c r="AA195" i="8"/>
  <c r="V195" i="8"/>
  <c r="Q195" i="8"/>
  <c r="L195" i="8"/>
  <c r="G195" i="8"/>
  <c r="AI194" i="8"/>
  <c r="AD194" i="8"/>
  <c r="AA194" i="8"/>
  <c r="V194" i="8"/>
  <c r="Q194" i="8"/>
  <c r="L194" i="8" s="1"/>
  <c r="G194" i="8"/>
  <c r="AI193" i="8"/>
  <c r="AD193" i="8"/>
  <c r="AA193" i="8"/>
  <c r="V193" i="8"/>
  <c r="Q193" i="8"/>
  <c r="L193" i="8"/>
  <c r="G193" i="8"/>
  <c r="AI192" i="8"/>
  <c r="AD192" i="8"/>
  <c r="AA192" i="8"/>
  <c r="V192" i="8"/>
  <c r="Q192" i="8"/>
  <c r="L192" i="8" s="1"/>
  <c r="G192" i="8"/>
  <c r="AI191" i="8"/>
  <c r="AD191" i="8"/>
  <c r="AA191" i="8"/>
  <c r="V191" i="8"/>
  <c r="Q191" i="8"/>
  <c r="L191" i="8"/>
  <c r="G191" i="8"/>
  <c r="AI190" i="8"/>
  <c r="AD190" i="8"/>
  <c r="AA190" i="8"/>
  <c r="V190" i="8"/>
  <c r="Q190" i="8"/>
  <c r="L190" i="8"/>
  <c r="G190" i="8"/>
  <c r="AI189" i="8"/>
  <c r="AD189" i="8"/>
  <c r="AA189" i="8"/>
  <c r="V189" i="8"/>
  <c r="Q189" i="8"/>
  <c r="L189" i="8"/>
  <c r="G189" i="8"/>
  <c r="AI188" i="8"/>
  <c r="AD188" i="8"/>
  <c r="AA188" i="8"/>
  <c r="V188" i="8"/>
  <c r="Q188" i="8"/>
  <c r="L188" i="8"/>
  <c r="G188" i="8"/>
  <c r="AI187" i="8"/>
  <c r="AD187" i="8"/>
  <c r="L187" i="8" s="1"/>
  <c r="AA187" i="8"/>
  <c r="V187" i="8"/>
  <c r="Q187" i="8"/>
  <c r="G187" i="8"/>
  <c r="AI186" i="8"/>
  <c r="AD186" i="8"/>
  <c r="AA186" i="8"/>
  <c r="V186" i="8"/>
  <c r="Q186" i="8"/>
  <c r="L186" i="8"/>
  <c r="G186" i="8"/>
  <c r="AI185" i="8"/>
  <c r="AD185" i="8"/>
  <c r="AA185" i="8"/>
  <c r="V185" i="8"/>
  <c r="L185" i="8" s="1"/>
  <c r="Q185" i="8"/>
  <c r="G185" i="8"/>
  <c r="AI184" i="8"/>
  <c r="AD184" i="8"/>
  <c r="AA184" i="8"/>
  <c r="V184" i="8"/>
  <c r="Q184" i="8"/>
  <c r="L184" i="8"/>
  <c r="G184" i="8"/>
  <c r="AI183" i="8"/>
  <c r="L183" i="8" s="1"/>
  <c r="AD183" i="8"/>
  <c r="AA183" i="8"/>
  <c r="V183" i="8"/>
  <c r="Q183" i="8"/>
  <c r="G183" i="8"/>
  <c r="AI182" i="8"/>
  <c r="AD182" i="8"/>
  <c r="AA182" i="8"/>
  <c r="V182" i="8"/>
  <c r="Q182" i="8"/>
  <c r="L182" i="8"/>
  <c r="G182" i="8"/>
  <c r="AI181" i="8"/>
  <c r="AD181" i="8"/>
  <c r="AA181" i="8"/>
  <c r="V181" i="8"/>
  <c r="Q181" i="8"/>
  <c r="L181" i="8" s="1"/>
  <c r="G181" i="8"/>
  <c r="AI180" i="8"/>
  <c r="L180" i="8" s="1"/>
  <c r="AD180" i="8"/>
  <c r="AA180" i="8"/>
  <c r="V180" i="8"/>
  <c r="Q180" i="8"/>
  <c r="G180" i="8"/>
  <c r="AI179" i="8"/>
  <c r="AD179" i="8"/>
  <c r="AA179" i="8"/>
  <c r="V179" i="8"/>
  <c r="Q179" i="8"/>
  <c r="L179" i="8"/>
  <c r="G179" i="8"/>
  <c r="AI178" i="8"/>
  <c r="AD178" i="8"/>
  <c r="AA178" i="8"/>
  <c r="V178" i="8"/>
  <c r="Q178" i="8"/>
  <c r="L178" i="8" s="1"/>
  <c r="G178" i="8"/>
  <c r="AI177" i="8"/>
  <c r="AD177" i="8"/>
  <c r="AA177" i="8"/>
  <c r="V177" i="8"/>
  <c r="Q177" i="8"/>
  <c r="L177" i="8"/>
  <c r="G177" i="8"/>
  <c r="AI176" i="8"/>
  <c r="AD176" i="8"/>
  <c r="AA176" i="8"/>
  <c r="V176" i="8"/>
  <c r="Q176" i="8"/>
  <c r="G176" i="8"/>
  <c r="AI175" i="8"/>
  <c r="AD175" i="8"/>
  <c r="AA175" i="8"/>
  <c r="V175" i="8"/>
  <c r="Q175" i="8"/>
  <c r="L175" i="8"/>
  <c r="G175" i="8"/>
  <c r="AI174" i="8"/>
  <c r="AD174" i="8"/>
  <c r="AA174" i="8"/>
  <c r="V174" i="8"/>
  <c r="Q174" i="8"/>
  <c r="L174" i="8" s="1"/>
  <c r="G174" i="8"/>
  <c r="AI173" i="8"/>
  <c r="AD173" i="8"/>
  <c r="AA173" i="8"/>
  <c r="V173" i="8"/>
  <c r="Q173" i="8"/>
  <c r="L173" i="8"/>
  <c r="G173" i="8"/>
  <c r="AI172" i="8"/>
  <c r="AD172" i="8"/>
  <c r="AA172" i="8"/>
  <c r="V172" i="8"/>
  <c r="Q172" i="8"/>
  <c r="L172" i="8"/>
  <c r="G172" i="8"/>
  <c r="AI171" i="8"/>
  <c r="AD171" i="8"/>
  <c r="L171" i="8" s="1"/>
  <c r="AA171" i="8"/>
  <c r="V171" i="8"/>
  <c r="Q171" i="8"/>
  <c r="G171" i="8"/>
  <c r="AI170" i="8"/>
  <c r="AD170" i="8"/>
  <c r="AA170" i="8"/>
  <c r="V170" i="8"/>
  <c r="Q170" i="8"/>
  <c r="L170" i="8"/>
  <c r="G170" i="8"/>
  <c r="AI169" i="8"/>
  <c r="AD169" i="8"/>
  <c r="AA169" i="8"/>
  <c r="V169" i="8"/>
  <c r="Q169" i="8"/>
  <c r="G169" i="8"/>
  <c r="AI168" i="8"/>
  <c r="AD168" i="8"/>
  <c r="AA168" i="8"/>
  <c r="V168" i="8"/>
  <c r="Q168" i="8"/>
  <c r="L168" i="8"/>
  <c r="G168" i="8"/>
  <c r="AI167" i="8"/>
  <c r="AD167" i="8"/>
  <c r="AA167" i="8"/>
  <c r="V167" i="8"/>
  <c r="Q167" i="8"/>
  <c r="L167" i="8"/>
  <c r="G167" i="8"/>
  <c r="AI166" i="8"/>
  <c r="AD166" i="8"/>
  <c r="AA166" i="8"/>
  <c r="V166" i="8"/>
  <c r="Q166" i="8"/>
  <c r="L166" i="8"/>
  <c r="G166" i="8"/>
  <c r="AI165" i="8"/>
  <c r="AD165" i="8"/>
  <c r="AA165" i="8"/>
  <c r="V165" i="8"/>
  <c r="Q165" i="8"/>
  <c r="L165" i="8"/>
  <c r="G165" i="8"/>
  <c r="AI164" i="8"/>
  <c r="L164" i="8" s="1"/>
  <c r="AD164" i="8"/>
  <c r="AA164" i="8"/>
  <c r="V164" i="8"/>
  <c r="Q164" i="8"/>
  <c r="G164" i="8"/>
  <c r="AI163" i="8"/>
  <c r="AD163" i="8"/>
  <c r="AA163" i="8"/>
  <c r="V163" i="8"/>
  <c r="Q163" i="8"/>
  <c r="L163" i="8"/>
  <c r="G163" i="8"/>
  <c r="AI162" i="8"/>
  <c r="AD162" i="8"/>
  <c r="AA162" i="8"/>
  <c r="V162" i="8"/>
  <c r="Q162" i="8"/>
  <c r="G162" i="8"/>
  <c r="AI161" i="8"/>
  <c r="AD161" i="8"/>
  <c r="AA161" i="8"/>
  <c r="V161" i="8"/>
  <c r="Q161" i="8"/>
  <c r="L161" i="8"/>
  <c r="G161" i="8"/>
  <c r="AI160" i="8"/>
  <c r="AD160" i="8"/>
  <c r="AA160" i="8"/>
  <c r="V160" i="8"/>
  <c r="Q160" i="8"/>
  <c r="L160" i="8" s="1"/>
  <c r="G160" i="8"/>
  <c r="AI159" i="8"/>
  <c r="AD159" i="8"/>
  <c r="AA159" i="8"/>
  <c r="V159" i="8"/>
  <c r="Q159" i="8"/>
  <c r="L159" i="8"/>
  <c r="G159" i="8"/>
  <c r="AI158" i="8"/>
  <c r="AD158" i="8"/>
  <c r="AA158" i="8"/>
  <c r="V158" i="8"/>
  <c r="Q158" i="8"/>
  <c r="L158" i="8"/>
  <c r="G158" i="8"/>
  <c r="AI157" i="8"/>
  <c r="AD157" i="8"/>
  <c r="AA157" i="8"/>
  <c r="V157" i="8"/>
  <c r="Q157" i="8"/>
  <c r="L157" i="8"/>
  <c r="G157" i="8"/>
  <c r="AI156" i="8"/>
  <c r="AD156" i="8"/>
  <c r="AA156" i="8"/>
  <c r="V156" i="8"/>
  <c r="Q156" i="8"/>
  <c r="L156" i="8"/>
  <c r="G156" i="8"/>
  <c r="AI155" i="8"/>
  <c r="AD155" i="8"/>
  <c r="L155" i="8" s="1"/>
  <c r="AA155" i="8"/>
  <c r="V155" i="8"/>
  <c r="Q155" i="8"/>
  <c r="G155" i="8"/>
  <c r="AI154" i="8"/>
  <c r="AD154" i="8"/>
  <c r="AA154" i="8"/>
  <c r="V154" i="8"/>
  <c r="Q154" i="8"/>
  <c r="L154" i="8"/>
  <c r="G154" i="8"/>
  <c r="AI153" i="8"/>
  <c r="AD153" i="8"/>
  <c r="AA153" i="8"/>
  <c r="V153" i="8"/>
  <c r="L153" i="8" s="1"/>
  <c r="Q153" i="8"/>
  <c r="G153" i="8"/>
  <c r="AI152" i="8"/>
  <c r="AD152" i="8"/>
  <c r="AA152" i="8"/>
  <c r="V152" i="8"/>
  <c r="Q152" i="8"/>
  <c r="L152" i="8"/>
  <c r="G152" i="8"/>
  <c r="AI151" i="8"/>
  <c r="AD151" i="8"/>
  <c r="AA151" i="8"/>
  <c r="V151" i="8"/>
  <c r="Q151" i="8"/>
  <c r="L151" i="8"/>
  <c r="G151" i="8"/>
  <c r="AI150" i="8"/>
  <c r="AD150" i="8"/>
  <c r="AA150" i="8"/>
  <c r="V150" i="8"/>
  <c r="Q150" i="8"/>
  <c r="L150" i="8"/>
  <c r="G150" i="8"/>
  <c r="AI149" i="8"/>
  <c r="AD149" i="8"/>
  <c r="AA149" i="8"/>
  <c r="V149" i="8"/>
  <c r="Q149" i="8"/>
  <c r="L149" i="8"/>
  <c r="G149" i="8"/>
  <c r="AI148" i="8"/>
  <c r="L148" i="8" s="1"/>
  <c r="AD148" i="8"/>
  <c r="AA148" i="8"/>
  <c r="V148" i="8"/>
  <c r="Q148" i="8"/>
  <c r="G148" i="8"/>
  <c r="AI147" i="8"/>
  <c r="AD147" i="8"/>
  <c r="AA147" i="8"/>
  <c r="V147" i="8"/>
  <c r="Q147" i="8"/>
  <c r="L147" i="8"/>
  <c r="G147" i="8"/>
  <c r="AI146" i="8"/>
  <c r="AD146" i="8"/>
  <c r="AA146" i="8"/>
  <c r="V146" i="8"/>
  <c r="Q146" i="8"/>
  <c r="L146" i="8" s="1"/>
  <c r="G146" i="8"/>
  <c r="AI145" i="8"/>
  <c r="AD145" i="8"/>
  <c r="AA145" i="8"/>
  <c r="V145" i="8"/>
  <c r="Q145" i="8"/>
  <c r="L145" i="8"/>
  <c r="G145" i="8"/>
  <c r="AI144" i="8"/>
  <c r="AD144" i="8"/>
  <c r="AA144" i="8"/>
  <c r="V144" i="8"/>
  <c r="Q144" i="8"/>
  <c r="L144" i="8" s="1"/>
  <c r="G144" i="8"/>
  <c r="AI143" i="8"/>
  <c r="AD143" i="8"/>
  <c r="AA143" i="8"/>
  <c r="V143" i="8"/>
  <c r="Q143" i="8"/>
  <c r="L143" i="8"/>
  <c r="G143" i="8"/>
  <c r="AI142" i="8"/>
  <c r="AD142" i="8"/>
  <c r="AA142" i="8"/>
  <c r="V142" i="8"/>
  <c r="Q142" i="8"/>
  <c r="L142" i="8"/>
  <c r="G142" i="8"/>
  <c r="AI141" i="8"/>
  <c r="AD141" i="8"/>
  <c r="AA141" i="8"/>
  <c r="V141" i="8"/>
  <c r="Q141" i="8"/>
  <c r="L141" i="8"/>
  <c r="G141" i="8"/>
  <c r="AI140" i="8"/>
  <c r="AD140" i="8"/>
  <c r="AA140" i="8"/>
  <c r="V140" i="8"/>
  <c r="Q140" i="8"/>
  <c r="L140" i="8"/>
  <c r="G140" i="8"/>
  <c r="AI139" i="8"/>
  <c r="AD139" i="8"/>
  <c r="L139" i="8" s="1"/>
  <c r="AA139" i="8"/>
  <c r="V139" i="8"/>
  <c r="Q139" i="8"/>
  <c r="G139" i="8"/>
  <c r="AI138" i="8"/>
  <c r="AD138" i="8"/>
  <c r="AA138" i="8"/>
  <c r="V138" i="8"/>
  <c r="Q138" i="8"/>
  <c r="L138" i="8"/>
  <c r="G138" i="8"/>
  <c r="AI137" i="8"/>
  <c r="AD137" i="8"/>
  <c r="AA137" i="8"/>
  <c r="V137" i="8"/>
  <c r="L137" i="8" s="1"/>
  <c r="Q137" i="8"/>
  <c r="G137" i="8"/>
  <c r="AI136" i="8"/>
  <c r="AD136" i="8"/>
  <c r="AA136" i="8"/>
  <c r="V136" i="8"/>
  <c r="Q136" i="8"/>
  <c r="L136" i="8"/>
  <c r="G136" i="8"/>
  <c r="AI135" i="8"/>
  <c r="AD135" i="8"/>
  <c r="AA135" i="8"/>
  <c r="V135" i="8"/>
  <c r="Q135" i="8"/>
  <c r="L135" i="8"/>
  <c r="G135" i="8"/>
  <c r="AI134" i="8"/>
  <c r="AD134" i="8"/>
  <c r="AA134" i="8"/>
  <c r="V134" i="8"/>
  <c r="Q134" i="8"/>
  <c r="L134" i="8"/>
  <c r="G134" i="8"/>
  <c r="AI133" i="8"/>
  <c r="AD133" i="8"/>
  <c r="AA133" i="8"/>
  <c r="V133" i="8"/>
  <c r="Q133" i="8"/>
  <c r="L133" i="8"/>
  <c r="G133" i="8"/>
  <c r="AI132" i="8"/>
  <c r="L132" i="8" s="1"/>
  <c r="AD132" i="8"/>
  <c r="AA132" i="8"/>
  <c r="V132" i="8"/>
  <c r="Q132" i="8"/>
  <c r="G132" i="8"/>
  <c r="AI131" i="8"/>
  <c r="AD131" i="8"/>
  <c r="AA131" i="8"/>
  <c r="V131" i="8"/>
  <c r="Q131" i="8"/>
  <c r="L131" i="8" s="1"/>
  <c r="G131" i="8"/>
  <c r="AI130" i="8"/>
  <c r="AD130" i="8"/>
  <c r="AA130" i="8"/>
  <c r="V130" i="8"/>
  <c r="Q130" i="8"/>
  <c r="L130" i="8" s="1"/>
  <c r="G130" i="8"/>
  <c r="AI129" i="8"/>
  <c r="AD129" i="8"/>
  <c r="AA129" i="8"/>
  <c r="V129" i="8"/>
  <c r="Q129" i="8"/>
  <c r="L129" i="8"/>
  <c r="G129" i="8"/>
  <c r="AI128" i="8"/>
  <c r="AD128" i="8"/>
  <c r="AA128" i="8"/>
  <c r="V128" i="8"/>
  <c r="Q128" i="8"/>
  <c r="G128" i="8"/>
  <c r="AI127" i="8"/>
  <c r="AD127" i="8"/>
  <c r="AA127" i="8"/>
  <c r="V127" i="8"/>
  <c r="Q127" i="8"/>
  <c r="L127" i="8"/>
  <c r="G127" i="8"/>
  <c r="AI126" i="8"/>
  <c r="AD126" i="8"/>
  <c r="AA126" i="8"/>
  <c r="V126" i="8"/>
  <c r="L126" i="8" s="1"/>
  <c r="Q126" i="8"/>
  <c r="G126" i="8"/>
  <c r="AI125" i="8"/>
  <c r="AD125" i="8"/>
  <c r="AA125" i="8"/>
  <c r="V125" i="8"/>
  <c r="Q125" i="8"/>
  <c r="L125" i="8"/>
  <c r="G125" i="8"/>
  <c r="AI124" i="8"/>
  <c r="AD124" i="8"/>
  <c r="AA124" i="8"/>
  <c r="V124" i="8"/>
  <c r="Q124" i="8"/>
  <c r="L124" i="8"/>
  <c r="G124" i="8"/>
  <c r="AI123" i="8"/>
  <c r="AD123" i="8"/>
  <c r="AA123" i="8"/>
  <c r="V123" i="8"/>
  <c r="Q123" i="8"/>
  <c r="G123" i="8"/>
  <c r="AI122" i="8"/>
  <c r="AD122" i="8"/>
  <c r="AA122" i="8"/>
  <c r="V122" i="8"/>
  <c r="Q122" i="8"/>
  <c r="L122" i="8"/>
  <c r="G122" i="8"/>
  <c r="AI121" i="8"/>
  <c r="AD121" i="8"/>
  <c r="AA121" i="8"/>
  <c r="V121" i="8"/>
  <c r="Q121" i="8"/>
  <c r="G121" i="8"/>
  <c r="AI120" i="8"/>
  <c r="AD120" i="8"/>
  <c r="AA120" i="8"/>
  <c r="V120" i="8"/>
  <c r="Q120" i="8"/>
  <c r="L120" i="8"/>
  <c r="G120" i="8"/>
  <c r="AI119" i="8"/>
  <c r="AD119" i="8"/>
  <c r="AA119" i="8"/>
  <c r="V119" i="8"/>
  <c r="Q119" i="8"/>
  <c r="L119" i="8" s="1"/>
  <c r="G119" i="8"/>
  <c r="AI118" i="8"/>
  <c r="AD118" i="8"/>
  <c r="AA118" i="8"/>
  <c r="V118" i="8"/>
  <c r="Q118" i="8"/>
  <c r="L118" i="8"/>
  <c r="G118" i="8"/>
  <c r="AI117" i="8"/>
  <c r="AD117" i="8"/>
  <c r="AA117" i="8"/>
  <c r="V117" i="8"/>
  <c r="Q117" i="8"/>
  <c r="L117" i="8"/>
  <c r="G117" i="8"/>
  <c r="AI116" i="8"/>
  <c r="L116" i="8" s="1"/>
  <c r="AD116" i="8"/>
  <c r="AA116" i="8"/>
  <c r="V116" i="8"/>
  <c r="Q116" i="8"/>
  <c r="G116" i="8"/>
  <c r="AI115" i="8"/>
  <c r="AD115" i="8"/>
  <c r="AA115" i="8"/>
  <c r="V115" i="8"/>
  <c r="Q115" i="8"/>
  <c r="L115" i="8"/>
  <c r="G115" i="8"/>
  <c r="AI114" i="8"/>
  <c r="AD114" i="8"/>
  <c r="AA114" i="8"/>
  <c r="V114" i="8"/>
  <c r="Q114" i="8"/>
  <c r="G114" i="8"/>
  <c r="AI113" i="8"/>
  <c r="AD113" i="8"/>
  <c r="AA113" i="8"/>
  <c r="V113" i="8"/>
  <c r="Q113" i="8"/>
  <c r="L113" i="8"/>
  <c r="G113" i="8"/>
  <c r="AI112" i="8"/>
  <c r="AD112" i="8"/>
  <c r="AA112" i="8"/>
  <c r="V112" i="8"/>
  <c r="Q112" i="8"/>
  <c r="L112" i="8" s="1"/>
  <c r="G112" i="8"/>
  <c r="AI111" i="8"/>
  <c r="AD111" i="8"/>
  <c r="AA111" i="8"/>
  <c r="V111" i="8"/>
  <c r="Q111" i="8"/>
  <c r="L111" i="8"/>
  <c r="G111" i="8"/>
  <c r="AI110" i="8"/>
  <c r="AD110" i="8"/>
  <c r="AA110" i="8"/>
  <c r="V110" i="8"/>
  <c r="Q110" i="8"/>
  <c r="L110" i="8"/>
  <c r="G110" i="8"/>
  <c r="AI109" i="8"/>
  <c r="AD109" i="8"/>
  <c r="AA109" i="8"/>
  <c r="V109" i="8"/>
  <c r="Q109" i="8"/>
  <c r="L109" i="8"/>
  <c r="G109" i="8"/>
  <c r="AI108" i="8"/>
  <c r="AD108" i="8"/>
  <c r="AA108" i="8"/>
  <c r="V108" i="8"/>
  <c r="Q108" i="8"/>
  <c r="L108" i="8"/>
  <c r="G108" i="8"/>
  <c r="AI107" i="8"/>
  <c r="AD107" i="8"/>
  <c r="L107" i="8" s="1"/>
  <c r="AA107" i="8"/>
  <c r="V107" i="8"/>
  <c r="Q107" i="8"/>
  <c r="G107" i="8"/>
  <c r="AI106" i="8"/>
  <c r="AD106" i="8"/>
  <c r="AA106" i="8"/>
  <c r="V106" i="8"/>
  <c r="Q106" i="8"/>
  <c r="L106" i="8"/>
  <c r="G106" i="8"/>
  <c r="AI105" i="8"/>
  <c r="AD105" i="8"/>
  <c r="AA105" i="8"/>
  <c r="V105" i="8"/>
  <c r="L105" i="8" s="1"/>
  <c r="Q105" i="8"/>
  <c r="G105" i="8"/>
  <c r="AI104" i="8"/>
  <c r="AD104" i="8"/>
  <c r="AA104" i="8"/>
  <c r="V104" i="8"/>
  <c r="Q104" i="8"/>
  <c r="L104" i="8"/>
  <c r="G104" i="8"/>
  <c r="AI103" i="8"/>
  <c r="AD103" i="8"/>
  <c r="AA103" i="8"/>
  <c r="V103" i="8"/>
  <c r="Q103" i="8"/>
  <c r="L103" i="8"/>
  <c r="G103" i="8"/>
  <c r="AI102" i="8"/>
  <c r="AD102" i="8"/>
  <c r="AA102" i="8"/>
  <c r="V102" i="8"/>
  <c r="Q102" i="8"/>
  <c r="L102" i="8"/>
  <c r="G102" i="8"/>
  <c r="AI101" i="8"/>
  <c r="AD101" i="8"/>
  <c r="AA101" i="8"/>
  <c r="V101" i="8"/>
  <c r="Q101" i="8"/>
  <c r="L101" i="8"/>
  <c r="G101" i="8"/>
  <c r="AI100" i="8"/>
  <c r="L100" i="8" s="1"/>
  <c r="AD100" i="8"/>
  <c r="AA100" i="8"/>
  <c r="V100" i="8"/>
  <c r="Q100" i="8"/>
  <c r="G100" i="8"/>
  <c r="AI99" i="8"/>
  <c r="AD99" i="8"/>
  <c r="AA99" i="8"/>
  <c r="V99" i="8"/>
  <c r="Q99" i="8"/>
  <c r="L99" i="8"/>
  <c r="G99" i="8"/>
  <c r="AI98" i="8"/>
  <c r="AD98" i="8"/>
  <c r="AA98" i="8"/>
  <c r="V98" i="8"/>
  <c r="Q98" i="8"/>
  <c r="L98" i="8" s="1"/>
  <c r="G98" i="8"/>
  <c r="AI97" i="8"/>
  <c r="AD97" i="8"/>
  <c r="AA97" i="8"/>
  <c r="V97" i="8"/>
  <c r="Q97" i="8"/>
  <c r="L97" i="8"/>
  <c r="G97" i="8"/>
  <c r="AI96" i="8"/>
  <c r="AD96" i="8"/>
  <c r="AA96" i="8"/>
  <c r="V96" i="8"/>
  <c r="Q96" i="8"/>
  <c r="L96" i="8" s="1"/>
  <c r="G96" i="8"/>
  <c r="AI95" i="8"/>
  <c r="AD95" i="8"/>
  <c r="AA95" i="8"/>
  <c r="V95" i="8"/>
  <c r="Q95" i="8"/>
  <c r="L95" i="8"/>
  <c r="G95" i="8"/>
  <c r="AI94" i="8"/>
  <c r="AD94" i="8"/>
  <c r="AA94" i="8"/>
  <c r="V94" i="8"/>
  <c r="Q94" i="8"/>
  <c r="L94" i="8"/>
  <c r="G94" i="8"/>
  <c r="AI93" i="8"/>
  <c r="AD93" i="8"/>
  <c r="AA93" i="8"/>
  <c r="V93" i="8"/>
  <c r="Q93" i="8"/>
  <c r="L93" i="8"/>
  <c r="G93" i="8"/>
  <c r="AI92" i="8"/>
  <c r="AD92" i="8"/>
  <c r="AA92" i="8"/>
  <c r="V92" i="8"/>
  <c r="Q92" i="8"/>
  <c r="L92" i="8"/>
  <c r="G92" i="8"/>
  <c r="AI91" i="8"/>
  <c r="AD91" i="8"/>
  <c r="L91" i="8" s="1"/>
  <c r="AA91" i="8"/>
  <c r="V91" i="8"/>
  <c r="Q91" i="8"/>
  <c r="G91" i="8"/>
  <c r="AI90" i="8"/>
  <c r="AD90" i="8"/>
  <c r="AA90" i="8"/>
  <c r="V90" i="8"/>
  <c r="Q90" i="8"/>
  <c r="L90" i="8"/>
  <c r="G90" i="8"/>
  <c r="AI89" i="8"/>
  <c r="AD89" i="8"/>
  <c r="AA89" i="8"/>
  <c r="V89" i="8"/>
  <c r="L89" i="8" s="1"/>
  <c r="Q89" i="8"/>
  <c r="G89" i="8"/>
  <c r="AI88" i="8"/>
  <c r="AD88" i="8"/>
  <c r="AA88" i="8"/>
  <c r="V88" i="8"/>
  <c r="Q88" i="8"/>
  <c r="L88" i="8"/>
  <c r="G88" i="8"/>
  <c r="AI87" i="8"/>
  <c r="AD87" i="8"/>
  <c r="AA87" i="8"/>
  <c r="V87" i="8"/>
  <c r="Q87" i="8"/>
  <c r="L87" i="8"/>
  <c r="G87" i="8"/>
  <c r="AI86" i="8"/>
  <c r="AD86" i="8"/>
  <c r="AA86" i="8"/>
  <c r="V86" i="8"/>
  <c r="Q86" i="8"/>
  <c r="L86" i="8"/>
  <c r="G86" i="8"/>
  <c r="AI85" i="8"/>
  <c r="AD85" i="8"/>
  <c r="AA85" i="8"/>
  <c r="V85" i="8"/>
  <c r="Q85" i="8"/>
  <c r="L85" i="8"/>
  <c r="G85" i="8"/>
  <c r="AI84" i="8"/>
  <c r="L84" i="8" s="1"/>
  <c r="AD84" i="8"/>
  <c r="AA84" i="8"/>
  <c r="V84" i="8"/>
  <c r="Q84" i="8"/>
  <c r="G84" i="8"/>
  <c r="AI83" i="8"/>
  <c r="AD83" i="8"/>
  <c r="AA83" i="8"/>
  <c r="V83" i="8"/>
  <c r="Q83" i="8"/>
  <c r="L83" i="8"/>
  <c r="G83" i="8"/>
  <c r="AI82" i="8"/>
  <c r="AD82" i="8"/>
  <c r="AA82" i="8"/>
  <c r="V82" i="8"/>
  <c r="Q82" i="8"/>
  <c r="L82" i="8" s="1"/>
  <c r="G82" i="8"/>
  <c r="AI81" i="8"/>
  <c r="AD81" i="8"/>
  <c r="AA81" i="8"/>
  <c r="V81" i="8"/>
  <c r="Q81" i="8"/>
  <c r="L81" i="8"/>
  <c r="G81" i="8"/>
  <c r="AI80" i="8"/>
  <c r="AD80" i="8"/>
  <c r="AA80" i="8"/>
  <c r="V80" i="8"/>
  <c r="Q80" i="8"/>
  <c r="L80" i="8" s="1"/>
  <c r="G80" i="8"/>
  <c r="AI79" i="8"/>
  <c r="AD79" i="8"/>
  <c r="AA79" i="8"/>
  <c r="V79" i="8"/>
  <c r="Q79" i="8"/>
  <c r="L79" i="8"/>
  <c r="G79" i="8"/>
  <c r="AI78" i="8"/>
  <c r="AD78" i="8"/>
  <c r="AA78" i="8"/>
  <c r="V78" i="8"/>
  <c r="Q78" i="8"/>
  <c r="L78" i="8" s="1"/>
  <c r="G78" i="8"/>
  <c r="AI77" i="8"/>
  <c r="AD77" i="8"/>
  <c r="AA77" i="8"/>
  <c r="V77" i="8"/>
  <c r="Q77" i="8"/>
  <c r="L77" i="8"/>
  <c r="G77" i="8"/>
  <c r="AI76" i="8"/>
  <c r="AD76" i="8"/>
  <c r="AA76" i="8"/>
  <c r="V76" i="8"/>
  <c r="Q76" i="8"/>
  <c r="L76" i="8" s="1"/>
  <c r="G76" i="8"/>
  <c r="AI75" i="8"/>
  <c r="AD75" i="8"/>
  <c r="L75" i="8" s="1"/>
  <c r="AA75" i="8"/>
  <c r="V75" i="8"/>
  <c r="Q75" i="8"/>
  <c r="G75" i="8"/>
  <c r="AI74" i="8"/>
  <c r="AD74" i="8"/>
  <c r="AA74" i="8"/>
  <c r="V74" i="8"/>
  <c r="Q74" i="8"/>
  <c r="L74" i="8"/>
  <c r="G74" i="8"/>
  <c r="AI73" i="8"/>
  <c r="AD73" i="8"/>
  <c r="AA73" i="8"/>
  <c r="V73" i="8"/>
  <c r="Q73" i="8"/>
  <c r="G73" i="8"/>
  <c r="AI72" i="8"/>
  <c r="AD72" i="8"/>
  <c r="AA72" i="8"/>
  <c r="V72" i="8"/>
  <c r="Q72" i="8"/>
  <c r="L72" i="8"/>
  <c r="G72" i="8"/>
  <c r="AI71" i="8"/>
  <c r="AD71" i="8"/>
  <c r="AA71" i="8"/>
  <c r="V71" i="8"/>
  <c r="L71" i="8" s="1"/>
  <c r="Q71" i="8"/>
  <c r="G71" i="8"/>
  <c r="AI70" i="8"/>
  <c r="AD70" i="8"/>
  <c r="AA70" i="8"/>
  <c r="V70" i="8"/>
  <c r="Q70" i="8"/>
  <c r="L70" i="8"/>
  <c r="G70" i="8"/>
  <c r="AI69" i="8"/>
  <c r="AD69" i="8"/>
  <c r="AA69" i="8"/>
  <c r="V69" i="8"/>
  <c r="Q69" i="8"/>
  <c r="L69" i="8"/>
  <c r="G69" i="8"/>
  <c r="AI68" i="8"/>
  <c r="L68" i="8" s="1"/>
  <c r="AD68" i="8"/>
  <c r="AA68" i="8"/>
  <c r="V68" i="8"/>
  <c r="Q68" i="8"/>
  <c r="G68" i="8"/>
  <c r="AI67" i="8"/>
  <c r="AD67" i="8"/>
  <c r="AA67" i="8"/>
  <c r="V67" i="8"/>
  <c r="Q67" i="8"/>
  <c r="L67" i="8"/>
  <c r="G67" i="8"/>
  <c r="AI66" i="8"/>
  <c r="AD66" i="8"/>
  <c r="AA66" i="8"/>
  <c r="V66" i="8"/>
  <c r="Q66" i="8"/>
  <c r="G66" i="8"/>
  <c r="AI65" i="8"/>
  <c r="AD65" i="8"/>
  <c r="AA65" i="8"/>
  <c r="V65" i="8"/>
  <c r="Q65" i="8"/>
  <c r="L65" i="8"/>
  <c r="G65" i="8"/>
  <c r="AI64" i="8"/>
  <c r="AD64" i="8"/>
  <c r="AA64" i="8"/>
  <c r="V64" i="8"/>
  <c r="Q64" i="8"/>
  <c r="L64" i="8" s="1"/>
  <c r="G64" i="8"/>
  <c r="AI63" i="8"/>
  <c r="AD63" i="8"/>
  <c r="AA63" i="8"/>
  <c r="V63" i="8"/>
  <c r="Q63" i="8"/>
  <c r="L63" i="8"/>
  <c r="G63" i="8"/>
  <c r="AI62" i="8"/>
  <c r="AD62" i="8"/>
  <c r="AA62" i="8"/>
  <c r="V62" i="8"/>
  <c r="Q62" i="8"/>
  <c r="L62" i="8"/>
  <c r="G62" i="8"/>
  <c r="AI61" i="8"/>
  <c r="AD61" i="8"/>
  <c r="AA61" i="8"/>
  <c r="V61" i="8"/>
  <c r="Q61" i="8"/>
  <c r="L61" i="8"/>
  <c r="G61" i="8"/>
  <c r="AI60" i="8"/>
  <c r="AD60" i="8"/>
  <c r="AA60" i="8"/>
  <c r="V60" i="8"/>
  <c r="Q60" i="8"/>
  <c r="L60" i="8"/>
  <c r="G60" i="8"/>
  <c r="AI59" i="8"/>
  <c r="AD59" i="8"/>
  <c r="L59" i="8" s="1"/>
  <c r="AA59" i="8"/>
  <c r="V59" i="8"/>
  <c r="Q59" i="8"/>
  <c r="G59" i="8"/>
  <c r="AI58" i="8"/>
  <c r="AD58" i="8"/>
  <c r="AA58" i="8"/>
  <c r="V58" i="8"/>
  <c r="Q58" i="8"/>
  <c r="L58" i="8"/>
  <c r="G58" i="8"/>
  <c r="AI57" i="8"/>
  <c r="AD57" i="8"/>
  <c r="AA57" i="8"/>
  <c r="V57" i="8"/>
  <c r="L57" i="8" s="1"/>
  <c r="Q57" i="8"/>
  <c r="G57" i="8"/>
  <c r="AI56" i="8"/>
  <c r="AD56" i="8"/>
  <c r="AA56" i="8"/>
  <c r="V56" i="8"/>
  <c r="Q56" i="8"/>
  <c r="L56" i="8"/>
  <c r="G56" i="8"/>
  <c r="AI55" i="8"/>
  <c r="AD55" i="8"/>
  <c r="AA55" i="8"/>
  <c r="V55" i="8"/>
  <c r="Q55" i="8"/>
  <c r="L55" i="8"/>
  <c r="G55" i="8"/>
  <c r="AI54" i="8"/>
  <c r="AD54" i="8"/>
  <c r="AA54" i="8"/>
  <c r="V54" i="8"/>
  <c r="Q54" i="8"/>
  <c r="L54" i="8"/>
  <c r="G54" i="8"/>
  <c r="AI53" i="8"/>
  <c r="AD53" i="8"/>
  <c r="AA53" i="8"/>
  <c r="V53" i="8"/>
  <c r="Q53" i="8"/>
  <c r="L53" i="8"/>
  <c r="G53" i="8"/>
  <c r="AI52" i="8"/>
  <c r="L52" i="8" s="1"/>
  <c r="AD52" i="8"/>
  <c r="AA52" i="8"/>
  <c r="V52" i="8"/>
  <c r="Q52" i="8"/>
  <c r="G52" i="8"/>
  <c r="AI51" i="8"/>
  <c r="AD51" i="8"/>
  <c r="AA51" i="8"/>
  <c r="V51" i="8"/>
  <c r="Q51" i="8"/>
  <c r="L51" i="8"/>
  <c r="G51" i="8"/>
  <c r="AI50" i="8"/>
  <c r="AD50" i="8"/>
  <c r="AA50" i="8"/>
  <c r="V50" i="8"/>
  <c r="Q50" i="8"/>
  <c r="L50" i="8" s="1"/>
  <c r="G50" i="8"/>
  <c r="AI49" i="8"/>
  <c r="AD49" i="8"/>
  <c r="AA49" i="8"/>
  <c r="V49" i="8"/>
  <c r="Q49" i="8"/>
  <c r="L49" i="8"/>
  <c r="G49" i="8"/>
  <c r="AI48" i="8"/>
  <c r="AD48" i="8"/>
  <c r="AA48" i="8"/>
  <c r="V48" i="8"/>
  <c r="Q48" i="8"/>
  <c r="L48" i="8" s="1"/>
  <c r="G48" i="8"/>
  <c r="AI47" i="8"/>
  <c r="AD47" i="8"/>
  <c r="AA47" i="8"/>
  <c r="V47" i="8"/>
  <c r="Q47" i="8"/>
  <c r="L47" i="8"/>
  <c r="G47" i="8"/>
  <c r="AI46" i="8"/>
  <c r="AD46" i="8"/>
  <c r="AA46" i="8"/>
  <c r="V46" i="8"/>
  <c r="Q46" i="8"/>
  <c r="L46" i="8"/>
  <c r="G46" i="8"/>
  <c r="AI45" i="8"/>
  <c r="AD45" i="8"/>
  <c r="AA45" i="8"/>
  <c r="V45" i="8"/>
  <c r="Q45" i="8"/>
  <c r="L45" i="8"/>
  <c r="G45" i="8"/>
  <c r="AI44" i="8"/>
  <c r="AD44" i="8"/>
  <c r="AA44" i="8"/>
  <c r="V44" i="8"/>
  <c r="Q44" i="8"/>
  <c r="L44" i="8"/>
  <c r="G44" i="8"/>
  <c r="AI43" i="8"/>
  <c r="AD43" i="8"/>
  <c r="L43" i="8" s="1"/>
  <c r="AA43" i="8"/>
  <c r="V43" i="8"/>
  <c r="Q43" i="8"/>
  <c r="G43" i="8"/>
  <c r="AI42" i="8"/>
  <c r="AD42" i="8"/>
  <c r="AA42" i="8"/>
  <c r="V42" i="8"/>
  <c r="Q42" i="8"/>
  <c r="L42" i="8"/>
  <c r="G42" i="8"/>
  <c r="AI41" i="8"/>
  <c r="AD41" i="8"/>
  <c r="AA41" i="8"/>
  <c r="V41" i="8"/>
  <c r="L41" i="8" s="1"/>
  <c r="Q41" i="8"/>
  <c r="G41" i="8"/>
  <c r="AI40" i="8"/>
  <c r="AD40" i="8"/>
  <c r="AA40" i="8"/>
  <c r="V40" i="8"/>
  <c r="Q40" i="8"/>
  <c r="L40" i="8"/>
  <c r="G40" i="8"/>
  <c r="AI39" i="8"/>
  <c r="AD39" i="8"/>
  <c r="AA39" i="8"/>
  <c r="V39" i="8"/>
  <c r="Q39" i="8"/>
  <c r="L39" i="8"/>
  <c r="G39" i="8"/>
  <c r="AI38" i="8"/>
  <c r="AD38" i="8"/>
  <c r="AA38" i="8"/>
  <c r="V38" i="8"/>
  <c r="Q38" i="8"/>
  <c r="L38" i="8"/>
  <c r="G38" i="8"/>
  <c r="AI37" i="8"/>
  <c r="AD37" i="8"/>
  <c r="AA37" i="8"/>
  <c r="V37" i="8"/>
  <c r="Q37" i="8"/>
  <c r="L37" i="8"/>
  <c r="G37" i="8"/>
  <c r="AI36" i="8"/>
  <c r="L36" i="8" s="1"/>
  <c r="AD36" i="8"/>
  <c r="AA36" i="8"/>
  <c r="V36" i="8"/>
  <c r="Q36" i="8"/>
  <c r="G36" i="8"/>
  <c r="AI35" i="8"/>
  <c r="AD35" i="8"/>
  <c r="AA35" i="8"/>
  <c r="V35" i="8"/>
  <c r="Q35" i="8"/>
  <c r="L35" i="8" s="1"/>
  <c r="G35" i="8"/>
  <c r="AI34" i="8"/>
  <c r="AD34" i="8"/>
  <c r="AA34" i="8"/>
  <c r="V34" i="8"/>
  <c r="Q34" i="8"/>
  <c r="L34" i="8" s="1"/>
  <c r="G34" i="8"/>
  <c r="AI33" i="8"/>
  <c r="AD33" i="8"/>
  <c r="AA33" i="8"/>
  <c r="V33" i="8"/>
  <c r="Q33" i="8"/>
  <c r="L33" i="8"/>
  <c r="G33" i="8"/>
  <c r="AI32" i="8"/>
  <c r="AD32" i="8"/>
  <c r="AA32" i="8"/>
  <c r="V32" i="8"/>
  <c r="Q32" i="8"/>
  <c r="L32" i="8" s="1"/>
  <c r="G32" i="8"/>
  <c r="AI31" i="8"/>
  <c r="AD31" i="8"/>
  <c r="AA31" i="8"/>
  <c r="V31" i="8"/>
  <c r="Q31" i="8"/>
  <c r="L31" i="8"/>
  <c r="G31" i="8"/>
  <c r="AI30" i="8"/>
  <c r="AD30" i="8"/>
  <c r="L30" i="8" s="1"/>
  <c r="AA30" i="8"/>
  <c r="V30" i="8"/>
  <c r="Q30" i="8"/>
  <c r="G30" i="8"/>
  <c r="AI29" i="8"/>
  <c r="AD29" i="8"/>
  <c r="AA29" i="8"/>
  <c r="V29" i="8"/>
  <c r="Q29" i="8"/>
  <c r="L29" i="8"/>
  <c r="G29" i="8"/>
  <c r="AI28" i="8"/>
  <c r="AD28" i="8"/>
  <c r="AA28" i="8"/>
  <c r="V28" i="8"/>
  <c r="L28" i="8" s="1"/>
  <c r="Q28" i="8"/>
  <c r="G28" i="8"/>
  <c r="AI27" i="8"/>
  <c r="AD27" i="8"/>
  <c r="L27" i="8" s="1"/>
  <c r="AA27" i="8"/>
  <c r="V27" i="8"/>
  <c r="Q27" i="8"/>
  <c r="G27" i="8"/>
  <c r="AI26" i="8"/>
  <c r="AD26" i="8"/>
  <c r="AA26" i="8"/>
  <c r="V26" i="8"/>
  <c r="Q26" i="8"/>
  <c r="L26" i="8"/>
  <c r="G26" i="8"/>
  <c r="AI25" i="8"/>
  <c r="AD25" i="8"/>
  <c r="AA25" i="8"/>
  <c r="V25" i="8"/>
  <c r="L25" i="8" s="1"/>
  <c r="Q25" i="8"/>
  <c r="G25" i="8"/>
  <c r="AI24" i="8"/>
  <c r="AD24" i="8"/>
  <c r="AA24" i="8"/>
  <c r="V24" i="8"/>
  <c r="Q24" i="8"/>
  <c r="L24" i="8"/>
  <c r="G24" i="8"/>
  <c r="AI23" i="8"/>
  <c r="AD23" i="8"/>
  <c r="AA23" i="8"/>
  <c r="V23" i="8"/>
  <c r="Q23" i="8"/>
  <c r="L23" i="8" s="1"/>
  <c r="G23" i="8"/>
  <c r="AI22" i="8"/>
  <c r="AD22" i="8"/>
  <c r="AA22" i="8"/>
  <c r="V22" i="8"/>
  <c r="Q22" i="8"/>
  <c r="L22" i="8"/>
  <c r="G22" i="8"/>
  <c r="AI21" i="8"/>
  <c r="AD21" i="8"/>
  <c r="AA21" i="8"/>
  <c r="V21" i="8"/>
  <c r="Q21" i="8"/>
  <c r="L21" i="8" s="1"/>
  <c r="G21" i="8"/>
  <c r="AI20" i="8"/>
  <c r="L20" i="8" s="1"/>
  <c r="AD20" i="8"/>
  <c r="AA20" i="8"/>
  <c r="V20" i="8"/>
  <c r="Q20" i="8"/>
  <c r="G20" i="8"/>
  <c r="AI19" i="8"/>
  <c r="AD19" i="8"/>
  <c r="AA19" i="8"/>
  <c r="V19" i="8"/>
  <c r="Q19" i="8"/>
  <c r="L19" i="8"/>
  <c r="G19" i="8"/>
  <c r="AI18" i="8"/>
  <c r="AD18" i="8"/>
  <c r="AA18" i="8"/>
  <c r="V18" i="8"/>
  <c r="Q18" i="8"/>
  <c r="G18" i="8"/>
  <c r="AI17" i="8"/>
  <c r="AD17" i="8"/>
  <c r="AA17" i="8"/>
  <c r="V17" i="8"/>
  <c r="Q17" i="8"/>
  <c r="L17" i="8"/>
  <c r="G17" i="8"/>
  <c r="AI16" i="8"/>
  <c r="AD16" i="8"/>
  <c r="AA16" i="8"/>
  <c r="V16" i="8"/>
  <c r="Q16" i="8"/>
  <c r="G16" i="8"/>
  <c r="AI15" i="8"/>
  <c r="AD15" i="8"/>
  <c r="AA15" i="8"/>
  <c r="V15" i="8"/>
  <c r="Q15" i="8"/>
  <c r="L15" i="8"/>
  <c r="G15" i="8"/>
  <c r="AI14" i="8"/>
  <c r="AD14" i="8"/>
  <c r="AA14" i="8"/>
  <c r="V14" i="8"/>
  <c r="Q14" i="8"/>
  <c r="L14" i="8"/>
  <c r="G14" i="8"/>
  <c r="AI13" i="8"/>
  <c r="AD13" i="8"/>
  <c r="AA13" i="8"/>
  <c r="V13" i="8"/>
  <c r="Q13" i="8"/>
  <c r="L13" i="8"/>
  <c r="G13" i="8"/>
  <c r="AI12" i="8"/>
  <c r="AD12" i="8"/>
  <c r="AA12" i="8"/>
  <c r="V12" i="8"/>
  <c r="Q12" i="8"/>
  <c r="L12" i="8"/>
  <c r="G12" i="8"/>
  <c r="AI11" i="8"/>
  <c r="AD11" i="8"/>
  <c r="L11" i="8" s="1"/>
  <c r="AA11" i="8"/>
  <c r="V11" i="8"/>
  <c r="Q11" i="8"/>
  <c r="G11" i="8"/>
  <c r="AI10" i="8"/>
  <c r="AD10" i="8"/>
  <c r="AA10" i="8"/>
  <c r="V10" i="8"/>
  <c r="Q10" i="8"/>
  <c r="L10" i="8"/>
  <c r="G10" i="8"/>
  <c r="AI9" i="8"/>
  <c r="AD9" i="8"/>
  <c r="AA9" i="8"/>
  <c r="V9" i="8"/>
  <c r="L9" i="8" s="1"/>
  <c r="Q9" i="8"/>
  <c r="G9" i="8"/>
  <c r="AI8" i="8"/>
  <c r="AD8" i="8"/>
  <c r="AA8" i="8"/>
  <c r="V8" i="8"/>
  <c r="Q8" i="8"/>
  <c r="L8" i="8"/>
  <c r="G8" i="8"/>
  <c r="AI7" i="8"/>
  <c r="AD7" i="8"/>
  <c r="AA7" i="8"/>
  <c r="V7" i="8"/>
  <c r="Q7" i="8"/>
  <c r="L7" i="8"/>
  <c r="G7" i="8"/>
  <c r="L18" i="8" l="1"/>
  <c r="L128" i="8"/>
  <c r="L66" i="8"/>
  <c r="L73" i="8"/>
  <c r="L123" i="8"/>
  <c r="L176" i="8"/>
  <c r="L114" i="8"/>
  <c r="L121" i="8"/>
  <c r="L224" i="8"/>
  <c r="L16" i="8"/>
  <c r="L270" i="8" s="1"/>
  <c r="L162" i="8"/>
  <c r="L169" i="8"/>
  <c r="L219" i="8"/>
</calcChain>
</file>

<file path=xl/sharedStrings.xml><?xml version="1.0" encoding="utf-8"?>
<sst xmlns="http://schemas.openxmlformats.org/spreadsheetml/2006/main" count="1441" uniqueCount="345">
  <si>
    <t>G7189653</t>
  </si>
  <si>
    <t>G7206072</t>
  </si>
  <si>
    <t>G7145808</t>
  </si>
  <si>
    <t>G7187025</t>
  </si>
  <si>
    <t>G7209117</t>
  </si>
  <si>
    <t>울산</t>
  </si>
  <si>
    <t>경기</t>
  </si>
  <si>
    <t>인천</t>
  </si>
  <si>
    <t>제주</t>
  </si>
  <si>
    <t>부산</t>
  </si>
  <si>
    <t>G7141839</t>
  </si>
  <si>
    <t>G7212774</t>
  </si>
  <si>
    <t>G7229974</t>
  </si>
  <si>
    <t>세종</t>
  </si>
  <si>
    <t>경남</t>
  </si>
  <si>
    <t>G7212773</t>
  </si>
  <si>
    <t>서울</t>
  </si>
  <si>
    <t>G7174515</t>
  </si>
  <si>
    <t>G7212772</t>
  </si>
  <si>
    <t>G7103506</t>
  </si>
  <si>
    <t>광주</t>
  </si>
  <si>
    <t>대구</t>
  </si>
  <si>
    <t>대전</t>
  </si>
  <si>
    <t>G7186099</t>
  </si>
  <si>
    <t>강원</t>
  </si>
  <si>
    <t>경북</t>
  </si>
  <si>
    <t>충남</t>
  </si>
  <si>
    <t>G7209116</t>
  </si>
  <si>
    <t>G7166134</t>
  </si>
  <si>
    <t>G7141795</t>
  </si>
  <si>
    <t>전남</t>
  </si>
  <si>
    <t>전북</t>
  </si>
  <si>
    <t>G7163900</t>
  </si>
  <si>
    <t>G7177195</t>
  </si>
  <si>
    <t>충북</t>
  </si>
  <si>
    <t>김신규</t>
  </si>
  <si>
    <t>채정석</t>
  </si>
  <si>
    <t>이정화</t>
  </si>
  <si>
    <t>장윤정</t>
  </si>
  <si>
    <t>신미지</t>
  </si>
  <si>
    <t>박상민</t>
  </si>
  <si>
    <t>박정민</t>
  </si>
  <si>
    <t>이성규</t>
  </si>
  <si>
    <t>이호성</t>
  </si>
  <si>
    <t>조수연</t>
  </si>
  <si>
    <t>남민화</t>
  </si>
  <si>
    <t>유기범</t>
  </si>
  <si>
    <t>이란</t>
  </si>
  <si>
    <t>박자영</t>
  </si>
  <si>
    <t>김정운</t>
  </si>
  <si>
    <t>박진</t>
  </si>
  <si>
    <t>최정민</t>
  </si>
  <si>
    <t>유재목</t>
  </si>
  <si>
    <t>G7113274/G7113292/G7141793</t>
  </si>
  <si>
    <t>전혜정/이호준/김민준</t>
  </si>
  <si>
    <t>서울/영등포구</t>
  </si>
  <si>
    <t>인천/서구</t>
  </si>
  <si>
    <t>경기/구리</t>
  </si>
  <si>
    <t>경기/의정부</t>
  </si>
  <si>
    <t>서울/용산구</t>
  </si>
  <si>
    <t>서울/송파구</t>
  </si>
  <si>
    <t>전북/익산</t>
  </si>
  <si>
    <t>대전/서구</t>
  </si>
  <si>
    <t>대구/남구</t>
  </si>
  <si>
    <t>서울/강남구</t>
  </si>
  <si>
    <t>경남/거제</t>
  </si>
  <si>
    <t>경남/거창</t>
  </si>
  <si>
    <t>경기/양주</t>
  </si>
  <si>
    <t>인천/미추홀구</t>
  </si>
  <si>
    <t>서울/관악구</t>
  </si>
  <si>
    <t>광주/서구</t>
  </si>
  <si>
    <t>경북/구미</t>
  </si>
  <si>
    <t>충북/충주</t>
  </si>
  <si>
    <t>충북/청주</t>
  </si>
  <si>
    <t>전남/여수</t>
  </si>
  <si>
    <t>충북/제천</t>
  </si>
  <si>
    <t>전북/전주</t>
  </si>
  <si>
    <t>경기/광명</t>
  </si>
  <si>
    <t>서울/성동구</t>
  </si>
  <si>
    <t>경기/부천</t>
  </si>
  <si>
    <t>대전/중구</t>
  </si>
  <si>
    <t>전남/순천</t>
  </si>
  <si>
    <t>경기/남양주</t>
  </si>
  <si>
    <t>전남/목포</t>
  </si>
  <si>
    <t>강원/고성</t>
  </si>
  <si>
    <t>전남/광양</t>
  </si>
  <si>
    <t>서울/강동구</t>
  </si>
  <si>
    <t>울산/남구</t>
  </si>
  <si>
    <t>전남/무안</t>
  </si>
  <si>
    <t>광주/북구</t>
  </si>
  <si>
    <t>광주/광산구</t>
  </si>
  <si>
    <t>경기/평택</t>
  </si>
  <si>
    <t>부산/북구</t>
  </si>
  <si>
    <t>경기/포천</t>
  </si>
  <si>
    <t>부산/동구</t>
  </si>
  <si>
    <t>경기/성남</t>
  </si>
  <si>
    <t>경남/함양</t>
  </si>
  <si>
    <t>서울/중랑구</t>
  </si>
  <si>
    <t>서울/중구</t>
  </si>
  <si>
    <t>강원/속초</t>
  </si>
  <si>
    <t>경기/수원</t>
  </si>
  <si>
    <t>경기/고양</t>
  </si>
  <si>
    <t>대구/동구</t>
  </si>
  <si>
    <t>충남/서산</t>
  </si>
  <si>
    <t>강원/춘천</t>
  </si>
  <si>
    <t>강원/홍천</t>
  </si>
  <si>
    <t>서울/양천구</t>
  </si>
  <si>
    <t>경남/창원</t>
  </si>
  <si>
    <t>부산/해운대구</t>
  </si>
  <si>
    <t>경남/진주</t>
  </si>
  <si>
    <t>부산/연제구</t>
  </si>
  <si>
    <t>서울/금천구</t>
  </si>
  <si>
    <t>대구/수성구</t>
  </si>
  <si>
    <t>서울/동대문구</t>
  </si>
  <si>
    <t>충남/논산</t>
  </si>
  <si>
    <t>울산/중구</t>
  </si>
  <si>
    <t>경기/안산</t>
  </si>
  <si>
    <t>경기/화성</t>
  </si>
  <si>
    <t>부산/부산진구</t>
  </si>
  <si>
    <t>경기/시흥</t>
  </si>
  <si>
    <t>경기/의왕</t>
  </si>
  <si>
    <t>경남/통영</t>
  </si>
  <si>
    <t>강원/삼척</t>
  </si>
  <si>
    <t>강원/양양</t>
  </si>
  <si>
    <t>강원/강릉</t>
  </si>
  <si>
    <t>서울/강서구</t>
  </si>
  <si>
    <t>인천/강화군</t>
  </si>
  <si>
    <t>인천/부평구</t>
  </si>
  <si>
    <t>경남/김해</t>
  </si>
  <si>
    <t>대구/북구</t>
  </si>
  <si>
    <t>인천/계양구</t>
  </si>
  <si>
    <t>경북/포항</t>
  </si>
  <si>
    <t>서울/구로구</t>
  </si>
  <si>
    <t>서울/노원구</t>
  </si>
  <si>
    <t>충남/보령</t>
  </si>
  <si>
    <t>충남/천안</t>
  </si>
  <si>
    <t>대전/대덕구</t>
  </si>
  <si>
    <t>서울/도봉구</t>
  </si>
  <si>
    <t>서울/마포구</t>
  </si>
  <si>
    <t>서울/강북구</t>
  </si>
  <si>
    <t>서울/동작구</t>
  </si>
  <si>
    <t>광주/동구</t>
  </si>
  <si>
    <t>부산/기장군</t>
  </si>
  <si>
    <t>광주/남구</t>
  </si>
  <si>
    <t>강원/양구</t>
  </si>
  <si>
    <t>서울/종로구</t>
  </si>
  <si>
    <t>대구/서구</t>
  </si>
  <si>
    <t>대구/달서구</t>
  </si>
  <si>
    <t>강원/원주</t>
  </si>
  <si>
    <t>경기/안성</t>
  </si>
  <si>
    <t>경기/김포</t>
  </si>
  <si>
    <t>경기/동두천</t>
  </si>
  <si>
    <t>경기/용인</t>
  </si>
  <si>
    <t>경기/군포</t>
  </si>
  <si>
    <t>경기/파주</t>
  </si>
  <si>
    <t>인천/남동구</t>
  </si>
  <si>
    <t>제주/제주</t>
  </si>
  <si>
    <t>경남/사천</t>
  </si>
  <si>
    <t>대전/유성구</t>
  </si>
  <si>
    <t>서울/성북구</t>
  </si>
  <si>
    <t>경기/이천</t>
  </si>
  <si>
    <t>경기/하남</t>
  </si>
  <si>
    <t>서울/서초구</t>
  </si>
  <si>
    <t>전북/군산</t>
  </si>
  <si>
    <t>대구/달성군</t>
  </si>
  <si>
    <t>경기/안양</t>
  </si>
  <si>
    <t>대구/중구</t>
  </si>
  <si>
    <t>경기/가평</t>
  </si>
  <si>
    <t>경북/영천</t>
  </si>
  <si>
    <t>경북/울진</t>
  </si>
  <si>
    <t>충북/옥천</t>
  </si>
  <si>
    <t>충북/증평</t>
  </si>
  <si>
    <t>충남/청양</t>
  </si>
  <si>
    <t>전남/장흥</t>
  </si>
  <si>
    <t>전남/진도</t>
  </si>
  <si>
    <t>전북/고창</t>
  </si>
  <si>
    <t>충북/진천</t>
  </si>
  <si>
    <t>경남/합천</t>
  </si>
  <si>
    <t>충남/금산</t>
  </si>
  <si>
    <t>세종/세종시</t>
  </si>
  <si>
    <t>강원/영월</t>
  </si>
  <si>
    <t>서울/은평구</t>
  </si>
  <si>
    <t>경남/고성</t>
  </si>
  <si>
    <t>경북/청도</t>
  </si>
  <si>
    <t>강원/태백</t>
  </si>
  <si>
    <t>강원/인제</t>
  </si>
  <si>
    <t>경남/양산</t>
  </si>
  <si>
    <t>충남/서천</t>
  </si>
  <si>
    <t>경기/여주</t>
  </si>
  <si>
    <t>전남/구례</t>
  </si>
  <si>
    <t>전남/영광</t>
  </si>
  <si>
    <t>경북/영주</t>
  </si>
  <si>
    <t>경기/과천</t>
  </si>
  <si>
    <t>경남/창녕</t>
  </si>
  <si>
    <t>경남/함안</t>
  </si>
  <si>
    <t>전북/김제</t>
  </si>
  <si>
    <t>충남/부여</t>
  </si>
  <si>
    <t>경기/양평</t>
  </si>
  <si>
    <t>경북/경주</t>
  </si>
  <si>
    <t>경기/광주</t>
  </si>
  <si>
    <t>전남/화순</t>
  </si>
  <si>
    <t>서울/광진구</t>
  </si>
  <si>
    <t>충남/아산</t>
  </si>
  <si>
    <t>전북/부안</t>
  </si>
  <si>
    <t>경북/안동</t>
  </si>
  <si>
    <t>전북/정읍</t>
  </si>
  <si>
    <t>경북/문경</t>
  </si>
  <si>
    <t>전남/해남</t>
  </si>
  <si>
    <t>부산/동래구</t>
  </si>
  <si>
    <t>울산/동구</t>
  </si>
  <si>
    <t>충남/공주</t>
  </si>
  <si>
    <t>경북/경산</t>
  </si>
  <si>
    <t>전남/담양</t>
  </si>
  <si>
    <t>서울/서대문구</t>
  </si>
  <si>
    <t>인천/연수구</t>
  </si>
  <si>
    <t>경기/오산</t>
  </si>
  <si>
    <t>충남/당진</t>
  </si>
  <si>
    <t>부산/강서구</t>
  </si>
  <si>
    <t>제주/서귀포</t>
  </si>
  <si>
    <t>강원/평창</t>
  </si>
  <si>
    <t>울산/북구</t>
  </si>
  <si>
    <t>울산/울주군</t>
  </si>
  <si>
    <t>경북/상주</t>
  </si>
  <si>
    <t>경북/김천</t>
  </si>
  <si>
    <t>경북/예천</t>
  </si>
  <si>
    <t>충북/괴산</t>
  </si>
  <si>
    <t>부산/금정구</t>
  </si>
  <si>
    <t>경남/밀양</t>
  </si>
  <si>
    <t>강원/정선</t>
  </si>
  <si>
    <t>충남/태안</t>
  </si>
  <si>
    <t>충북/음성</t>
  </si>
  <si>
    <t>강원/동해</t>
  </si>
  <si>
    <t>부산/사하구</t>
  </si>
  <si>
    <t>충남/홍성</t>
  </si>
  <si>
    <t>전북/남원</t>
  </si>
  <si>
    <t>경북/칠곡</t>
  </si>
  <si>
    <t>전남/나주</t>
  </si>
  <si>
    <t>전남/완도</t>
  </si>
  <si>
    <t>전북/완주</t>
  </si>
  <si>
    <t>강원/철원</t>
  </si>
  <si>
    <t>부산/중구</t>
  </si>
  <si>
    <t>경남/하동</t>
  </si>
  <si>
    <t>부산/남구</t>
  </si>
  <si>
    <t>경북/의성</t>
  </si>
  <si>
    <t>부산/수영구</t>
  </si>
  <si>
    <t>부산/사상구</t>
  </si>
  <si>
    <t>인천/동구</t>
  </si>
  <si>
    <t>전남/영암</t>
  </si>
  <si>
    <t>전남/고흥</t>
  </si>
  <si>
    <t>충남/예산</t>
  </si>
  <si>
    <t>충남/계룡</t>
  </si>
  <si>
    <t>대전/동구</t>
  </si>
  <si>
    <t>경기/연천</t>
  </si>
  <si>
    <t>전북/진안</t>
  </si>
  <si>
    <t>경북/성주</t>
  </si>
  <si>
    <t>전남/강진</t>
  </si>
  <si>
    <t>인천/중구</t>
  </si>
  <si>
    <t>충북/영동</t>
  </si>
  <si>
    <t>전북/순창</t>
  </si>
  <si>
    <t>경남/남해</t>
  </si>
  <si>
    <t>전남/곡성</t>
  </si>
  <si>
    <t>강원/횡성</t>
  </si>
  <si>
    <t>충북/보은</t>
  </si>
  <si>
    <t>전남/함평</t>
  </si>
  <si>
    <t>경남/산청</t>
  </si>
  <si>
    <t>2단신규2</t>
  </si>
  <si>
    <t>3단신규2</t>
  </si>
  <si>
    <t>3단신규1</t>
  </si>
  <si>
    <t>2단신규1</t>
  </si>
  <si>
    <t>충청신규1</t>
  </si>
  <si>
    <t>충청신규2</t>
  </si>
  <si>
    <t>3단</t>
  </si>
  <si>
    <t>4단</t>
  </si>
  <si>
    <t>2단</t>
  </si>
  <si>
    <t>1단</t>
  </si>
  <si>
    <t>직할단</t>
  </si>
  <si>
    <t>지사수</t>
    <phoneticPr fontId="2" type="noConversion"/>
  </si>
  <si>
    <t>사업단</t>
    <phoneticPr fontId="2" type="noConversion"/>
  </si>
  <si>
    <t>GRM코드</t>
    <phoneticPr fontId="2" type="noConversion"/>
  </si>
  <si>
    <t>GRM명</t>
    <phoneticPr fontId="2" type="noConversion"/>
  </si>
  <si>
    <t>지역</t>
    <phoneticPr fontId="2" type="noConversion"/>
  </si>
  <si>
    <t>활동권역</t>
    <phoneticPr fontId="2" type="noConversion"/>
  </si>
  <si>
    <t>4개월 평균</t>
    <phoneticPr fontId="2" type="noConversion"/>
  </si>
  <si>
    <t>총 MCP(백만)</t>
    <phoneticPr fontId="2" type="noConversion"/>
  </si>
  <si>
    <t>단기납종신 MCP(백만)</t>
    <phoneticPr fontId="2" type="noConversion"/>
  </si>
  <si>
    <t>장기납종신 MCP(백만)</t>
    <phoneticPr fontId="2" type="noConversion"/>
  </si>
  <si>
    <t>치매 MCP(백만)</t>
    <phoneticPr fontId="2" type="noConversion"/>
  </si>
  <si>
    <t>통합 MCP(백만)</t>
    <phoneticPr fontId="2" type="noConversion"/>
  </si>
  <si>
    <t>가동인원</t>
    <phoneticPr fontId="2" type="noConversion"/>
  </si>
  <si>
    <t>연금(변액) MCP(백만)</t>
    <phoneticPr fontId="2" type="noConversion"/>
  </si>
  <si>
    <t>2개월 평균</t>
    <phoneticPr fontId="2" type="noConversion"/>
  </si>
  <si>
    <t>(무)하나뿐인 변액연금보험_적립형</t>
  </si>
  <si>
    <t>(무)하나로 100UP 종신보험(일반심사형, 해약환급금 일부지급형, 보장형 계약)</t>
  </si>
  <si>
    <t>(무)하나로 100UP 종신보험(간편심사형, 해약환급금 일부지급형, 보장형 계약)</t>
  </si>
  <si>
    <t>(무)하나로누리는건강보험(해약환급금 미지급형, 일반심사형)</t>
  </si>
  <si>
    <t>(무)THE 든든한 연금보험(간편심사형, 100세 확정연금형)</t>
  </si>
  <si>
    <t>(무)하나로누리는건강보험(갱신형, 일반심사형, 최초계약)</t>
  </si>
  <si>
    <t>(무)하나로 THE 연결된 종신보험(간편심사형, 해약환급금 일부지급형, 보장형 계약)</t>
  </si>
  <si>
    <t>(무)하나로 THE 연결된 종신보험(일반심사형, 해약환급금 일부지급형, 보장형 계약)</t>
  </si>
  <si>
    <t>(무)하나로라이트3.10.5 간편건강보험(해약환급금 미지급형)</t>
  </si>
  <si>
    <t>(무)THE 든든한 연금보험(일반심사형, 100세보증 종신연금형)</t>
  </si>
  <si>
    <t>(무)THE 든든한 연금보험(일반심사형, 100세 확정연금형)</t>
  </si>
  <si>
    <t>(무)하나로누리는건강보험(갱신형, 305 간편심사형, 최초계약)</t>
  </si>
  <si>
    <t>(무)하나로누리는건강보험(갱신형, 335 간편심사형, 최초계약)</t>
  </si>
  <si>
    <t>(무)하나로누리는건강보험(갱신형, 355 간편심사형, 최초계약)</t>
  </si>
  <si>
    <t>(무)하나로라이트3.10.5간편건강보험(갱신형, 최초계약)</t>
  </si>
  <si>
    <t>(무)하나로누리는건강보험(일반형, 일반심사형)</t>
  </si>
  <si>
    <t>(무)하나로누리는건강보험(해약환급금 미지급형, 305 간편심사형)</t>
  </si>
  <si>
    <t>(무)하나로누리는건강보험(일반형, 305 간편심사형)</t>
  </si>
  <si>
    <t>(무)하나로누리는건강보험(해약환급금 미지급형, 335 간편심사형)</t>
  </si>
  <si>
    <t>(무)하나로누리는건강보험(일반형, 335 간편심사형)</t>
  </si>
  <si>
    <t>(무)하나로누리는건강보험(해약환급금 미지급형, 355 간편심사형)</t>
  </si>
  <si>
    <t>(무)하나로누리는건강보험(일반형, 355 간편심사형)</t>
  </si>
  <si>
    <t>(무)하나로라이트3.10.5 간편건강보험(일반형)</t>
  </si>
  <si>
    <t>상품명</t>
    <phoneticPr fontId="2" type="noConversion"/>
  </si>
  <si>
    <t>변액</t>
    <phoneticPr fontId="2" type="noConversion"/>
  </si>
  <si>
    <t>연금</t>
    <phoneticPr fontId="2" type="noConversion"/>
  </si>
  <si>
    <t>종신</t>
    <phoneticPr fontId="2" type="noConversion"/>
  </si>
  <si>
    <t>건강</t>
    <phoneticPr fontId="2" type="noConversion"/>
  </si>
  <si>
    <t>상품군</t>
    <phoneticPr fontId="2" type="noConversion"/>
  </si>
  <si>
    <t>[1사업단] - 김신규</t>
  </si>
  <si>
    <t>[1사업단] - 이정화</t>
  </si>
  <si>
    <t>[1사업단] - 장윤정</t>
  </si>
  <si>
    <t>[1사업단] - 채정석</t>
  </si>
  <si>
    <t>[2사업단] - 박상민</t>
  </si>
  <si>
    <t>[2사업단] - 박정민</t>
  </si>
  <si>
    <t>[2사업단] - 박진</t>
  </si>
  <si>
    <t>[2사업단] - 신미지</t>
  </si>
  <si>
    <t>[2사업단] - 2단신규1</t>
  </si>
  <si>
    <t>[2사업단] - 2단신규2</t>
  </si>
  <si>
    <t>[3사업단] - 유재목</t>
  </si>
  <si>
    <t>[3사업단] - 이성규</t>
  </si>
  <si>
    <t>[3사업단] - 이호성</t>
  </si>
  <si>
    <t>[3사업단] - 최정민</t>
  </si>
  <si>
    <t>[3사업단] - 3단신규1</t>
  </si>
  <si>
    <t>[3사업단] - 3단신규2</t>
  </si>
  <si>
    <t>[4사업단] - 조수연</t>
  </si>
  <si>
    <t>[4사업단] - 김정운</t>
  </si>
  <si>
    <t>[4사업단] - 남민화</t>
  </si>
  <si>
    <t>[5사업단] - 유기범</t>
  </si>
  <si>
    <t>[5사업단] - 이란</t>
  </si>
  <si>
    <t>[5사업단] - 박자영</t>
  </si>
  <si>
    <t>[5사업단] - 충청신규1</t>
  </si>
  <si>
    <t>[5사업단] - 충청신규2</t>
  </si>
  <si>
    <t>[직할사업단] - 전혜정/이호준/김민준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</si>
</sst>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_-* #,##0.0_-;\-* #,##0.0_-;_-* &quot;-&quot;_-;_-@_-"/>
  </numFmts>
  <fonts count="6" x14ac:knownFonts="1">
    <font>
      <sz val="11"/>
      <color indexed="8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1"/>
      <color indexed="8"/>
      <name val="맑은 고딕"/>
      <family val="2"/>
      <scheme val="minor"/>
    </font>
    <font>
      <sz val="9"/>
      <color indexed="8"/>
      <name val="맑은 고딕"/>
      <family val="3"/>
      <charset val="129"/>
      <scheme val="minor"/>
    </font>
    <font>
      <b/>
      <sz val="9"/>
      <color indexed="8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</borders>
  <cellStyleXfs count="4">
    <xf numFmtId="0" fontId="0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58">
    <xf numFmtId="0" fontId="0" fillId="0" borderId="0" xfId="0">
      <alignment vertical="center"/>
    </xf>
    <xf numFmtId="0" fontId="5" fillId="2" borderId="10" xfId="0" applyFont="1" applyFill="1" applyBorder="1" applyAlignment="1">
      <alignment horizontal="centerContinuous" vertical="center" shrinkToFit="1"/>
    </xf>
    <xf numFmtId="0" fontId="4" fillId="2" borderId="2" xfId="0" applyFont="1" applyFill="1" applyBorder="1" applyAlignment="1">
      <alignment horizontal="centerContinuous" vertical="center" shrinkToFit="1"/>
    </xf>
    <xf numFmtId="0" fontId="4" fillId="2" borderId="13" xfId="0" applyFont="1" applyFill="1" applyBorder="1" applyAlignment="1">
      <alignment horizontal="centerContinuous" vertical="center" shrinkToFit="1"/>
    </xf>
    <xf numFmtId="0" fontId="5" fillId="2" borderId="1" xfId="0" applyFont="1" applyFill="1" applyBorder="1" applyAlignment="1">
      <alignment horizontal="centerContinuous" vertical="center" shrinkToFit="1"/>
    </xf>
    <xf numFmtId="0" fontId="4" fillId="2" borderId="3" xfId="0" applyFont="1" applyFill="1" applyBorder="1" applyAlignment="1">
      <alignment horizontal="centerContinuous" vertical="center" shrinkToFit="1"/>
    </xf>
    <xf numFmtId="0" fontId="4" fillId="0" borderId="0" xfId="0" applyFont="1">
      <alignment vertical="center"/>
    </xf>
    <xf numFmtId="0" fontId="5" fillId="2" borderId="12" xfId="0" applyFont="1" applyFill="1" applyBorder="1" applyAlignment="1">
      <alignment horizontal="center" vertical="center" shrinkToFit="1"/>
    </xf>
    <xf numFmtId="0" fontId="4" fillId="2" borderId="8" xfId="0" applyFont="1" applyFill="1" applyBorder="1" applyAlignment="1">
      <alignment horizontal="center" vertical="center" shrinkToFit="1"/>
    </xf>
    <xf numFmtId="0" fontId="4" fillId="2" borderId="15" xfId="0" applyFont="1" applyFill="1" applyBorder="1" applyAlignment="1">
      <alignment horizontal="center" vertical="center" shrinkToFit="1"/>
    </xf>
    <xf numFmtId="0" fontId="5" fillId="2" borderId="7" xfId="0" applyFont="1" applyFill="1" applyBorder="1" applyAlignment="1">
      <alignment horizontal="center" vertical="center" shrinkToFit="1"/>
    </xf>
    <xf numFmtId="0" fontId="4" fillId="2" borderId="9" xfId="0" applyFont="1" applyFill="1" applyBorder="1" applyAlignment="1">
      <alignment horizontal="center" vertical="center" shrinkToFit="1"/>
    </xf>
    <xf numFmtId="0" fontId="4" fillId="0" borderId="0" xfId="0" applyFont="1" applyAlignment="1">
      <alignment horizontal="center" vertical="center"/>
    </xf>
    <xf numFmtId="0" fontId="4" fillId="0" borderId="19" xfId="0" applyFont="1" applyBorder="1" applyAlignment="1">
      <alignment horizontal="center" vertical="center" shrinkToFit="1"/>
    </xf>
    <xf numFmtId="0" fontId="4" fillId="0" borderId="20" xfId="0" applyFont="1" applyBorder="1" applyAlignment="1">
      <alignment horizontal="center" vertical="center" shrinkToFit="1"/>
    </xf>
    <xf numFmtId="0" fontId="4" fillId="0" borderId="21" xfId="0" applyFont="1" applyBorder="1" applyAlignment="1">
      <alignment horizontal="center" vertical="center" shrinkToFit="1"/>
    </xf>
    <xf numFmtId="41" fontId="5" fillId="0" borderId="22" xfId="1" applyFont="1" applyBorder="1" applyAlignment="1">
      <alignment vertical="center" shrinkToFit="1"/>
    </xf>
    <xf numFmtId="41" fontId="5" fillId="0" borderId="23" xfId="1" applyFont="1" applyBorder="1" applyAlignment="1">
      <alignment vertical="center" shrinkToFit="1"/>
    </xf>
    <xf numFmtId="41" fontId="4" fillId="0" borderId="20" xfId="1" applyFont="1" applyBorder="1" applyAlignment="1">
      <alignment vertical="center" shrinkToFit="1"/>
    </xf>
    <xf numFmtId="41" fontId="4" fillId="0" borderId="21" xfId="1" applyFont="1" applyBorder="1" applyAlignment="1">
      <alignment vertical="center" shrinkToFit="1"/>
    </xf>
    <xf numFmtId="176" fontId="5" fillId="0" borderId="19" xfId="1" applyNumberFormat="1" applyFont="1" applyBorder="1" applyAlignment="1">
      <alignment vertical="center" shrinkToFit="1"/>
    </xf>
    <xf numFmtId="176" fontId="4" fillId="0" borderId="20" xfId="1" applyNumberFormat="1" applyFont="1" applyBorder="1" applyAlignment="1">
      <alignment vertical="center" shrinkToFit="1"/>
    </xf>
    <xf numFmtId="176" fontId="4" fillId="0" borderId="21" xfId="1" applyNumberFormat="1" applyFont="1" applyBorder="1" applyAlignment="1">
      <alignment vertical="center" shrinkToFit="1"/>
    </xf>
    <xf numFmtId="176" fontId="4" fillId="0" borderId="24" xfId="1" applyNumberFormat="1" applyFont="1" applyBorder="1" applyAlignment="1">
      <alignment vertical="center" shrinkToFit="1"/>
    </xf>
    <xf numFmtId="0" fontId="4" fillId="0" borderId="4" xfId="0" applyFont="1" applyBorder="1" applyAlignment="1">
      <alignment horizontal="center" vertical="center" shrinkToFit="1"/>
    </xf>
    <xf numFmtId="0" fontId="4" fillId="0" borderId="5" xfId="0" applyFont="1" applyBorder="1" applyAlignment="1">
      <alignment horizontal="center" vertical="center" shrinkToFit="1"/>
    </xf>
    <xf numFmtId="0" fontId="4" fillId="0" borderId="14" xfId="0" applyFont="1" applyBorder="1" applyAlignment="1">
      <alignment horizontal="center" vertical="center" shrinkToFit="1"/>
    </xf>
    <xf numFmtId="41" fontId="5" fillId="0" borderId="17" xfId="1" applyFont="1" applyBorder="1" applyAlignment="1">
      <alignment vertical="center" shrinkToFit="1"/>
    </xf>
    <xf numFmtId="41" fontId="5" fillId="0" borderId="11" xfId="1" applyFont="1" applyBorder="1" applyAlignment="1">
      <alignment vertical="center" shrinkToFit="1"/>
    </xf>
    <xf numFmtId="41" fontId="4" fillId="0" borderId="5" xfId="1" applyFont="1" applyBorder="1" applyAlignment="1">
      <alignment vertical="center" shrinkToFit="1"/>
    </xf>
    <xf numFmtId="41" fontId="4" fillId="0" borderId="14" xfId="1" applyFont="1" applyBorder="1" applyAlignment="1">
      <alignment vertical="center" shrinkToFit="1"/>
    </xf>
    <xf numFmtId="176" fontId="5" fillId="0" borderId="4" xfId="1" applyNumberFormat="1" applyFont="1" applyBorder="1" applyAlignment="1">
      <alignment vertical="center" shrinkToFit="1"/>
    </xf>
    <xf numFmtId="176" fontId="4" fillId="0" borderId="5" xfId="1" applyNumberFormat="1" applyFont="1" applyBorder="1" applyAlignment="1">
      <alignment vertical="center" shrinkToFit="1"/>
    </xf>
    <xf numFmtId="176" fontId="4" fillId="0" borderId="14" xfId="1" applyNumberFormat="1" applyFont="1" applyBorder="1" applyAlignment="1">
      <alignment vertical="center" shrinkToFit="1"/>
    </xf>
    <xf numFmtId="176" fontId="4" fillId="0" borderId="6" xfId="1" applyNumberFormat="1" applyFont="1" applyBorder="1" applyAlignment="1">
      <alignment vertical="center" shrinkToFit="1"/>
    </xf>
    <xf numFmtId="176" fontId="5" fillId="0" borderId="5" xfId="1" applyNumberFormat="1" applyFont="1" applyBorder="1" applyAlignment="1">
      <alignment vertical="center" shrinkToFit="1"/>
    </xf>
    <xf numFmtId="0" fontId="4" fillId="0" borderId="7" xfId="0" applyFont="1" applyBorder="1" applyAlignment="1">
      <alignment horizontal="center" vertical="center" shrinkToFit="1"/>
    </xf>
    <xf numFmtId="0" fontId="4" fillId="0" borderId="8" xfId="0" applyFont="1" applyBorder="1" applyAlignment="1">
      <alignment horizontal="center" vertical="center" shrinkToFit="1"/>
    </xf>
    <xf numFmtId="0" fontId="4" fillId="0" borderId="15" xfId="0" applyFont="1" applyBorder="1" applyAlignment="1">
      <alignment horizontal="center" vertical="center" shrinkToFit="1"/>
    </xf>
    <xf numFmtId="41" fontId="5" fillId="0" borderId="18" xfId="1" applyFont="1" applyBorder="1" applyAlignment="1">
      <alignment vertical="center" shrinkToFit="1"/>
    </xf>
    <xf numFmtId="41" fontId="5" fillId="0" borderId="12" xfId="1" applyFont="1" applyBorder="1" applyAlignment="1">
      <alignment vertical="center" shrinkToFit="1"/>
    </xf>
    <xf numFmtId="41" fontId="4" fillId="0" borderId="8" xfId="1" applyFont="1" applyBorder="1" applyAlignment="1">
      <alignment vertical="center" shrinkToFit="1"/>
    </xf>
    <xf numFmtId="41" fontId="4" fillId="0" borderId="15" xfId="1" applyFont="1" applyBorder="1" applyAlignment="1">
      <alignment vertical="center" shrinkToFit="1"/>
    </xf>
    <xf numFmtId="176" fontId="5" fillId="0" borderId="7" xfId="1" applyNumberFormat="1" applyFont="1" applyBorder="1" applyAlignment="1">
      <alignment vertical="center" shrinkToFit="1"/>
    </xf>
    <xf numFmtId="176" fontId="4" fillId="0" borderId="8" xfId="1" applyNumberFormat="1" applyFont="1" applyBorder="1" applyAlignment="1">
      <alignment vertical="center" shrinkToFit="1"/>
    </xf>
    <xf numFmtId="176" fontId="4" fillId="0" borderId="15" xfId="1" applyNumberFormat="1" applyFont="1" applyBorder="1" applyAlignment="1">
      <alignment vertical="center" shrinkToFit="1"/>
    </xf>
    <xf numFmtId="176" fontId="4" fillId="0" borderId="9" xfId="1" applyNumberFormat="1" applyFont="1" applyBorder="1" applyAlignment="1">
      <alignment vertical="center" shrinkToFit="1"/>
    </xf>
    <xf numFmtId="41" fontId="5" fillId="0" borderId="0" xfId="1" applyFont="1">
      <alignment vertical="center"/>
    </xf>
    <xf numFmtId="0" fontId="5" fillId="0" borderId="0" xfId="0" applyFont="1">
      <alignment vertical="center"/>
    </xf>
    <xf numFmtId="0" fontId="0" fillId="0" borderId="0" xfId="0" applyAlignment="1">
      <alignment horizontal="center" vertical="center"/>
    </xf>
    <xf numFmtId="0" fontId="5" fillId="2" borderId="16" xfId="0" applyFont="1" applyFill="1" applyBorder="1" applyAlignment="1">
      <alignment horizontal="center" vertical="center" shrinkToFit="1"/>
    </xf>
    <xf numFmtId="0" fontId="5" fillId="2" borderId="18" xfId="0" applyFont="1" applyFill="1" applyBorder="1" applyAlignment="1">
      <alignment horizontal="center" vertical="center" shrinkToFit="1"/>
    </xf>
    <xf numFmtId="0" fontId="4" fillId="2" borderId="1" xfId="0" applyFont="1" applyFill="1" applyBorder="1" applyAlignment="1">
      <alignment horizontal="center" vertical="center" shrinkToFit="1"/>
    </xf>
    <xf numFmtId="0" fontId="4" fillId="2" borderId="7" xfId="0" applyFont="1" applyFill="1" applyBorder="1" applyAlignment="1">
      <alignment horizontal="center" vertical="center" shrinkToFit="1"/>
    </xf>
    <xf numFmtId="0" fontId="4" fillId="2" borderId="2" xfId="0" applyFont="1" applyFill="1" applyBorder="1" applyAlignment="1">
      <alignment horizontal="center" vertical="center" shrinkToFit="1"/>
    </xf>
    <xf numFmtId="0" fontId="4" fillId="2" borderId="8" xfId="0" applyFont="1" applyFill="1" applyBorder="1" applyAlignment="1">
      <alignment horizontal="center" vertical="center" shrinkToFit="1"/>
    </xf>
    <xf numFmtId="0" fontId="4" fillId="2" borderId="13" xfId="0" applyFont="1" applyFill="1" applyBorder="1" applyAlignment="1">
      <alignment horizontal="center" vertical="center" shrinkToFit="1"/>
    </xf>
    <xf numFmtId="0" fontId="4" fillId="2" borderId="15" xfId="0" applyFont="1" applyFill="1" applyBorder="1" applyAlignment="1">
      <alignment horizontal="center" vertical="center" shrinkToFit="1"/>
    </xf>
  </cellXfs>
  <cellStyles count="4">
    <cellStyle name="쉼표 [0]" xfId="1" builtinId="6"/>
    <cellStyle name="쉼표 [0] 2" xfId="3" xr:uid="{00000000-0005-0000-0000-000001000000}"/>
    <cellStyle name="표준" xfId="0" builtinId="0"/>
    <cellStyle name="표준 2" xfId="2" xr:uid="{00000000-0005-0000-0000-000003000000}"/>
  </cellStyles>
  <dxfs count="0"/>
  <tableStyles count="0" defaultTableStyle="TableStyleMedium2" defaultPivotStyle="PivotStyleLight16"/>
  <colors>
    <mruColors>
      <color rgb="FF0000FF"/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FDD0B-215F-4AD7-9180-9E2BD6BED19F}">
  <dimension ref="A1:AG558"/>
  <sheetViews>
    <sheetView tabSelected="1" topLeftCell="I1" workbookViewId="0">
      <selection activeCell="K19" sqref="K19"/>
    </sheetView>
  </sheetViews>
  <sheetFormatPr defaultRowHeight="16.5" x14ac:dyDescent="0.3"/>
  <cols>
    <col min="1" max="25" width="10.125" style="49" customWidth="1"/>
  </cols>
  <sheetData>
    <row r="1" spans="1:33" x14ac:dyDescent="0.3">
      <c r="A1" s="49" t="s">
        <v>19</v>
      </c>
      <c r="B1" s="49" t="s">
        <v>10</v>
      </c>
      <c r="C1" s="49" t="s">
        <v>33</v>
      </c>
      <c r="D1" s="49" t="s">
        <v>23</v>
      </c>
      <c r="E1" s="49" t="s">
        <v>29</v>
      </c>
      <c r="F1" s="49" t="s">
        <v>28</v>
      </c>
      <c r="G1" s="49" t="s">
        <v>15</v>
      </c>
      <c r="H1" s="49" t="s">
        <v>0</v>
      </c>
      <c r="I1" s="49" t="s">
        <v>268</v>
      </c>
      <c r="J1" s="49" t="s">
        <v>265</v>
      </c>
      <c r="K1" s="49" t="s">
        <v>27</v>
      </c>
      <c r="L1" s="49" t="s">
        <v>32</v>
      </c>
      <c r="M1" s="49" t="s">
        <v>17</v>
      </c>
      <c r="N1" s="49" t="s">
        <v>18</v>
      </c>
      <c r="O1" s="49" t="s">
        <v>267</v>
      </c>
      <c r="P1" s="49" t="s">
        <v>266</v>
      </c>
      <c r="Q1" s="49" t="s">
        <v>2</v>
      </c>
      <c r="R1" s="49" t="s">
        <v>12</v>
      </c>
      <c r="S1" s="49" t="s">
        <v>3</v>
      </c>
      <c r="T1" s="49" t="s">
        <v>1</v>
      </c>
      <c r="U1" s="49" t="s">
        <v>4</v>
      </c>
      <c r="V1" s="49" t="s">
        <v>11</v>
      </c>
      <c r="W1" s="49" t="s">
        <v>269</v>
      </c>
      <c r="X1" s="49" t="s">
        <v>270</v>
      </c>
      <c r="Y1" s="49" t="s">
        <v>53</v>
      </c>
    </row>
    <row r="2" spans="1:33" x14ac:dyDescent="0.3">
      <c r="A2" s="49" t="s">
        <v>35</v>
      </c>
      <c r="B2" s="49" t="s">
        <v>37</v>
      </c>
      <c r="C2" s="49" t="s">
        <v>38</v>
      </c>
      <c r="D2" s="49" t="s">
        <v>36</v>
      </c>
      <c r="E2" s="49" t="s">
        <v>40</v>
      </c>
      <c r="F2" s="49" t="s">
        <v>41</v>
      </c>
      <c r="G2" s="49" t="s">
        <v>50</v>
      </c>
      <c r="H2" s="49" t="s">
        <v>39</v>
      </c>
      <c r="I2" s="49" t="s">
        <v>320</v>
      </c>
      <c r="J2" s="49" t="s">
        <v>321</v>
      </c>
      <c r="K2" s="49" t="s">
        <v>322</v>
      </c>
      <c r="L2" s="49" t="s">
        <v>323</v>
      </c>
      <c r="M2" s="49" t="s">
        <v>324</v>
      </c>
      <c r="N2" s="49" t="s">
        <v>325</v>
      </c>
      <c r="O2" s="49" t="s">
        <v>326</v>
      </c>
      <c r="P2" s="49" t="s">
        <v>327</v>
      </c>
      <c r="Q2" s="49" t="s">
        <v>328</v>
      </c>
      <c r="R2" s="49" t="s">
        <v>329</v>
      </c>
      <c r="S2" s="49" t="s">
        <v>330</v>
      </c>
      <c r="T2" s="49" t="s">
        <v>331</v>
      </c>
      <c r="U2" s="49" t="s">
        <v>332</v>
      </c>
      <c r="V2" s="49" t="s">
        <v>333</v>
      </c>
      <c r="W2" s="49" t="s">
        <v>334</v>
      </c>
      <c r="X2" s="49" t="s">
        <v>335</v>
      </c>
      <c r="Y2" s="49" t="s">
        <v>336</v>
      </c>
      <c r="Z2" t="s">
        <v>337</v>
      </c>
      <c r="AA2" t="s">
        <v>338</v>
      </c>
      <c r="AB2" t="s">
        <v>339</v>
      </c>
      <c r="AC2" t="s">
        <v>340</v>
      </c>
      <c r="AD2" t="s">
        <v>341</v>
      </c>
      <c r="AE2" t="s">
        <v>342</v>
      </c>
      <c r="AF2" t="s">
        <v>343</v>
      </c>
      <c r="AG2" t="s">
        <v>344</v>
      </c>
    </row>
    <row r="3" spans="1:33" x14ac:dyDescent="0.3">
      <c r="A3" s="49">
        <v>988956</v>
      </c>
      <c r="B3" s="49">
        <v>988994</v>
      </c>
      <c r="C3" s="49">
        <v>979002</v>
      </c>
      <c r="D3" s="49">
        <v>989261</v>
      </c>
      <c r="E3" s="49">
        <v>975174</v>
      </c>
      <c r="F3" s="49">
        <v>980135</v>
      </c>
      <c r="G3" s="49">
        <v>955103</v>
      </c>
      <c r="H3" s="49">
        <v>955168</v>
      </c>
      <c r="I3" s="49">
        <v>995121</v>
      </c>
      <c r="J3" s="49">
        <v>971084</v>
      </c>
      <c r="K3" s="49">
        <v>991038</v>
      </c>
      <c r="L3" s="49">
        <v>993117</v>
      </c>
      <c r="M3" s="49">
        <v>970001</v>
      </c>
      <c r="N3" s="49">
        <v>955021</v>
      </c>
      <c r="O3" s="49">
        <v>992782</v>
      </c>
      <c r="P3" s="49">
        <v>955032</v>
      </c>
      <c r="Q3" s="49">
        <v>988932</v>
      </c>
      <c r="R3" s="49">
        <v>975047</v>
      </c>
      <c r="S3" s="49">
        <v>955098</v>
      </c>
      <c r="T3" s="49">
        <v>986464</v>
      </c>
      <c r="U3" s="49">
        <v>986454</v>
      </c>
      <c r="V3" s="49">
        <v>993064</v>
      </c>
      <c r="W3" s="49">
        <v>988186</v>
      </c>
      <c r="X3" s="49">
        <v>986451</v>
      </c>
      <c r="Y3" s="49">
        <v>998196</v>
      </c>
    </row>
    <row r="4" spans="1:33" x14ac:dyDescent="0.3">
      <c r="A4" s="49">
        <v>980114</v>
      </c>
      <c r="B4" s="49">
        <v>995083</v>
      </c>
      <c r="C4" s="49">
        <v>979047</v>
      </c>
      <c r="D4" s="49">
        <v>998140</v>
      </c>
      <c r="E4" s="49">
        <v>982257</v>
      </c>
      <c r="F4" s="49">
        <v>980178</v>
      </c>
      <c r="G4" s="49">
        <v>955027</v>
      </c>
      <c r="H4" s="49">
        <v>992244</v>
      </c>
      <c r="I4" s="49">
        <v>976011</v>
      </c>
      <c r="J4" s="49">
        <v>971099</v>
      </c>
      <c r="K4" s="49">
        <v>967030</v>
      </c>
      <c r="L4" s="49">
        <v>967037</v>
      </c>
      <c r="M4" s="49">
        <v>960057</v>
      </c>
      <c r="N4" s="49">
        <v>955020</v>
      </c>
      <c r="O4" s="49">
        <v>988964</v>
      </c>
      <c r="P4" s="49">
        <v>955029</v>
      </c>
      <c r="Q4" s="49">
        <v>989312</v>
      </c>
      <c r="R4" s="49">
        <v>940055</v>
      </c>
      <c r="S4" s="49">
        <v>992168</v>
      </c>
      <c r="T4" s="49">
        <v>966066</v>
      </c>
      <c r="U4" s="49">
        <v>986582</v>
      </c>
      <c r="V4" s="49">
        <v>966154</v>
      </c>
      <c r="W4" s="49">
        <v>995076</v>
      </c>
      <c r="X4" s="49">
        <v>988986</v>
      </c>
      <c r="Y4" s="49">
        <v>983048</v>
      </c>
    </row>
    <row r="5" spans="1:33" x14ac:dyDescent="0.3">
      <c r="A5" s="49">
        <v>996401</v>
      </c>
      <c r="B5" s="49">
        <v>989088</v>
      </c>
      <c r="C5" s="49">
        <v>998080</v>
      </c>
      <c r="D5" s="49">
        <v>975147</v>
      </c>
      <c r="E5" s="49">
        <v>993081</v>
      </c>
      <c r="F5" s="49">
        <v>976052</v>
      </c>
      <c r="G5" s="49">
        <v>996050</v>
      </c>
      <c r="H5" s="49">
        <v>954118</v>
      </c>
      <c r="I5" s="49">
        <v>958014</v>
      </c>
      <c r="J5" s="49">
        <v>989326</v>
      </c>
      <c r="K5" s="49">
        <v>986142</v>
      </c>
      <c r="L5" s="49">
        <v>976027</v>
      </c>
      <c r="M5" s="49">
        <v>995290</v>
      </c>
      <c r="N5" s="49">
        <v>955022</v>
      </c>
      <c r="O5" s="49">
        <v>995309</v>
      </c>
      <c r="P5" s="49">
        <v>955006</v>
      </c>
      <c r="Q5" s="49">
        <v>996390</v>
      </c>
      <c r="R5" s="49">
        <v>940101</v>
      </c>
      <c r="S5" s="49">
        <v>982082</v>
      </c>
      <c r="T5" s="49">
        <v>955065</v>
      </c>
      <c r="U5" s="49">
        <v>995279</v>
      </c>
      <c r="V5" s="49">
        <v>992176</v>
      </c>
      <c r="W5" s="49">
        <v>993065</v>
      </c>
      <c r="X5" s="49">
        <v>986525</v>
      </c>
      <c r="Y5" s="49">
        <v>998148</v>
      </c>
    </row>
    <row r="6" spans="1:33" x14ac:dyDescent="0.3">
      <c r="A6" s="49">
        <v>991165</v>
      </c>
      <c r="B6" s="49">
        <v>972001</v>
      </c>
      <c r="C6" s="49">
        <v>973001</v>
      </c>
      <c r="D6" s="49">
        <v>982227</v>
      </c>
      <c r="E6" s="49">
        <v>993082</v>
      </c>
      <c r="F6" s="49">
        <v>955196</v>
      </c>
      <c r="G6" s="49">
        <v>975171</v>
      </c>
      <c r="H6" s="49">
        <v>954135</v>
      </c>
      <c r="I6" s="49">
        <v>980202</v>
      </c>
      <c r="J6" s="49">
        <v>956022</v>
      </c>
      <c r="K6" s="49">
        <v>991143</v>
      </c>
      <c r="L6" s="49">
        <v>977036</v>
      </c>
      <c r="M6" s="49">
        <v>962002</v>
      </c>
      <c r="N6" s="49">
        <v>955217</v>
      </c>
      <c r="O6" s="49">
        <v>978057</v>
      </c>
      <c r="P6" s="49">
        <v>992373</v>
      </c>
      <c r="Q6" s="49">
        <v>993102</v>
      </c>
      <c r="R6" s="49">
        <v>984110</v>
      </c>
      <c r="S6" s="49">
        <v>989315</v>
      </c>
      <c r="T6" s="49">
        <v>940103</v>
      </c>
      <c r="U6" s="49">
        <v>986600</v>
      </c>
      <c r="V6" s="49">
        <v>975118</v>
      </c>
      <c r="W6" s="49">
        <v>988138</v>
      </c>
      <c r="X6" s="49">
        <v>995301</v>
      </c>
      <c r="Y6" s="49">
        <v>983049</v>
      </c>
    </row>
    <row r="7" spans="1:33" x14ac:dyDescent="0.3">
      <c r="A7" s="49">
        <v>975145</v>
      </c>
      <c r="B7" s="49">
        <v>972075</v>
      </c>
      <c r="C7" s="49">
        <v>973002</v>
      </c>
      <c r="D7" s="49">
        <v>975063</v>
      </c>
      <c r="E7" s="49">
        <v>992652</v>
      </c>
      <c r="F7" s="49">
        <v>995115</v>
      </c>
      <c r="G7" s="49">
        <v>954078</v>
      </c>
      <c r="H7" s="49">
        <v>986302</v>
      </c>
      <c r="I7" s="49">
        <v>992455</v>
      </c>
      <c r="J7" s="49">
        <v>975140</v>
      </c>
      <c r="K7" s="49">
        <v>985045</v>
      </c>
      <c r="L7" s="49">
        <v>977046</v>
      </c>
      <c r="M7" s="49">
        <v>976007</v>
      </c>
      <c r="N7" s="49">
        <v>955025</v>
      </c>
      <c r="O7" s="49">
        <v>978058</v>
      </c>
      <c r="P7" s="49">
        <v>975166</v>
      </c>
      <c r="Q7" s="49">
        <v>992453</v>
      </c>
      <c r="R7" s="49">
        <v>989318</v>
      </c>
      <c r="S7" s="49">
        <v>984095</v>
      </c>
      <c r="T7" s="49">
        <v>986475</v>
      </c>
      <c r="U7" s="49">
        <v>982247</v>
      </c>
      <c r="V7" s="49">
        <v>994051</v>
      </c>
      <c r="W7" s="49">
        <v>988164</v>
      </c>
      <c r="X7" s="49">
        <v>967023</v>
      </c>
      <c r="Y7" s="49">
        <v>983104</v>
      </c>
    </row>
    <row r="8" spans="1:33" x14ac:dyDescent="0.3">
      <c r="A8" s="49">
        <v>986063</v>
      </c>
      <c r="B8" s="49">
        <v>978053</v>
      </c>
      <c r="C8" s="49">
        <v>992606</v>
      </c>
      <c r="D8" s="49">
        <v>990069</v>
      </c>
      <c r="E8" s="49">
        <v>992780</v>
      </c>
      <c r="F8" s="49">
        <v>975139</v>
      </c>
      <c r="G8" s="49">
        <v>986212</v>
      </c>
      <c r="H8" s="49">
        <v>990035</v>
      </c>
      <c r="I8" s="49">
        <v>980170</v>
      </c>
      <c r="J8" s="49">
        <v>980204</v>
      </c>
      <c r="K8" s="49">
        <v>980209</v>
      </c>
      <c r="L8" s="49">
        <v>991106</v>
      </c>
      <c r="M8" s="49">
        <v>991145</v>
      </c>
      <c r="N8" s="49">
        <v>992777</v>
      </c>
      <c r="O8" s="49">
        <v>980086</v>
      </c>
      <c r="P8" s="49">
        <v>975109</v>
      </c>
      <c r="Q8" s="49">
        <v>996214</v>
      </c>
      <c r="R8" s="49">
        <v>979016</v>
      </c>
      <c r="S8" s="49">
        <v>954179</v>
      </c>
      <c r="T8" s="49">
        <v>988517</v>
      </c>
      <c r="U8" s="49">
        <v>976089</v>
      </c>
      <c r="V8" s="49">
        <v>954180</v>
      </c>
      <c r="W8" s="49">
        <v>988183</v>
      </c>
      <c r="X8" s="49">
        <v>992620</v>
      </c>
      <c r="Y8" s="49">
        <v>998172</v>
      </c>
    </row>
    <row r="9" spans="1:33" x14ac:dyDescent="0.3">
      <c r="A9" s="49">
        <v>940063</v>
      </c>
      <c r="B9" s="49">
        <v>982005</v>
      </c>
      <c r="C9" s="49">
        <v>989089</v>
      </c>
      <c r="D9" s="49">
        <v>986067</v>
      </c>
      <c r="E9" s="49">
        <v>996403</v>
      </c>
      <c r="F9" s="49">
        <v>975172</v>
      </c>
      <c r="G9" s="49">
        <v>986122</v>
      </c>
      <c r="H9" s="49">
        <v>992742</v>
      </c>
      <c r="I9" s="49">
        <v>986027</v>
      </c>
      <c r="J9" s="49">
        <v>982091</v>
      </c>
      <c r="K9" s="49">
        <v>992597</v>
      </c>
      <c r="L9" s="49">
        <v>998188</v>
      </c>
      <c r="M9" s="49">
        <v>988985</v>
      </c>
      <c r="N9" s="49">
        <v>986279</v>
      </c>
      <c r="O9" s="49">
        <v>986081</v>
      </c>
      <c r="P9" s="49">
        <v>996042</v>
      </c>
      <c r="Q9" s="49">
        <v>996215</v>
      </c>
      <c r="R9" s="49">
        <v>986328</v>
      </c>
      <c r="S9" s="49">
        <v>988874</v>
      </c>
      <c r="T9" s="49">
        <v>988520</v>
      </c>
      <c r="U9" s="49">
        <v>976090</v>
      </c>
      <c r="V9" s="49">
        <v>986383</v>
      </c>
      <c r="W9" s="49">
        <v>988910</v>
      </c>
      <c r="X9" s="49">
        <v>995187</v>
      </c>
      <c r="Y9" s="49">
        <v>998005</v>
      </c>
    </row>
    <row r="10" spans="1:33" x14ac:dyDescent="0.3">
      <c r="A10" s="49">
        <v>996021</v>
      </c>
      <c r="B10" s="49">
        <v>955073</v>
      </c>
      <c r="C10" s="49">
        <v>993105</v>
      </c>
      <c r="D10" s="49">
        <v>988115</v>
      </c>
      <c r="E10" s="49">
        <v>995306</v>
      </c>
      <c r="F10" s="49">
        <v>976010</v>
      </c>
      <c r="G10" s="49">
        <v>978069</v>
      </c>
      <c r="H10" s="49">
        <v>995278</v>
      </c>
      <c r="I10" s="49">
        <v>986028</v>
      </c>
      <c r="J10" s="49">
        <v>982255</v>
      </c>
      <c r="K10" s="49">
        <v>982106</v>
      </c>
      <c r="L10" s="49">
        <v>955090</v>
      </c>
      <c r="M10" s="49">
        <v>988998</v>
      </c>
      <c r="N10" s="49">
        <v>954254</v>
      </c>
      <c r="O10" s="49">
        <v>992487</v>
      </c>
      <c r="P10" s="49">
        <v>996051</v>
      </c>
      <c r="Q10" s="49">
        <v>996216</v>
      </c>
      <c r="R10" s="49">
        <v>984076</v>
      </c>
      <c r="S10" s="49">
        <v>981059</v>
      </c>
      <c r="T10" s="49">
        <v>986471</v>
      </c>
      <c r="U10" s="49">
        <v>982027</v>
      </c>
      <c r="V10" s="49">
        <v>998162</v>
      </c>
      <c r="W10" s="49">
        <v>954163</v>
      </c>
      <c r="X10" s="49">
        <v>996277</v>
      </c>
      <c r="Y10" s="49">
        <v>998096</v>
      </c>
    </row>
    <row r="11" spans="1:33" x14ac:dyDescent="0.3">
      <c r="A11" s="49">
        <v>995325</v>
      </c>
      <c r="B11" s="49">
        <v>988952</v>
      </c>
      <c r="C11" s="49">
        <v>940001</v>
      </c>
      <c r="D11" s="49">
        <v>995069</v>
      </c>
      <c r="E11" s="49">
        <v>956001</v>
      </c>
      <c r="F11" s="49">
        <v>986573</v>
      </c>
      <c r="G11" s="49">
        <v>976001</v>
      </c>
      <c r="H11" s="49">
        <v>955093</v>
      </c>
      <c r="I11" s="49">
        <v>940060</v>
      </c>
      <c r="J11" s="49">
        <v>988469</v>
      </c>
      <c r="K11" s="49">
        <v>988951</v>
      </c>
      <c r="L11" s="49">
        <v>955026</v>
      </c>
      <c r="M11" s="49">
        <v>958013</v>
      </c>
      <c r="N11" s="49">
        <v>986293</v>
      </c>
      <c r="O11" s="49">
        <v>955113</v>
      </c>
      <c r="P11" s="49">
        <v>960008</v>
      </c>
      <c r="Q11" s="49">
        <v>996220</v>
      </c>
      <c r="R11" s="49">
        <v>992775</v>
      </c>
      <c r="S11" s="49">
        <v>992558</v>
      </c>
      <c r="T11" s="49">
        <v>989185</v>
      </c>
      <c r="U11" s="49">
        <v>992120</v>
      </c>
      <c r="V11" s="49">
        <v>978038</v>
      </c>
      <c r="W11" s="49">
        <v>989303</v>
      </c>
      <c r="X11" s="49">
        <v>955115</v>
      </c>
      <c r="Y11" s="49">
        <v>998097</v>
      </c>
    </row>
    <row r="12" spans="1:33" x14ac:dyDescent="0.3">
      <c r="A12" s="49">
        <v>955072</v>
      </c>
      <c r="B12" s="49">
        <v>972034</v>
      </c>
      <c r="C12" s="49">
        <v>994041</v>
      </c>
      <c r="D12" s="49">
        <v>994034</v>
      </c>
      <c r="E12" s="49">
        <v>982032</v>
      </c>
      <c r="F12" s="49">
        <v>992273</v>
      </c>
      <c r="G12" s="49">
        <v>995280</v>
      </c>
      <c r="H12" s="49">
        <v>955122</v>
      </c>
      <c r="I12" s="49">
        <v>988958</v>
      </c>
      <c r="J12" s="49">
        <v>989072</v>
      </c>
      <c r="K12" s="49">
        <v>975084</v>
      </c>
      <c r="L12" s="49">
        <v>993089</v>
      </c>
      <c r="M12" s="49">
        <v>940041</v>
      </c>
      <c r="N12" s="49">
        <v>995267</v>
      </c>
      <c r="O12" s="49">
        <v>955209</v>
      </c>
      <c r="P12" s="49">
        <v>960025</v>
      </c>
      <c r="Q12" s="49">
        <v>988621</v>
      </c>
      <c r="R12" s="49">
        <v>989080</v>
      </c>
      <c r="S12" s="49">
        <v>986331</v>
      </c>
      <c r="T12" s="49">
        <v>994036</v>
      </c>
      <c r="U12" s="49">
        <v>984102</v>
      </c>
      <c r="V12" s="49">
        <v>986565</v>
      </c>
      <c r="W12" s="49">
        <v>988187</v>
      </c>
      <c r="X12" s="49">
        <v>992057</v>
      </c>
      <c r="Y12" s="49">
        <v>998144</v>
      </c>
    </row>
    <row r="13" spans="1:33" x14ac:dyDescent="0.3">
      <c r="A13" s="49">
        <v>955107</v>
      </c>
      <c r="B13" s="49">
        <v>972016</v>
      </c>
      <c r="C13" s="49">
        <v>989332</v>
      </c>
      <c r="D13" s="49">
        <v>954239</v>
      </c>
      <c r="E13" s="49">
        <v>992553</v>
      </c>
      <c r="F13" s="49">
        <v>977044</v>
      </c>
      <c r="G13" s="49">
        <v>961001</v>
      </c>
      <c r="H13" s="49">
        <v>955167</v>
      </c>
      <c r="I13" s="49">
        <v>988989</v>
      </c>
      <c r="J13" s="49">
        <v>954175</v>
      </c>
      <c r="K13" s="49">
        <v>976025</v>
      </c>
      <c r="L13" s="49">
        <v>998028</v>
      </c>
      <c r="M13" s="49">
        <v>976071</v>
      </c>
      <c r="N13" s="49">
        <v>988405</v>
      </c>
      <c r="O13" s="49">
        <v>990025</v>
      </c>
      <c r="P13" s="49">
        <v>995077</v>
      </c>
      <c r="Q13" s="49">
        <v>994004</v>
      </c>
      <c r="R13" s="49">
        <v>986332</v>
      </c>
      <c r="S13" s="49">
        <v>986336</v>
      </c>
      <c r="T13" s="49">
        <v>989179</v>
      </c>
      <c r="U13" s="49">
        <v>976088</v>
      </c>
      <c r="V13" s="49">
        <v>986408</v>
      </c>
      <c r="W13" s="49">
        <v>986539</v>
      </c>
      <c r="X13" s="49">
        <v>988781</v>
      </c>
      <c r="Y13" s="49">
        <v>998149</v>
      </c>
    </row>
    <row r="14" spans="1:33" x14ac:dyDescent="0.3">
      <c r="A14" s="49">
        <v>982010</v>
      </c>
      <c r="B14" s="49">
        <v>995248</v>
      </c>
      <c r="C14" s="49">
        <v>968001</v>
      </c>
      <c r="D14" s="49">
        <v>992495</v>
      </c>
      <c r="E14" s="49">
        <v>972051</v>
      </c>
      <c r="F14" s="49">
        <v>992004</v>
      </c>
      <c r="G14" s="49">
        <v>992266</v>
      </c>
      <c r="H14" s="49">
        <v>975158</v>
      </c>
      <c r="I14" s="49">
        <v>998094</v>
      </c>
      <c r="J14" s="49">
        <v>992019</v>
      </c>
      <c r="K14" s="49">
        <v>980152</v>
      </c>
      <c r="L14" s="49">
        <v>976038</v>
      </c>
      <c r="M14" s="49">
        <v>991157</v>
      </c>
      <c r="N14" s="49">
        <v>982097</v>
      </c>
      <c r="O14" s="49">
        <v>998185</v>
      </c>
      <c r="P14" s="49">
        <v>988081</v>
      </c>
      <c r="Q14" s="49">
        <v>992382</v>
      </c>
      <c r="R14" s="49">
        <v>992395</v>
      </c>
      <c r="S14" s="49">
        <v>980120</v>
      </c>
      <c r="T14" s="49">
        <v>980026</v>
      </c>
      <c r="U14" s="49">
        <v>993113</v>
      </c>
      <c r="V14" s="49">
        <v>986427</v>
      </c>
      <c r="W14" s="49">
        <v>988721</v>
      </c>
      <c r="X14" s="49">
        <v>982233</v>
      </c>
      <c r="Y14" s="49">
        <v>983047</v>
      </c>
    </row>
    <row r="15" spans="1:33" x14ac:dyDescent="0.3">
      <c r="A15" s="49">
        <v>993087</v>
      </c>
      <c r="B15" s="49">
        <v>979003</v>
      </c>
      <c r="C15" s="49">
        <v>968002</v>
      </c>
      <c r="D15" s="49">
        <v>996274</v>
      </c>
      <c r="E15" s="49">
        <v>988931</v>
      </c>
      <c r="F15" s="49">
        <v>981078</v>
      </c>
      <c r="G15" s="49">
        <v>976035</v>
      </c>
      <c r="H15" s="49">
        <v>992639</v>
      </c>
      <c r="I15" s="49">
        <v>958005</v>
      </c>
      <c r="J15" s="49">
        <v>982015</v>
      </c>
      <c r="K15" s="49">
        <v>984088</v>
      </c>
      <c r="L15" s="49">
        <v>940038</v>
      </c>
      <c r="M15" s="49">
        <v>955212</v>
      </c>
      <c r="N15" s="49">
        <v>981031</v>
      </c>
      <c r="O15" s="49">
        <v>992564</v>
      </c>
      <c r="P15" s="49">
        <v>992194</v>
      </c>
      <c r="Q15" s="49">
        <v>985018</v>
      </c>
      <c r="R15" s="49">
        <v>989037</v>
      </c>
      <c r="S15" s="49">
        <v>992461</v>
      </c>
      <c r="T15" s="49">
        <v>986484</v>
      </c>
      <c r="U15" s="49">
        <v>993119</v>
      </c>
      <c r="V15" s="49">
        <v>982021</v>
      </c>
      <c r="W15" s="49">
        <v>991058</v>
      </c>
      <c r="X15" s="49">
        <v>985008</v>
      </c>
      <c r="Y15" s="49">
        <v>998195</v>
      </c>
    </row>
    <row r="16" spans="1:33" x14ac:dyDescent="0.3">
      <c r="A16" s="49">
        <v>995109</v>
      </c>
      <c r="B16" s="49">
        <v>995194</v>
      </c>
      <c r="C16" s="49">
        <v>988417</v>
      </c>
      <c r="D16" s="49">
        <v>992247</v>
      </c>
      <c r="E16" s="49">
        <v>994046</v>
      </c>
      <c r="F16" s="49">
        <v>981030</v>
      </c>
      <c r="G16" s="49">
        <v>976036</v>
      </c>
      <c r="H16" s="49">
        <v>986086</v>
      </c>
      <c r="I16" s="49">
        <v>996409</v>
      </c>
      <c r="J16" s="49">
        <v>986241</v>
      </c>
      <c r="K16" s="49">
        <v>992766</v>
      </c>
      <c r="L16" s="49">
        <v>993093</v>
      </c>
      <c r="M16" s="49">
        <v>986092</v>
      </c>
      <c r="N16" s="49">
        <v>960031</v>
      </c>
      <c r="O16" s="49">
        <v>988367</v>
      </c>
      <c r="P16" s="49">
        <v>995227</v>
      </c>
      <c r="Q16" s="49">
        <v>992608</v>
      </c>
      <c r="R16" s="49">
        <v>984052</v>
      </c>
      <c r="S16" s="49">
        <v>988939</v>
      </c>
      <c r="T16" s="49">
        <v>986457</v>
      </c>
      <c r="U16" s="49">
        <v>994073</v>
      </c>
      <c r="V16" s="49">
        <v>976057</v>
      </c>
      <c r="W16" s="49">
        <v>976087</v>
      </c>
      <c r="X16" s="49">
        <v>989350</v>
      </c>
      <c r="Y16" s="49">
        <v>998010</v>
      </c>
    </row>
    <row r="17" spans="1:25" x14ac:dyDescent="0.3">
      <c r="A17" s="49">
        <v>976077</v>
      </c>
      <c r="B17" s="49">
        <v>996039</v>
      </c>
      <c r="C17" s="49">
        <v>976085</v>
      </c>
      <c r="D17" s="49">
        <v>995266</v>
      </c>
      <c r="E17" s="49">
        <v>996285</v>
      </c>
      <c r="F17" s="49">
        <v>981072</v>
      </c>
      <c r="G17" s="49">
        <v>989293</v>
      </c>
      <c r="H17" s="49">
        <v>996211</v>
      </c>
      <c r="I17" s="49">
        <v>984107</v>
      </c>
      <c r="J17" s="49">
        <v>986269</v>
      </c>
      <c r="K17" s="49">
        <v>986018</v>
      </c>
      <c r="L17" s="49">
        <v>958028</v>
      </c>
      <c r="M17" s="49">
        <v>989073</v>
      </c>
      <c r="N17" s="49">
        <v>990066</v>
      </c>
      <c r="O17" s="49">
        <v>995006</v>
      </c>
      <c r="P17" s="49">
        <v>954015</v>
      </c>
      <c r="Q17" s="49">
        <v>954009</v>
      </c>
      <c r="R17" s="49">
        <v>976086</v>
      </c>
      <c r="S17" s="49">
        <v>968008</v>
      </c>
      <c r="T17" s="49">
        <v>988189</v>
      </c>
      <c r="U17" s="49">
        <v>989068</v>
      </c>
      <c r="V17" s="49">
        <v>989331</v>
      </c>
      <c r="W17" s="49">
        <v>971088</v>
      </c>
      <c r="X17" s="49">
        <v>992469</v>
      </c>
      <c r="Y17" s="49">
        <v>998047</v>
      </c>
    </row>
    <row r="18" spans="1:25" x14ac:dyDescent="0.3">
      <c r="A18" s="49">
        <v>992698</v>
      </c>
      <c r="B18" s="49">
        <v>996070</v>
      </c>
      <c r="C18" s="49">
        <v>978042</v>
      </c>
      <c r="D18" s="49">
        <v>981058</v>
      </c>
      <c r="E18" s="49">
        <v>975114</v>
      </c>
      <c r="F18" s="49">
        <v>960027</v>
      </c>
      <c r="G18" s="49">
        <v>982250</v>
      </c>
      <c r="H18" s="49">
        <v>954139</v>
      </c>
      <c r="I18" s="49">
        <v>955124</v>
      </c>
      <c r="J18" s="49">
        <v>982253</v>
      </c>
      <c r="K18" s="49">
        <v>995075</v>
      </c>
      <c r="L18" s="49">
        <v>982105</v>
      </c>
      <c r="M18" s="49">
        <v>989266</v>
      </c>
      <c r="N18" s="49">
        <v>992061</v>
      </c>
      <c r="O18" s="49">
        <v>988022</v>
      </c>
      <c r="P18" s="49">
        <v>954038</v>
      </c>
      <c r="Q18" s="49">
        <v>954219</v>
      </c>
      <c r="R18" s="49">
        <v>981080</v>
      </c>
      <c r="S18" s="49">
        <v>992770</v>
      </c>
      <c r="T18" s="49">
        <v>989190</v>
      </c>
      <c r="U18" s="49">
        <v>988196</v>
      </c>
      <c r="V18" s="49">
        <v>955200</v>
      </c>
      <c r="W18" s="49">
        <v>985055</v>
      </c>
      <c r="X18" s="49">
        <v>982189</v>
      </c>
      <c r="Y18" s="49">
        <v>998198</v>
      </c>
    </row>
    <row r="19" spans="1:25" x14ac:dyDescent="0.3">
      <c r="A19" s="49">
        <v>993124</v>
      </c>
      <c r="B19" s="49">
        <v>980003</v>
      </c>
      <c r="C19" s="49">
        <v>998184</v>
      </c>
      <c r="D19" s="49">
        <v>992155</v>
      </c>
      <c r="E19" s="49">
        <v>979057</v>
      </c>
      <c r="F19" s="49">
        <v>975165</v>
      </c>
      <c r="G19" s="49">
        <v>995310</v>
      </c>
      <c r="H19" s="49">
        <v>986084</v>
      </c>
      <c r="I19" s="49">
        <v>988955</v>
      </c>
      <c r="J19" s="49">
        <v>978059</v>
      </c>
      <c r="K19" s="49">
        <v>986148</v>
      </c>
      <c r="L19" s="49">
        <v>982104</v>
      </c>
      <c r="M19" s="49">
        <v>989316</v>
      </c>
      <c r="N19" s="49">
        <v>992671</v>
      </c>
      <c r="O19" s="49">
        <v>988482</v>
      </c>
      <c r="P19" s="49">
        <v>996058</v>
      </c>
      <c r="Q19" s="49">
        <v>992600</v>
      </c>
      <c r="R19" s="49">
        <v>978047</v>
      </c>
      <c r="S19" s="49">
        <v>978044</v>
      </c>
      <c r="T19" s="49">
        <v>966090</v>
      </c>
      <c r="U19" s="49">
        <v>996379</v>
      </c>
      <c r="V19" s="49">
        <v>977007</v>
      </c>
      <c r="W19" s="49">
        <v>955219</v>
      </c>
      <c r="X19" s="49">
        <v>996136</v>
      </c>
      <c r="Y19" s="49">
        <v>998193</v>
      </c>
    </row>
    <row r="20" spans="1:25" x14ac:dyDescent="0.3">
      <c r="A20" s="49">
        <v>972018</v>
      </c>
      <c r="B20" s="49">
        <v>991112</v>
      </c>
      <c r="C20" s="49">
        <v>955069</v>
      </c>
      <c r="D20" s="49">
        <v>988453</v>
      </c>
      <c r="E20" s="49">
        <v>982033</v>
      </c>
      <c r="F20" s="49">
        <v>996287</v>
      </c>
      <c r="G20" s="49">
        <v>993128</v>
      </c>
      <c r="H20" s="49">
        <v>986087</v>
      </c>
      <c r="I20" s="49">
        <v>955226</v>
      </c>
      <c r="J20" s="49">
        <v>988987</v>
      </c>
      <c r="K20" s="49">
        <v>992555</v>
      </c>
      <c r="L20" s="49">
        <v>984118</v>
      </c>
      <c r="M20" s="49">
        <v>976004</v>
      </c>
      <c r="N20" s="49">
        <v>969001</v>
      </c>
      <c r="O20" s="49">
        <v>996175</v>
      </c>
      <c r="P20" s="49">
        <v>988060</v>
      </c>
      <c r="Q20" s="49">
        <v>971056</v>
      </c>
      <c r="R20" s="49">
        <v>986340</v>
      </c>
      <c r="S20" s="49">
        <v>989269</v>
      </c>
      <c r="T20" s="49">
        <v>986470</v>
      </c>
      <c r="U20" s="49">
        <v>988541</v>
      </c>
      <c r="V20" s="49">
        <v>940042</v>
      </c>
      <c r="W20" s="49">
        <v>955056</v>
      </c>
      <c r="X20" s="49">
        <v>991118</v>
      </c>
      <c r="Y20" s="49">
        <v>998186</v>
      </c>
    </row>
    <row r="21" spans="1:25" x14ac:dyDescent="0.3">
      <c r="A21" s="49">
        <v>972010</v>
      </c>
      <c r="B21" s="49">
        <v>993054</v>
      </c>
      <c r="C21" s="49">
        <v>955079</v>
      </c>
      <c r="D21" s="49">
        <v>982019</v>
      </c>
      <c r="E21" s="49">
        <v>982090</v>
      </c>
      <c r="F21" s="49">
        <v>986595</v>
      </c>
      <c r="G21" s="49">
        <v>976084</v>
      </c>
      <c r="H21" s="49">
        <v>993038</v>
      </c>
      <c r="I21" s="49">
        <v>955190</v>
      </c>
      <c r="J21" s="49">
        <v>972079</v>
      </c>
      <c r="K21" s="49">
        <v>986117</v>
      </c>
      <c r="L21" s="49">
        <v>992727</v>
      </c>
      <c r="M21" s="49">
        <v>996389</v>
      </c>
      <c r="N21" s="49">
        <v>991147</v>
      </c>
      <c r="O21" s="49">
        <v>996182</v>
      </c>
      <c r="P21" s="49">
        <v>995206</v>
      </c>
      <c r="Q21" s="49">
        <v>972043</v>
      </c>
      <c r="R21" s="49">
        <v>986342</v>
      </c>
      <c r="S21" s="49">
        <v>992688</v>
      </c>
      <c r="T21" s="49">
        <v>986481</v>
      </c>
      <c r="U21" s="49">
        <v>988561</v>
      </c>
      <c r="V21" s="49">
        <v>986415</v>
      </c>
      <c r="W21" s="49">
        <v>955164</v>
      </c>
      <c r="X21" s="49">
        <v>992767</v>
      </c>
      <c r="Y21" s="49">
        <v>998088</v>
      </c>
    </row>
    <row r="22" spans="1:25" x14ac:dyDescent="0.3">
      <c r="A22" s="49">
        <v>992454</v>
      </c>
      <c r="B22" s="49">
        <v>996074</v>
      </c>
      <c r="C22" s="49">
        <v>982004</v>
      </c>
      <c r="D22" s="49">
        <v>996047</v>
      </c>
      <c r="E22" s="49">
        <v>993041</v>
      </c>
      <c r="F22" s="49">
        <v>978050</v>
      </c>
      <c r="G22" s="49">
        <v>989297</v>
      </c>
      <c r="H22" s="49">
        <v>992145</v>
      </c>
      <c r="I22" s="49">
        <v>962004</v>
      </c>
      <c r="J22" s="49">
        <v>996054</v>
      </c>
      <c r="K22" s="49">
        <v>991071</v>
      </c>
      <c r="L22" s="49">
        <v>998016</v>
      </c>
      <c r="M22" s="49">
        <v>972017</v>
      </c>
      <c r="N22" s="49">
        <v>955132</v>
      </c>
      <c r="O22" s="49">
        <v>996168</v>
      </c>
      <c r="P22" s="49">
        <v>995207</v>
      </c>
      <c r="Q22" s="49">
        <v>974011</v>
      </c>
      <c r="R22" s="49">
        <v>986592</v>
      </c>
      <c r="S22" s="49">
        <v>989271</v>
      </c>
      <c r="T22" s="49">
        <v>996162</v>
      </c>
      <c r="U22" s="49">
        <v>988799</v>
      </c>
      <c r="V22" s="49">
        <v>986047</v>
      </c>
      <c r="W22" s="49">
        <v>955008</v>
      </c>
      <c r="X22" s="49">
        <v>993111</v>
      </c>
      <c r="Y22" s="49">
        <v>998131</v>
      </c>
    </row>
    <row r="23" spans="1:25" x14ac:dyDescent="0.3">
      <c r="A23" s="49">
        <v>996023</v>
      </c>
      <c r="B23" s="49">
        <v>954115</v>
      </c>
      <c r="C23" s="49">
        <v>978032</v>
      </c>
      <c r="D23" s="49">
        <v>954033</v>
      </c>
      <c r="E23" s="49">
        <v>982267</v>
      </c>
      <c r="F23" s="49">
        <v>986058</v>
      </c>
      <c r="G23" s="49">
        <v>988995</v>
      </c>
      <c r="H23" s="49">
        <v>995143</v>
      </c>
      <c r="I23" s="49">
        <v>988949</v>
      </c>
      <c r="J23" s="49">
        <v>996059</v>
      </c>
      <c r="K23" s="49">
        <v>992389</v>
      </c>
      <c r="L23" s="49">
        <v>955003</v>
      </c>
      <c r="M23" s="49">
        <v>976099</v>
      </c>
      <c r="N23" s="49">
        <v>990053</v>
      </c>
      <c r="O23" s="49">
        <v>954194</v>
      </c>
      <c r="P23" s="49">
        <v>962001</v>
      </c>
      <c r="Q23" s="49">
        <v>985050</v>
      </c>
      <c r="R23" s="49">
        <v>992130</v>
      </c>
      <c r="S23" s="49">
        <v>978040</v>
      </c>
      <c r="T23" s="49">
        <v>988420</v>
      </c>
      <c r="U23" s="49">
        <v>984048</v>
      </c>
      <c r="V23" s="49">
        <v>988538</v>
      </c>
      <c r="W23" s="49">
        <v>955205</v>
      </c>
      <c r="X23" s="49">
        <v>992217</v>
      </c>
      <c r="Y23" s="49">
        <v>983043</v>
      </c>
    </row>
    <row r="24" spans="1:25" x14ac:dyDescent="0.3">
      <c r="A24" s="49">
        <v>988739</v>
      </c>
      <c r="B24" s="49">
        <v>995193</v>
      </c>
      <c r="C24" s="49">
        <v>978033</v>
      </c>
      <c r="D24" s="49">
        <v>986253</v>
      </c>
      <c r="E24" s="49">
        <v>960002</v>
      </c>
      <c r="F24" s="49">
        <v>954167</v>
      </c>
      <c r="G24" s="49">
        <v>980110</v>
      </c>
      <c r="H24" s="49">
        <v>996091</v>
      </c>
      <c r="I24" s="49">
        <v>984093</v>
      </c>
      <c r="J24" s="49">
        <v>995195</v>
      </c>
      <c r="K24" s="49">
        <v>998160</v>
      </c>
      <c r="L24" s="49">
        <v>967038</v>
      </c>
      <c r="M24" s="49">
        <v>972015</v>
      </c>
      <c r="N24" s="49">
        <v>960016</v>
      </c>
      <c r="O24" s="49">
        <v>980004</v>
      </c>
      <c r="P24" s="49">
        <v>963001</v>
      </c>
      <c r="Q24" s="49">
        <v>940018</v>
      </c>
      <c r="R24" s="49">
        <v>992715</v>
      </c>
      <c r="S24" s="49">
        <v>958019</v>
      </c>
      <c r="T24" s="49">
        <v>982043</v>
      </c>
      <c r="U24" s="49">
        <v>988543</v>
      </c>
      <c r="V24" s="49">
        <v>980196</v>
      </c>
      <c r="W24" s="49">
        <v>976072</v>
      </c>
      <c r="X24" s="49">
        <v>971081</v>
      </c>
      <c r="Y24" s="49">
        <v>983044</v>
      </c>
    </row>
    <row r="25" spans="1:25" x14ac:dyDescent="0.3">
      <c r="A25" s="49">
        <v>996022</v>
      </c>
      <c r="B25" s="49">
        <v>988106</v>
      </c>
      <c r="C25" s="49">
        <v>976039</v>
      </c>
      <c r="D25" s="49">
        <v>986254</v>
      </c>
      <c r="E25" s="49">
        <v>986224</v>
      </c>
      <c r="F25" s="49">
        <v>975142</v>
      </c>
      <c r="G25" s="49">
        <v>955002</v>
      </c>
      <c r="H25" s="49">
        <v>988122</v>
      </c>
      <c r="I25" s="49">
        <v>955106</v>
      </c>
      <c r="J25" s="49">
        <v>988095</v>
      </c>
      <c r="K25" s="49">
        <v>955169</v>
      </c>
      <c r="L25" s="49">
        <v>982259</v>
      </c>
      <c r="M25" s="49">
        <v>972023</v>
      </c>
      <c r="N25" s="49">
        <v>976012</v>
      </c>
      <c r="O25" s="49">
        <v>988014</v>
      </c>
      <c r="P25" s="49">
        <v>966188</v>
      </c>
      <c r="Q25" s="49">
        <v>989296</v>
      </c>
      <c r="R25" s="49">
        <v>993110</v>
      </c>
      <c r="S25" s="49">
        <v>962005</v>
      </c>
      <c r="T25" s="49">
        <v>996187</v>
      </c>
      <c r="U25" s="49">
        <v>988542</v>
      </c>
      <c r="V25" s="49">
        <v>995269</v>
      </c>
      <c r="W25" s="49">
        <v>955054</v>
      </c>
      <c r="X25" s="49">
        <v>958021</v>
      </c>
      <c r="Y25" s="49">
        <v>983045</v>
      </c>
    </row>
    <row r="26" spans="1:25" x14ac:dyDescent="0.3">
      <c r="A26" s="49">
        <v>992059</v>
      </c>
      <c r="B26" s="49">
        <v>996386</v>
      </c>
      <c r="C26" s="49">
        <v>976040</v>
      </c>
      <c r="D26" s="49">
        <v>995224</v>
      </c>
      <c r="E26" s="49">
        <v>986235</v>
      </c>
      <c r="F26" s="49">
        <v>986064</v>
      </c>
      <c r="G26" s="49">
        <v>954113</v>
      </c>
      <c r="H26" s="49">
        <v>988460</v>
      </c>
      <c r="I26" s="49">
        <v>955175</v>
      </c>
      <c r="J26" s="49">
        <v>995221</v>
      </c>
      <c r="K26" s="49">
        <v>955091</v>
      </c>
      <c r="L26" s="49">
        <v>990015</v>
      </c>
      <c r="M26" s="49">
        <v>972005</v>
      </c>
      <c r="N26" s="49">
        <v>976049</v>
      </c>
      <c r="O26" s="49">
        <v>988365</v>
      </c>
      <c r="P26" s="49">
        <v>969006</v>
      </c>
      <c r="Q26" s="49">
        <v>992720</v>
      </c>
      <c r="R26" s="49">
        <v>992147</v>
      </c>
      <c r="S26" s="49">
        <v>982249</v>
      </c>
      <c r="T26" s="49">
        <v>986010</v>
      </c>
      <c r="U26" s="49">
        <v>994103</v>
      </c>
      <c r="V26" s="49">
        <v>986005</v>
      </c>
      <c r="W26" s="49">
        <v>955051</v>
      </c>
      <c r="X26" s="49">
        <v>982193</v>
      </c>
      <c r="Y26" s="49">
        <v>983046</v>
      </c>
    </row>
    <row r="27" spans="1:25" x14ac:dyDescent="0.3">
      <c r="A27" s="49">
        <v>995197</v>
      </c>
      <c r="B27" s="49">
        <v>954045</v>
      </c>
      <c r="C27" s="49">
        <v>976046</v>
      </c>
      <c r="D27" s="49">
        <v>992102</v>
      </c>
      <c r="E27" s="49">
        <v>995070</v>
      </c>
      <c r="F27" s="49">
        <v>996208</v>
      </c>
      <c r="G27" s="49">
        <v>955206</v>
      </c>
      <c r="H27" s="49">
        <v>986581</v>
      </c>
      <c r="I27" s="49">
        <v>988988</v>
      </c>
      <c r="J27" s="49">
        <v>991020</v>
      </c>
      <c r="K27" s="49">
        <v>955114</v>
      </c>
      <c r="L27" s="49">
        <v>991002</v>
      </c>
      <c r="M27" s="49">
        <v>998118</v>
      </c>
      <c r="N27" s="49">
        <v>991003</v>
      </c>
      <c r="O27" s="49">
        <v>960004</v>
      </c>
      <c r="P27" s="49">
        <v>975143</v>
      </c>
      <c r="Q27" s="49">
        <v>993077</v>
      </c>
      <c r="R27" s="49">
        <v>984087</v>
      </c>
      <c r="S27" s="49">
        <v>982260</v>
      </c>
      <c r="T27" s="49">
        <v>980014</v>
      </c>
      <c r="U27" s="49">
        <v>994076</v>
      </c>
      <c r="V27" s="49">
        <v>966114</v>
      </c>
      <c r="W27" s="49">
        <v>955140</v>
      </c>
      <c r="X27" s="49">
        <v>982219</v>
      </c>
      <c r="Y27" s="49">
        <v>983091</v>
      </c>
    </row>
    <row r="28" spans="1:25" x14ac:dyDescent="0.3">
      <c r="A28" s="49">
        <v>989216</v>
      </c>
      <c r="B28" s="49">
        <v>988093</v>
      </c>
      <c r="C28" s="49">
        <v>958009</v>
      </c>
      <c r="D28" s="49">
        <v>986201</v>
      </c>
      <c r="E28" s="49">
        <v>988035</v>
      </c>
      <c r="F28" s="49">
        <v>996209</v>
      </c>
      <c r="G28" s="49">
        <v>955037</v>
      </c>
      <c r="H28" s="49">
        <v>992073</v>
      </c>
      <c r="I28" s="49">
        <v>985054</v>
      </c>
      <c r="J28" s="49">
        <v>940069</v>
      </c>
      <c r="K28" s="49">
        <v>955178</v>
      </c>
      <c r="L28" s="49">
        <v>995299</v>
      </c>
      <c r="M28" s="49">
        <v>954146</v>
      </c>
      <c r="N28" s="49">
        <v>995264</v>
      </c>
      <c r="O28" s="49">
        <v>996282</v>
      </c>
      <c r="P28" s="49">
        <v>982266</v>
      </c>
      <c r="Q28" s="49">
        <v>963002</v>
      </c>
      <c r="R28" s="49">
        <v>986341</v>
      </c>
      <c r="S28" s="49">
        <v>989273</v>
      </c>
      <c r="T28" s="49">
        <v>989164</v>
      </c>
      <c r="U28" s="49">
        <v>994010</v>
      </c>
      <c r="V28" s="49">
        <v>982030</v>
      </c>
      <c r="W28" s="49">
        <v>955012</v>
      </c>
      <c r="X28" s="49">
        <v>940053</v>
      </c>
      <c r="Y28" s="49">
        <v>983101</v>
      </c>
    </row>
    <row r="29" spans="1:25" x14ac:dyDescent="0.3">
      <c r="A29" s="49">
        <v>996026</v>
      </c>
      <c r="B29" s="49">
        <v>983094</v>
      </c>
      <c r="C29" s="49">
        <v>960001</v>
      </c>
      <c r="D29" s="49">
        <v>960056</v>
      </c>
      <c r="E29" s="49">
        <v>982035</v>
      </c>
      <c r="F29" s="49">
        <v>992323</v>
      </c>
      <c r="G29" s="49">
        <v>940026</v>
      </c>
      <c r="H29" s="49">
        <v>995292</v>
      </c>
      <c r="I29" s="49">
        <v>955070</v>
      </c>
      <c r="J29" s="49">
        <v>988981</v>
      </c>
      <c r="K29" s="49">
        <v>955163</v>
      </c>
      <c r="L29" s="49">
        <v>992545</v>
      </c>
      <c r="M29" s="49">
        <v>991017</v>
      </c>
      <c r="N29" s="49">
        <v>996034</v>
      </c>
      <c r="O29" s="49">
        <v>986194</v>
      </c>
      <c r="P29" s="49">
        <v>984058</v>
      </c>
      <c r="Q29" s="49">
        <v>976030</v>
      </c>
      <c r="R29" s="49">
        <v>955151</v>
      </c>
      <c r="S29" s="49">
        <v>992111</v>
      </c>
      <c r="T29" s="49">
        <v>988783</v>
      </c>
      <c r="U29" s="49">
        <v>960054</v>
      </c>
      <c r="V29" s="49">
        <v>982026</v>
      </c>
      <c r="W29" s="49">
        <v>976080</v>
      </c>
      <c r="X29" s="49">
        <v>995308</v>
      </c>
      <c r="Y29" s="49">
        <v>983111</v>
      </c>
    </row>
    <row r="30" spans="1:25" x14ac:dyDescent="0.3">
      <c r="A30" s="49">
        <v>988013</v>
      </c>
      <c r="B30" s="49">
        <v>988097</v>
      </c>
      <c r="C30" s="49">
        <v>976092</v>
      </c>
      <c r="D30" s="49">
        <v>986572</v>
      </c>
      <c r="E30" s="49">
        <v>992119</v>
      </c>
      <c r="F30" s="49">
        <v>996204</v>
      </c>
      <c r="G30" s="49">
        <v>976031</v>
      </c>
      <c r="H30" s="49">
        <v>955121</v>
      </c>
      <c r="I30" s="49">
        <v>986570</v>
      </c>
      <c r="J30" s="49">
        <v>996073</v>
      </c>
      <c r="K30" s="49">
        <v>969008</v>
      </c>
      <c r="L30" s="49">
        <v>985057</v>
      </c>
      <c r="M30" s="49">
        <v>988092</v>
      </c>
      <c r="N30" s="49">
        <v>980032</v>
      </c>
      <c r="O30" s="49">
        <v>996003</v>
      </c>
      <c r="P30" s="49">
        <v>940034</v>
      </c>
      <c r="Q30" s="49">
        <v>955208</v>
      </c>
      <c r="R30" s="49">
        <v>955153</v>
      </c>
      <c r="S30" s="49">
        <v>995085</v>
      </c>
      <c r="T30" s="49">
        <v>988887</v>
      </c>
      <c r="U30" s="49">
        <v>954122</v>
      </c>
      <c r="V30" s="49">
        <v>988235</v>
      </c>
      <c r="W30" s="49">
        <v>982071</v>
      </c>
      <c r="X30" s="49">
        <v>998146</v>
      </c>
      <c r="Y30" s="49">
        <v>983052</v>
      </c>
    </row>
    <row r="31" spans="1:25" x14ac:dyDescent="0.3">
      <c r="A31" s="49">
        <v>995232</v>
      </c>
      <c r="B31" s="49">
        <v>988105</v>
      </c>
      <c r="C31" s="49">
        <v>977048</v>
      </c>
      <c r="D31" s="49">
        <v>955156</v>
      </c>
      <c r="E31" s="49">
        <v>992534</v>
      </c>
      <c r="F31" s="49">
        <v>996207</v>
      </c>
      <c r="G31" s="49">
        <v>995117</v>
      </c>
      <c r="H31" s="49">
        <v>989057</v>
      </c>
      <c r="I31" s="49">
        <v>995297</v>
      </c>
      <c r="J31" s="49">
        <v>984047</v>
      </c>
      <c r="K31" s="49">
        <v>966192</v>
      </c>
      <c r="L31" s="49">
        <v>992763</v>
      </c>
      <c r="M31" s="49">
        <v>988461</v>
      </c>
      <c r="N31" s="49">
        <v>980031</v>
      </c>
      <c r="O31" s="49">
        <v>996006</v>
      </c>
      <c r="P31" s="49">
        <v>976081</v>
      </c>
      <c r="Q31" s="49">
        <v>980169</v>
      </c>
      <c r="R31" s="49">
        <v>986327</v>
      </c>
      <c r="S31" s="49">
        <v>995275</v>
      </c>
      <c r="T31" s="49">
        <v>983064</v>
      </c>
      <c r="U31" s="49">
        <v>956023</v>
      </c>
      <c r="V31" s="49">
        <v>995147</v>
      </c>
      <c r="W31" s="49">
        <v>992282</v>
      </c>
      <c r="X31" s="49">
        <v>993084</v>
      </c>
      <c r="Y31" s="49">
        <v>998020</v>
      </c>
    </row>
    <row r="32" spans="1:25" x14ac:dyDescent="0.3">
      <c r="A32" s="49">
        <v>988378</v>
      </c>
      <c r="B32" s="49">
        <v>995258</v>
      </c>
      <c r="C32" s="49">
        <v>981083</v>
      </c>
      <c r="D32" s="49">
        <v>986272</v>
      </c>
      <c r="E32" s="49">
        <v>966150</v>
      </c>
      <c r="F32" s="49">
        <v>996203</v>
      </c>
      <c r="G32" s="49">
        <v>979051</v>
      </c>
      <c r="H32" s="49">
        <v>955074</v>
      </c>
      <c r="I32" s="49">
        <v>958012</v>
      </c>
      <c r="J32" s="49">
        <v>989118</v>
      </c>
      <c r="K32" s="49">
        <v>989000</v>
      </c>
      <c r="L32" s="49">
        <v>972028</v>
      </c>
      <c r="M32" s="49">
        <v>988505</v>
      </c>
      <c r="N32" s="49">
        <v>980064</v>
      </c>
      <c r="O32" s="49">
        <v>980059</v>
      </c>
      <c r="P32" s="49">
        <v>980160</v>
      </c>
      <c r="Q32" s="49">
        <v>978016</v>
      </c>
      <c r="R32" s="49">
        <v>989097</v>
      </c>
      <c r="S32" s="49">
        <v>955039</v>
      </c>
      <c r="T32" s="49">
        <v>982042</v>
      </c>
      <c r="U32" s="49">
        <v>994069</v>
      </c>
      <c r="V32" s="49">
        <v>966026</v>
      </c>
      <c r="W32" s="49">
        <v>991137</v>
      </c>
      <c r="X32" s="49">
        <v>976020</v>
      </c>
      <c r="Y32" s="49">
        <v>983105</v>
      </c>
    </row>
    <row r="33" spans="1:25" x14ac:dyDescent="0.3">
      <c r="A33" s="49">
        <v>988048</v>
      </c>
      <c r="B33" s="49">
        <v>986119</v>
      </c>
      <c r="C33" s="49">
        <v>984096</v>
      </c>
      <c r="D33" s="49">
        <v>998192</v>
      </c>
      <c r="E33" s="49">
        <v>992118</v>
      </c>
      <c r="F33" s="49">
        <v>960029</v>
      </c>
      <c r="G33" s="49">
        <v>976063</v>
      </c>
      <c r="H33" s="49">
        <v>981082</v>
      </c>
      <c r="I33" s="49">
        <v>992418</v>
      </c>
      <c r="J33" s="49">
        <v>982013</v>
      </c>
      <c r="K33" s="49">
        <v>976008</v>
      </c>
      <c r="L33" s="49">
        <v>972019</v>
      </c>
      <c r="M33" s="49">
        <v>980168</v>
      </c>
      <c r="N33" s="49">
        <v>980105</v>
      </c>
      <c r="O33" s="49">
        <v>982074</v>
      </c>
      <c r="P33" s="49">
        <v>989333</v>
      </c>
      <c r="Q33" s="49">
        <v>992740</v>
      </c>
      <c r="R33" s="49">
        <v>992366</v>
      </c>
      <c r="S33" s="49">
        <v>978029</v>
      </c>
      <c r="T33" s="49">
        <v>988768</v>
      </c>
      <c r="U33" s="49">
        <v>954051</v>
      </c>
      <c r="V33" s="49">
        <v>988807</v>
      </c>
      <c r="W33" s="49">
        <v>975159</v>
      </c>
      <c r="X33" s="49">
        <v>992276</v>
      </c>
      <c r="Y33" s="49">
        <v>998098</v>
      </c>
    </row>
    <row r="34" spans="1:25" x14ac:dyDescent="0.3">
      <c r="A34" s="49">
        <v>992076</v>
      </c>
      <c r="B34" s="49">
        <v>986120</v>
      </c>
      <c r="C34" s="49">
        <v>986001</v>
      </c>
      <c r="D34" s="49">
        <v>985042</v>
      </c>
      <c r="E34" s="49">
        <v>986233</v>
      </c>
      <c r="F34" s="49">
        <v>991029</v>
      </c>
      <c r="G34" s="49">
        <v>979050</v>
      </c>
      <c r="H34" s="49">
        <v>967031</v>
      </c>
      <c r="I34" s="49">
        <v>972065</v>
      </c>
      <c r="J34" s="49">
        <v>984025</v>
      </c>
      <c r="K34" s="49">
        <v>967034</v>
      </c>
      <c r="L34" s="49">
        <v>995033</v>
      </c>
      <c r="M34" s="49">
        <v>988089</v>
      </c>
      <c r="N34" s="49">
        <v>980113</v>
      </c>
      <c r="O34" s="49">
        <v>988370</v>
      </c>
      <c r="P34" s="49">
        <v>976048</v>
      </c>
      <c r="Q34" s="49">
        <v>992433</v>
      </c>
      <c r="R34" s="49">
        <v>992417</v>
      </c>
      <c r="S34" s="49">
        <v>993112</v>
      </c>
      <c r="T34" s="49">
        <v>966042</v>
      </c>
      <c r="U34" s="49">
        <v>993145</v>
      </c>
      <c r="V34" s="49">
        <v>982024</v>
      </c>
      <c r="W34" s="49">
        <v>993030</v>
      </c>
      <c r="X34" s="49">
        <v>998055</v>
      </c>
      <c r="Y34" s="49">
        <v>998130</v>
      </c>
    </row>
    <row r="35" spans="1:25" x14ac:dyDescent="0.3">
      <c r="A35" s="49">
        <v>996385</v>
      </c>
      <c r="B35" s="49">
        <v>996384</v>
      </c>
      <c r="C35" s="49">
        <v>992745</v>
      </c>
      <c r="D35" s="49">
        <v>992789</v>
      </c>
      <c r="E35" s="49">
        <v>982001</v>
      </c>
      <c r="F35" s="49">
        <v>988023</v>
      </c>
      <c r="G35" s="49">
        <v>966193</v>
      </c>
      <c r="H35" s="49">
        <v>992743</v>
      </c>
      <c r="I35" s="49">
        <v>992758</v>
      </c>
      <c r="J35" s="49">
        <v>984055</v>
      </c>
      <c r="K35" s="49">
        <v>995298</v>
      </c>
      <c r="L35" s="49">
        <v>975020</v>
      </c>
      <c r="M35" s="49">
        <v>975053</v>
      </c>
      <c r="N35" s="49">
        <v>980174</v>
      </c>
      <c r="O35" s="49">
        <v>986065</v>
      </c>
      <c r="P35" s="49">
        <v>980198</v>
      </c>
      <c r="Q35" s="49">
        <v>989255</v>
      </c>
      <c r="R35" s="49">
        <v>986322</v>
      </c>
      <c r="S35" s="49">
        <v>976005</v>
      </c>
      <c r="T35" s="49">
        <v>979011</v>
      </c>
      <c r="U35" s="49">
        <v>991164</v>
      </c>
      <c r="V35" s="49">
        <v>988587</v>
      </c>
      <c r="W35" s="49">
        <v>986601</v>
      </c>
      <c r="X35" s="49">
        <v>975023</v>
      </c>
      <c r="Y35" s="49">
        <v>983050</v>
      </c>
    </row>
    <row r="36" spans="1:25" x14ac:dyDescent="0.3">
      <c r="A36" s="49">
        <v>991010</v>
      </c>
      <c r="B36" s="49">
        <v>996044</v>
      </c>
      <c r="C36" s="49">
        <v>972066</v>
      </c>
      <c r="D36" s="49">
        <v>992730</v>
      </c>
      <c r="E36" s="49">
        <v>991078</v>
      </c>
      <c r="F36" s="49">
        <v>988015</v>
      </c>
      <c r="G36" s="49">
        <v>992680</v>
      </c>
      <c r="H36" s="49">
        <v>955139</v>
      </c>
      <c r="I36" s="49">
        <v>990040</v>
      </c>
      <c r="J36" s="49">
        <v>980154</v>
      </c>
      <c r="K36" s="49">
        <v>955148</v>
      </c>
      <c r="L36" s="49">
        <v>981071</v>
      </c>
      <c r="M36" s="49">
        <v>988437</v>
      </c>
      <c r="N36" s="49">
        <v>992156</v>
      </c>
      <c r="O36" s="49">
        <v>986140</v>
      </c>
      <c r="P36" s="49">
        <v>960048</v>
      </c>
      <c r="Q36" s="49">
        <v>966070</v>
      </c>
      <c r="R36" s="49">
        <v>988866</v>
      </c>
      <c r="S36" s="49">
        <v>982081</v>
      </c>
      <c r="T36" s="49">
        <v>996298</v>
      </c>
      <c r="U36" s="49">
        <v>988575</v>
      </c>
      <c r="V36" s="49">
        <v>991103</v>
      </c>
      <c r="W36" s="49">
        <v>976068</v>
      </c>
      <c r="X36" s="49">
        <v>986517</v>
      </c>
      <c r="Y36" s="49">
        <v>983102</v>
      </c>
    </row>
    <row r="37" spans="1:25" x14ac:dyDescent="0.3">
      <c r="A37" s="49">
        <v>988382</v>
      </c>
      <c r="B37" s="49">
        <v>996169</v>
      </c>
      <c r="C37" s="49">
        <v>998174</v>
      </c>
      <c r="D37" s="49">
        <v>998175</v>
      </c>
      <c r="E37" s="49">
        <v>996281</v>
      </c>
      <c r="F37" s="49">
        <v>991041</v>
      </c>
      <c r="G37" s="49">
        <v>975156</v>
      </c>
      <c r="H37" s="49">
        <v>975155</v>
      </c>
      <c r="I37" s="49">
        <v>976043</v>
      </c>
      <c r="J37" s="49">
        <v>992516</v>
      </c>
      <c r="K37" s="49">
        <v>986189</v>
      </c>
      <c r="L37" s="49">
        <v>991138</v>
      </c>
      <c r="M37" s="49">
        <v>992692</v>
      </c>
      <c r="N37" s="49">
        <v>982173</v>
      </c>
      <c r="O37" s="49">
        <v>986141</v>
      </c>
      <c r="P37" s="49">
        <v>992759</v>
      </c>
      <c r="Q37" s="49">
        <v>988903</v>
      </c>
      <c r="R37" s="49">
        <v>988687</v>
      </c>
      <c r="S37" s="49">
        <v>984070</v>
      </c>
      <c r="T37" s="49">
        <v>989163</v>
      </c>
      <c r="U37" s="49">
        <v>975120</v>
      </c>
      <c r="V37" s="49">
        <v>986412</v>
      </c>
      <c r="W37" s="49">
        <v>991154</v>
      </c>
      <c r="X37" s="49">
        <v>992518</v>
      </c>
      <c r="Y37" s="49">
        <v>998106</v>
      </c>
    </row>
    <row r="38" spans="1:25" x14ac:dyDescent="0.3">
      <c r="A38" s="49">
        <v>988741</v>
      </c>
      <c r="B38" s="49">
        <v>986121</v>
      </c>
      <c r="C38" s="49">
        <v>955035</v>
      </c>
      <c r="D38" s="49">
        <v>969004</v>
      </c>
      <c r="E38" s="49">
        <v>956002</v>
      </c>
      <c r="F38" s="49">
        <v>988010</v>
      </c>
      <c r="G38" s="49">
        <v>956020</v>
      </c>
      <c r="H38" s="49">
        <v>966207</v>
      </c>
      <c r="I38" s="49">
        <v>978062</v>
      </c>
      <c r="J38" s="49">
        <v>992336</v>
      </c>
      <c r="K38" s="49">
        <v>955119</v>
      </c>
      <c r="L38" s="49">
        <v>996383</v>
      </c>
      <c r="M38" s="49">
        <v>992480</v>
      </c>
      <c r="N38" s="49">
        <v>989024</v>
      </c>
      <c r="O38" s="49">
        <v>991161</v>
      </c>
      <c r="P38" s="49">
        <v>976060</v>
      </c>
      <c r="Q38" s="49">
        <v>991032</v>
      </c>
      <c r="R38" s="49">
        <v>988693</v>
      </c>
      <c r="S38" s="49">
        <v>989275</v>
      </c>
      <c r="T38" s="49">
        <v>995086</v>
      </c>
      <c r="U38" s="49">
        <v>976064</v>
      </c>
      <c r="V38" s="49">
        <v>966103</v>
      </c>
      <c r="W38" s="49">
        <v>992279</v>
      </c>
      <c r="X38" s="49">
        <v>992278</v>
      </c>
      <c r="Y38" s="49">
        <v>998108</v>
      </c>
    </row>
    <row r="39" spans="1:25" x14ac:dyDescent="0.3">
      <c r="A39" s="49">
        <v>992359</v>
      </c>
      <c r="B39" s="49">
        <v>998201</v>
      </c>
      <c r="C39" s="49">
        <v>992696</v>
      </c>
      <c r="D39" s="49">
        <v>976075</v>
      </c>
      <c r="E39" s="49">
        <v>995326</v>
      </c>
      <c r="F39" s="49">
        <v>996017</v>
      </c>
      <c r="G39" s="49">
        <v>966001</v>
      </c>
      <c r="H39" s="49">
        <v>992468</v>
      </c>
      <c r="I39" s="49">
        <v>989292</v>
      </c>
      <c r="J39" s="49">
        <v>991060</v>
      </c>
      <c r="K39" s="49">
        <v>980207</v>
      </c>
      <c r="L39" s="49">
        <v>988072</v>
      </c>
      <c r="M39" s="49">
        <v>975029</v>
      </c>
      <c r="N39" s="49">
        <v>986271</v>
      </c>
      <c r="O39" s="49">
        <v>992634</v>
      </c>
      <c r="P39" s="49">
        <v>976082</v>
      </c>
      <c r="Q39" s="49">
        <v>982066</v>
      </c>
      <c r="R39" s="49">
        <v>992173</v>
      </c>
      <c r="S39" s="49">
        <v>986046</v>
      </c>
      <c r="T39" s="49">
        <v>998187</v>
      </c>
      <c r="U39" s="49">
        <v>996300</v>
      </c>
      <c r="V39" s="49">
        <v>954050</v>
      </c>
      <c r="W39" s="49">
        <v>955159</v>
      </c>
      <c r="X39" s="49">
        <v>954283</v>
      </c>
      <c r="Y39" s="49">
        <v>983100</v>
      </c>
    </row>
    <row r="40" spans="1:25" x14ac:dyDescent="0.3">
      <c r="A40" s="49">
        <v>979015</v>
      </c>
      <c r="B40" s="49">
        <v>992410</v>
      </c>
      <c r="C40" s="49">
        <v>998001</v>
      </c>
      <c r="D40" s="49">
        <v>980054</v>
      </c>
      <c r="E40" s="49">
        <v>996043</v>
      </c>
      <c r="F40" s="49">
        <v>996029</v>
      </c>
      <c r="G40" s="49">
        <v>976079</v>
      </c>
      <c r="H40" s="49">
        <v>998191</v>
      </c>
      <c r="I40" s="49">
        <v>984106</v>
      </c>
      <c r="J40" s="49">
        <v>975110</v>
      </c>
      <c r="K40" s="49">
        <v>986561</v>
      </c>
      <c r="L40" s="49">
        <v>988110</v>
      </c>
      <c r="M40" s="49">
        <v>960047</v>
      </c>
      <c r="N40" s="49">
        <v>954184</v>
      </c>
      <c r="O40" s="49">
        <v>954089</v>
      </c>
      <c r="P40" s="49">
        <v>980200</v>
      </c>
      <c r="Q40" s="49">
        <v>995053</v>
      </c>
      <c r="R40" s="49">
        <v>990050</v>
      </c>
      <c r="S40" s="49">
        <v>988858</v>
      </c>
      <c r="T40" s="49">
        <v>980150</v>
      </c>
      <c r="U40" s="49">
        <v>966081</v>
      </c>
      <c r="V40" s="49">
        <v>988226</v>
      </c>
      <c r="W40" s="49">
        <v>986569</v>
      </c>
      <c r="X40" s="49">
        <v>988162</v>
      </c>
      <c r="Y40" s="49">
        <v>983099</v>
      </c>
    </row>
    <row r="41" spans="1:25" x14ac:dyDescent="0.3">
      <c r="A41" s="49">
        <v>982009</v>
      </c>
      <c r="B41" s="49">
        <v>986178</v>
      </c>
      <c r="C41" s="49">
        <v>993048</v>
      </c>
      <c r="D41" s="49">
        <v>988967</v>
      </c>
      <c r="E41" s="49">
        <v>982034</v>
      </c>
      <c r="F41" s="49">
        <v>986043</v>
      </c>
      <c r="G41" s="49">
        <v>979053</v>
      </c>
      <c r="H41" s="49">
        <v>955138</v>
      </c>
      <c r="I41" s="49">
        <v>972067</v>
      </c>
      <c r="J41" s="49">
        <v>995064</v>
      </c>
      <c r="K41" s="49">
        <v>993104</v>
      </c>
      <c r="L41" s="49">
        <v>954006</v>
      </c>
      <c r="M41" s="49">
        <v>991068</v>
      </c>
      <c r="N41" s="49">
        <v>986262</v>
      </c>
      <c r="O41" s="49">
        <v>988366</v>
      </c>
      <c r="P41" s="49">
        <v>982265</v>
      </c>
      <c r="Q41" s="49">
        <v>988291</v>
      </c>
      <c r="R41" s="49">
        <v>988665</v>
      </c>
      <c r="S41" s="49">
        <v>975083</v>
      </c>
      <c r="T41" s="49">
        <v>977040</v>
      </c>
      <c r="U41" s="49">
        <v>982235</v>
      </c>
      <c r="V41" s="49">
        <v>986386</v>
      </c>
      <c r="W41" s="49">
        <v>987016</v>
      </c>
      <c r="X41" s="49">
        <v>977004</v>
      </c>
      <c r="Y41" s="49">
        <v>998065</v>
      </c>
    </row>
    <row r="42" spans="1:25" x14ac:dyDescent="0.3">
      <c r="A42" s="49">
        <v>988002</v>
      </c>
      <c r="B42" s="49">
        <v>988077</v>
      </c>
      <c r="C42" s="49">
        <v>976017</v>
      </c>
      <c r="D42" s="49">
        <v>993107</v>
      </c>
      <c r="E42" s="49">
        <v>940048</v>
      </c>
      <c r="F42" s="49">
        <v>995039</v>
      </c>
      <c r="G42" s="49">
        <v>991076</v>
      </c>
      <c r="H42" s="49">
        <v>978061</v>
      </c>
      <c r="I42" s="49">
        <v>992016</v>
      </c>
      <c r="J42" s="49">
        <v>940085</v>
      </c>
      <c r="K42" s="49">
        <v>977030</v>
      </c>
      <c r="L42" s="49">
        <v>954255</v>
      </c>
      <c r="M42" s="49">
        <v>993001</v>
      </c>
      <c r="N42" s="49">
        <v>988377</v>
      </c>
      <c r="O42" s="49">
        <v>992096</v>
      </c>
      <c r="P42" s="49">
        <v>992326</v>
      </c>
      <c r="Q42" s="49">
        <v>988268</v>
      </c>
      <c r="R42" s="49">
        <v>975187</v>
      </c>
      <c r="S42" s="49">
        <v>989240</v>
      </c>
      <c r="T42" s="49">
        <v>978066</v>
      </c>
      <c r="U42" s="49">
        <v>988200</v>
      </c>
      <c r="V42" s="49">
        <v>988228</v>
      </c>
      <c r="W42" s="49">
        <v>955055</v>
      </c>
      <c r="X42" s="49">
        <v>993022</v>
      </c>
      <c r="Y42" s="49">
        <v>998168</v>
      </c>
    </row>
    <row r="43" spans="1:25" x14ac:dyDescent="0.3">
      <c r="A43" s="49">
        <v>988711</v>
      </c>
      <c r="B43" s="49">
        <v>972059</v>
      </c>
      <c r="C43" s="49">
        <v>991133</v>
      </c>
      <c r="D43" s="49">
        <v>995155</v>
      </c>
      <c r="E43" s="49">
        <v>972080</v>
      </c>
      <c r="F43" s="49">
        <v>993068</v>
      </c>
      <c r="G43" s="49">
        <v>976041</v>
      </c>
      <c r="H43" s="49">
        <v>995285</v>
      </c>
      <c r="I43" s="49">
        <v>992751</v>
      </c>
      <c r="J43" s="49">
        <v>990043</v>
      </c>
      <c r="K43" s="49">
        <v>983117</v>
      </c>
      <c r="L43" s="49">
        <v>954244</v>
      </c>
      <c r="M43" s="49">
        <v>994009</v>
      </c>
      <c r="N43" s="49">
        <v>988466</v>
      </c>
      <c r="O43" s="49">
        <v>996018</v>
      </c>
      <c r="P43" s="49">
        <v>975153</v>
      </c>
      <c r="Q43" s="49">
        <v>975176</v>
      </c>
      <c r="R43" s="49">
        <v>988861</v>
      </c>
      <c r="S43" s="49">
        <v>986319</v>
      </c>
      <c r="T43" s="49">
        <v>995303</v>
      </c>
      <c r="U43" s="49">
        <v>995031</v>
      </c>
      <c r="V43" s="49">
        <v>988381</v>
      </c>
      <c r="W43" s="49">
        <v>979060</v>
      </c>
      <c r="X43" s="49">
        <v>988787</v>
      </c>
      <c r="Y43" s="49">
        <v>983051</v>
      </c>
    </row>
    <row r="44" spans="1:25" x14ac:dyDescent="0.3">
      <c r="A44" s="49">
        <v>988027</v>
      </c>
      <c r="B44" s="49">
        <v>967046</v>
      </c>
      <c r="C44" s="49">
        <v>964001</v>
      </c>
      <c r="D44" s="49">
        <v>995246</v>
      </c>
      <c r="E44" s="49">
        <v>986562</v>
      </c>
      <c r="F44" s="49">
        <v>954168</v>
      </c>
      <c r="G44" s="49">
        <v>976093</v>
      </c>
      <c r="H44" s="49">
        <v>986211</v>
      </c>
      <c r="I44" s="49">
        <v>981034</v>
      </c>
      <c r="J44" s="49">
        <v>992445</v>
      </c>
      <c r="K44" s="49">
        <v>986574</v>
      </c>
      <c r="L44" s="49">
        <v>983060</v>
      </c>
      <c r="M44" s="49">
        <v>988388</v>
      </c>
      <c r="N44" s="49">
        <v>998003</v>
      </c>
      <c r="O44" s="49">
        <v>992239</v>
      </c>
      <c r="P44" s="49">
        <v>976009</v>
      </c>
      <c r="Q44" s="49">
        <v>975188</v>
      </c>
      <c r="R44" s="49">
        <v>966096</v>
      </c>
      <c r="S44" s="49">
        <v>986303</v>
      </c>
      <c r="T44" s="49">
        <v>986447</v>
      </c>
      <c r="U44" s="49">
        <v>992787</v>
      </c>
      <c r="V44" s="49">
        <v>988556</v>
      </c>
      <c r="W44" s="49">
        <v>993106</v>
      </c>
      <c r="X44" s="49">
        <v>984059</v>
      </c>
      <c r="Y44" s="49">
        <v>998171</v>
      </c>
    </row>
    <row r="45" spans="1:25" x14ac:dyDescent="0.3">
      <c r="A45" s="49">
        <v>982011</v>
      </c>
      <c r="B45" s="49">
        <v>981063</v>
      </c>
      <c r="C45" s="49">
        <v>964002</v>
      </c>
      <c r="D45" s="49">
        <v>986006</v>
      </c>
      <c r="E45" s="49">
        <v>965001</v>
      </c>
      <c r="F45" s="49">
        <v>975116</v>
      </c>
      <c r="G45" s="49">
        <v>988996</v>
      </c>
      <c r="H45" s="49">
        <v>996395</v>
      </c>
      <c r="I45" s="49">
        <v>992793</v>
      </c>
      <c r="J45" s="49">
        <v>998180</v>
      </c>
      <c r="K45" s="49">
        <v>986578</v>
      </c>
      <c r="L45" s="49">
        <v>991083</v>
      </c>
      <c r="M45" s="49">
        <v>982036</v>
      </c>
      <c r="N45" s="49">
        <v>998176</v>
      </c>
      <c r="O45" s="49">
        <v>992189</v>
      </c>
      <c r="P45" s="49">
        <v>958025</v>
      </c>
      <c r="Q45" s="49">
        <v>954271</v>
      </c>
      <c r="R45" s="49">
        <v>985001</v>
      </c>
      <c r="S45" s="49">
        <v>980098</v>
      </c>
      <c r="T45" s="49">
        <v>989328</v>
      </c>
      <c r="U45" s="49">
        <v>983107</v>
      </c>
      <c r="V45" s="49">
        <v>986409</v>
      </c>
      <c r="W45" s="49">
        <v>982244</v>
      </c>
      <c r="X45" s="49">
        <v>993033</v>
      </c>
      <c r="Y45" s="49">
        <v>998155</v>
      </c>
    </row>
    <row r="46" spans="1:25" x14ac:dyDescent="0.3">
      <c r="A46" s="49">
        <v>995212</v>
      </c>
      <c r="B46" s="49">
        <v>986177</v>
      </c>
      <c r="C46" s="49">
        <v>981032</v>
      </c>
      <c r="D46" s="49">
        <v>982229</v>
      </c>
      <c r="E46" s="49">
        <v>965002</v>
      </c>
      <c r="F46" s="49">
        <v>989161</v>
      </c>
      <c r="G46" s="49">
        <v>955036</v>
      </c>
      <c r="H46" s="49">
        <v>976015</v>
      </c>
      <c r="I46" s="49">
        <v>998165</v>
      </c>
      <c r="J46" s="49">
        <v>979021</v>
      </c>
      <c r="K46" s="49">
        <v>987015</v>
      </c>
      <c r="L46" s="49">
        <v>988071</v>
      </c>
      <c r="M46" s="49">
        <v>986160</v>
      </c>
      <c r="N46" s="49">
        <v>998053</v>
      </c>
      <c r="O46" s="49">
        <v>980071</v>
      </c>
      <c r="P46" s="49">
        <v>975137</v>
      </c>
      <c r="Q46" s="49">
        <v>988260</v>
      </c>
      <c r="R46" s="49">
        <v>993056</v>
      </c>
      <c r="S46" s="49">
        <v>954096</v>
      </c>
      <c r="T46" s="49">
        <v>972048</v>
      </c>
      <c r="U46" s="49">
        <v>991150</v>
      </c>
      <c r="V46" s="49">
        <v>966113</v>
      </c>
      <c r="W46" s="49">
        <v>984091</v>
      </c>
      <c r="X46" s="49">
        <v>992589</v>
      </c>
      <c r="Y46" s="49">
        <v>998113</v>
      </c>
    </row>
    <row r="47" spans="1:25" x14ac:dyDescent="0.3">
      <c r="A47" s="49">
        <v>998068</v>
      </c>
      <c r="B47" s="49">
        <v>982225</v>
      </c>
      <c r="C47" s="49">
        <v>967001</v>
      </c>
      <c r="D47" s="49">
        <v>955176</v>
      </c>
      <c r="E47" s="49">
        <v>991023</v>
      </c>
      <c r="F47" s="49">
        <v>989224</v>
      </c>
      <c r="G47" s="49">
        <v>978041</v>
      </c>
      <c r="H47" s="49">
        <v>976016</v>
      </c>
      <c r="I47" s="49">
        <v>978034</v>
      </c>
      <c r="J47" s="49">
        <v>995105</v>
      </c>
      <c r="K47" s="49">
        <v>982109</v>
      </c>
      <c r="L47" s="49">
        <v>988425</v>
      </c>
      <c r="M47" s="49">
        <v>988108</v>
      </c>
      <c r="N47" s="49">
        <v>980047</v>
      </c>
      <c r="O47" s="49">
        <v>972007</v>
      </c>
      <c r="P47" s="49">
        <v>992682</v>
      </c>
      <c r="Q47" s="49">
        <v>988596</v>
      </c>
      <c r="R47" s="49">
        <v>995311</v>
      </c>
      <c r="S47" s="49">
        <v>980193</v>
      </c>
      <c r="T47" s="49">
        <v>954276</v>
      </c>
      <c r="U47" s="49">
        <v>982020</v>
      </c>
      <c r="V47" s="49">
        <v>966119</v>
      </c>
      <c r="W47" s="49">
        <v>976073</v>
      </c>
      <c r="X47" s="49">
        <v>979039</v>
      </c>
      <c r="Y47" s="49">
        <v>998009</v>
      </c>
    </row>
    <row r="48" spans="1:25" x14ac:dyDescent="0.3">
      <c r="A48" s="49">
        <v>980171</v>
      </c>
      <c r="B48" s="49">
        <v>998039</v>
      </c>
      <c r="C48" s="49">
        <v>976023</v>
      </c>
      <c r="D48" s="49">
        <v>988992</v>
      </c>
      <c r="E48" s="49">
        <v>991048</v>
      </c>
      <c r="F48" s="49">
        <v>954206</v>
      </c>
      <c r="G48" s="49">
        <v>986127</v>
      </c>
      <c r="H48" s="49">
        <v>976003</v>
      </c>
      <c r="I48" s="49">
        <v>986146</v>
      </c>
      <c r="J48" s="49">
        <v>986080</v>
      </c>
      <c r="K48" s="49">
        <v>986229</v>
      </c>
      <c r="L48" s="49">
        <v>988062</v>
      </c>
      <c r="M48" s="49">
        <v>975183</v>
      </c>
      <c r="N48" s="49">
        <v>998136</v>
      </c>
      <c r="O48" s="49">
        <v>996027</v>
      </c>
      <c r="P48" s="49">
        <v>966205</v>
      </c>
      <c r="Q48" s="49">
        <v>995058</v>
      </c>
      <c r="R48" s="49">
        <v>978001</v>
      </c>
      <c r="S48" s="49">
        <v>988706</v>
      </c>
      <c r="T48" s="49">
        <v>975009</v>
      </c>
      <c r="U48" s="49">
        <v>976006</v>
      </c>
      <c r="V48" s="49">
        <v>966127</v>
      </c>
      <c r="W48" s="49">
        <v>988962</v>
      </c>
      <c r="X48" s="49">
        <v>975106</v>
      </c>
      <c r="Y48" s="49">
        <v>983075</v>
      </c>
    </row>
    <row r="49" spans="1:25" x14ac:dyDescent="0.3">
      <c r="A49" s="49">
        <v>988030</v>
      </c>
      <c r="B49" s="49">
        <v>955108</v>
      </c>
      <c r="C49" s="49">
        <v>991125</v>
      </c>
      <c r="D49" s="49">
        <v>982239</v>
      </c>
      <c r="E49" s="49">
        <v>984108</v>
      </c>
      <c r="F49" s="49">
        <v>991096</v>
      </c>
      <c r="G49" s="49">
        <v>955004</v>
      </c>
      <c r="H49" s="49">
        <v>995282</v>
      </c>
      <c r="I49" s="49">
        <v>995126</v>
      </c>
      <c r="J49" s="49">
        <v>988058</v>
      </c>
      <c r="K49" s="49">
        <v>992385</v>
      </c>
      <c r="L49" s="49">
        <v>955063</v>
      </c>
      <c r="M49" s="49">
        <v>986268</v>
      </c>
      <c r="N49" s="49">
        <v>997002</v>
      </c>
      <c r="O49" s="49">
        <v>998100</v>
      </c>
      <c r="P49" s="49">
        <v>992591</v>
      </c>
      <c r="Q49" s="49">
        <v>980101</v>
      </c>
      <c r="R49" s="49">
        <v>978022</v>
      </c>
      <c r="S49" s="49">
        <v>988707</v>
      </c>
      <c r="T49" s="49">
        <v>994052</v>
      </c>
      <c r="U49" s="49">
        <v>988990</v>
      </c>
      <c r="V49" s="49">
        <v>966144</v>
      </c>
      <c r="W49" s="49">
        <v>984089</v>
      </c>
      <c r="X49" s="49">
        <v>995048</v>
      </c>
      <c r="Y49" s="49">
        <v>998173</v>
      </c>
    </row>
    <row r="50" spans="1:25" x14ac:dyDescent="0.3">
      <c r="A50" s="49">
        <v>992114</v>
      </c>
      <c r="B50" s="49">
        <v>955162</v>
      </c>
      <c r="C50" s="49">
        <v>993098</v>
      </c>
      <c r="D50" s="49">
        <v>985041</v>
      </c>
      <c r="E50" s="49">
        <v>976024</v>
      </c>
      <c r="F50" s="49">
        <v>991089</v>
      </c>
      <c r="G50" s="49">
        <v>986185</v>
      </c>
      <c r="H50" s="49">
        <v>955096</v>
      </c>
      <c r="I50" s="49">
        <v>966095</v>
      </c>
      <c r="J50" s="49">
        <v>990072</v>
      </c>
      <c r="K50" s="49">
        <v>991095</v>
      </c>
      <c r="L50" s="49">
        <v>995098</v>
      </c>
      <c r="M50" s="49">
        <v>996066</v>
      </c>
      <c r="N50" s="49">
        <v>985066</v>
      </c>
      <c r="O50" s="49">
        <v>955174</v>
      </c>
      <c r="P50" s="49">
        <v>992215</v>
      </c>
      <c r="Q50" s="49">
        <v>988252</v>
      </c>
      <c r="R50" s="49">
        <v>978024</v>
      </c>
      <c r="S50" s="49">
        <v>986320</v>
      </c>
      <c r="T50" s="49">
        <v>994058</v>
      </c>
      <c r="U50" s="49">
        <v>955094</v>
      </c>
      <c r="V50" s="49">
        <v>995243</v>
      </c>
      <c r="W50" s="49">
        <v>993047</v>
      </c>
      <c r="X50" s="49">
        <v>988180</v>
      </c>
      <c r="Y50" s="49">
        <v>983079</v>
      </c>
    </row>
    <row r="51" spans="1:25" x14ac:dyDescent="0.3">
      <c r="A51" s="49">
        <v>967029</v>
      </c>
      <c r="B51" s="49">
        <v>992567</v>
      </c>
      <c r="C51" s="49">
        <v>966201</v>
      </c>
      <c r="D51" s="49">
        <v>992017</v>
      </c>
      <c r="E51" s="49">
        <v>993092</v>
      </c>
      <c r="F51" s="49">
        <v>975131</v>
      </c>
      <c r="G51" s="49">
        <v>958003</v>
      </c>
      <c r="H51" s="49">
        <v>995296</v>
      </c>
      <c r="I51" s="49">
        <v>985032</v>
      </c>
      <c r="J51" s="49">
        <v>988465</v>
      </c>
      <c r="K51" s="49">
        <v>982107</v>
      </c>
      <c r="L51" s="49">
        <v>982103</v>
      </c>
      <c r="M51" s="49">
        <v>990048</v>
      </c>
      <c r="N51" s="49">
        <v>992391</v>
      </c>
      <c r="O51" s="49">
        <v>958008</v>
      </c>
      <c r="P51" s="49">
        <v>988399</v>
      </c>
      <c r="Q51" s="49">
        <v>978018</v>
      </c>
      <c r="R51" s="49">
        <v>985002</v>
      </c>
      <c r="S51" s="49">
        <v>988320</v>
      </c>
      <c r="T51" s="49">
        <v>994072</v>
      </c>
      <c r="U51" s="49">
        <v>988212</v>
      </c>
      <c r="V51" s="49">
        <v>992224</v>
      </c>
      <c r="W51" s="49">
        <v>993028</v>
      </c>
      <c r="X51" s="49">
        <v>975071</v>
      </c>
      <c r="Y51" s="49">
        <v>983013</v>
      </c>
    </row>
    <row r="52" spans="1:25" x14ac:dyDescent="0.3">
      <c r="A52" s="49">
        <v>992288</v>
      </c>
      <c r="B52" s="49">
        <v>991172</v>
      </c>
      <c r="C52" s="49">
        <v>966202</v>
      </c>
      <c r="D52" s="49">
        <v>982228</v>
      </c>
      <c r="E52" s="49">
        <v>993100</v>
      </c>
      <c r="F52" s="49">
        <v>989206</v>
      </c>
      <c r="G52" s="49">
        <v>954001</v>
      </c>
      <c r="H52" s="49">
        <v>955131</v>
      </c>
      <c r="I52" s="49">
        <v>985065</v>
      </c>
      <c r="J52" s="49">
        <v>986260</v>
      </c>
      <c r="K52" s="49">
        <v>991169</v>
      </c>
      <c r="L52" s="49">
        <v>989256</v>
      </c>
      <c r="M52" s="49">
        <v>980088</v>
      </c>
      <c r="N52" s="49">
        <v>988472</v>
      </c>
      <c r="O52" s="49">
        <v>959001</v>
      </c>
      <c r="P52" s="49">
        <v>992183</v>
      </c>
      <c r="Q52" s="49">
        <v>995130</v>
      </c>
      <c r="R52" s="49">
        <v>985003</v>
      </c>
      <c r="S52" s="49">
        <v>988337</v>
      </c>
      <c r="T52" s="49">
        <v>989320</v>
      </c>
      <c r="U52" s="49">
        <v>988552</v>
      </c>
      <c r="V52" s="49">
        <v>993066</v>
      </c>
      <c r="W52" s="49">
        <v>989304</v>
      </c>
      <c r="X52" s="49">
        <v>988177</v>
      </c>
      <c r="Y52" s="49">
        <v>983010</v>
      </c>
    </row>
    <row r="53" spans="1:25" x14ac:dyDescent="0.3">
      <c r="A53" s="49">
        <v>986478</v>
      </c>
      <c r="B53" s="49">
        <v>992106</v>
      </c>
      <c r="C53" s="49">
        <v>972038</v>
      </c>
      <c r="D53" s="49">
        <v>992420</v>
      </c>
      <c r="E53" s="49">
        <v>992675</v>
      </c>
      <c r="F53" s="49">
        <v>996150</v>
      </c>
      <c r="G53" s="49">
        <v>974010</v>
      </c>
      <c r="H53" s="49">
        <v>986199</v>
      </c>
      <c r="I53" s="49">
        <v>993074</v>
      </c>
      <c r="J53" s="49">
        <v>954262</v>
      </c>
      <c r="K53" s="49">
        <v>995065</v>
      </c>
      <c r="L53" s="49">
        <v>998030</v>
      </c>
      <c r="M53" s="49">
        <v>995032</v>
      </c>
      <c r="N53" s="49">
        <v>997001</v>
      </c>
      <c r="O53" s="49">
        <v>979049</v>
      </c>
      <c r="P53" s="49">
        <v>992406</v>
      </c>
      <c r="Q53" s="49">
        <v>992427</v>
      </c>
      <c r="R53" s="49">
        <v>985004</v>
      </c>
      <c r="S53" s="49">
        <v>988650</v>
      </c>
      <c r="T53" s="49">
        <v>955201</v>
      </c>
      <c r="U53" s="49">
        <v>992646</v>
      </c>
      <c r="V53" s="49">
        <v>986448</v>
      </c>
      <c r="W53" s="49">
        <v>993122</v>
      </c>
      <c r="X53" s="49">
        <v>992399</v>
      </c>
      <c r="Y53" s="49">
        <v>983018</v>
      </c>
    </row>
    <row r="54" spans="1:25" x14ac:dyDescent="0.3">
      <c r="A54" s="49">
        <v>954174</v>
      </c>
      <c r="B54" s="49">
        <v>977047</v>
      </c>
      <c r="C54" s="49">
        <v>977022</v>
      </c>
      <c r="D54" s="49">
        <v>996399</v>
      </c>
      <c r="E54" s="49">
        <v>980094</v>
      </c>
      <c r="F54" s="49">
        <v>996154</v>
      </c>
      <c r="G54" s="49">
        <v>982254</v>
      </c>
      <c r="H54" s="49">
        <v>955127</v>
      </c>
      <c r="I54" s="49">
        <v>998017</v>
      </c>
      <c r="J54" s="49">
        <v>988075</v>
      </c>
      <c r="K54" s="49">
        <v>991070</v>
      </c>
      <c r="L54" s="49">
        <v>995216</v>
      </c>
      <c r="M54" s="49">
        <v>995129</v>
      </c>
      <c r="N54" s="49">
        <v>960028</v>
      </c>
      <c r="O54" s="49">
        <v>981003</v>
      </c>
      <c r="P54" s="49">
        <v>989087</v>
      </c>
      <c r="Q54" s="49">
        <v>956025</v>
      </c>
      <c r="R54" s="49">
        <v>985005</v>
      </c>
      <c r="S54" s="49">
        <v>988651</v>
      </c>
      <c r="T54" s="49">
        <v>985075</v>
      </c>
      <c r="U54" s="49">
        <v>979045</v>
      </c>
      <c r="V54" s="49">
        <v>990016</v>
      </c>
      <c r="W54" s="49">
        <v>998060</v>
      </c>
      <c r="X54" s="49">
        <v>966131</v>
      </c>
      <c r="Y54" s="49">
        <v>983078</v>
      </c>
    </row>
    <row r="55" spans="1:25" x14ac:dyDescent="0.3">
      <c r="A55" s="49">
        <v>966040</v>
      </c>
      <c r="B55" s="49">
        <v>992621</v>
      </c>
      <c r="C55" s="49">
        <v>982003</v>
      </c>
      <c r="D55" s="49">
        <v>975170</v>
      </c>
      <c r="E55" s="49">
        <v>986007</v>
      </c>
      <c r="F55" s="49">
        <v>986024</v>
      </c>
      <c r="G55" s="49">
        <v>996400</v>
      </c>
      <c r="H55" s="49">
        <v>940023</v>
      </c>
      <c r="I55" s="49">
        <v>954035</v>
      </c>
      <c r="J55" s="49">
        <v>982012</v>
      </c>
      <c r="K55" s="49">
        <v>960032</v>
      </c>
      <c r="L55" s="49">
        <v>967043</v>
      </c>
      <c r="M55" s="49">
        <v>986074</v>
      </c>
      <c r="N55" s="49">
        <v>989025</v>
      </c>
      <c r="O55" s="49">
        <v>981025</v>
      </c>
      <c r="P55" s="49">
        <v>991021</v>
      </c>
      <c r="Q55" s="49">
        <v>986351</v>
      </c>
      <c r="R55" s="49">
        <v>986330</v>
      </c>
      <c r="S55" s="49">
        <v>988652</v>
      </c>
      <c r="T55" s="49">
        <v>992539</v>
      </c>
      <c r="U55" s="49">
        <v>956019</v>
      </c>
      <c r="V55" s="49">
        <v>988539</v>
      </c>
      <c r="W55" s="49">
        <v>958027</v>
      </c>
      <c r="X55" s="49">
        <v>982190</v>
      </c>
      <c r="Y55" s="49">
        <v>983096</v>
      </c>
    </row>
    <row r="56" spans="1:25" x14ac:dyDescent="0.3">
      <c r="A56" s="49">
        <v>986207</v>
      </c>
      <c r="B56" s="49">
        <v>992728</v>
      </c>
      <c r="C56" s="49">
        <v>988423</v>
      </c>
      <c r="D56" s="49">
        <v>992450</v>
      </c>
      <c r="E56" s="49">
        <v>988449</v>
      </c>
      <c r="F56" s="49">
        <v>986181</v>
      </c>
      <c r="G56" s="49">
        <v>955005</v>
      </c>
      <c r="H56" s="49">
        <v>986276</v>
      </c>
      <c r="I56" s="49">
        <v>988503</v>
      </c>
      <c r="J56" s="49">
        <v>965005</v>
      </c>
      <c r="K56" s="49">
        <v>986227</v>
      </c>
      <c r="L56" s="49">
        <v>988927</v>
      </c>
      <c r="M56" s="49">
        <v>986195</v>
      </c>
      <c r="O56" s="49">
        <v>981048</v>
      </c>
      <c r="P56" s="49">
        <v>989198</v>
      </c>
      <c r="Q56" s="49">
        <v>986371</v>
      </c>
      <c r="R56" s="49">
        <v>986338</v>
      </c>
      <c r="S56" s="49">
        <v>988656</v>
      </c>
      <c r="T56" s="49">
        <v>996291</v>
      </c>
      <c r="U56" s="49">
        <v>988210</v>
      </c>
      <c r="V56" s="49">
        <v>995087</v>
      </c>
      <c r="W56" s="49">
        <v>981015</v>
      </c>
      <c r="X56" s="49">
        <v>992587</v>
      </c>
      <c r="Y56" s="49">
        <v>983103</v>
      </c>
    </row>
    <row r="57" spans="1:25" x14ac:dyDescent="0.3">
      <c r="A57" s="49">
        <v>992041</v>
      </c>
      <c r="B57" s="49">
        <v>985044</v>
      </c>
      <c r="C57" s="49">
        <v>988736</v>
      </c>
      <c r="D57" s="49">
        <v>982125</v>
      </c>
      <c r="E57" s="49">
        <v>989177</v>
      </c>
      <c r="F57" s="49">
        <v>996030</v>
      </c>
      <c r="G57" s="49">
        <v>955213</v>
      </c>
      <c r="H57" s="49">
        <v>992444</v>
      </c>
      <c r="I57" s="49">
        <v>989036</v>
      </c>
      <c r="J57" s="49">
        <v>992430</v>
      </c>
      <c r="K57" s="49">
        <v>984039</v>
      </c>
      <c r="L57" s="49">
        <v>990020</v>
      </c>
      <c r="M57" s="49">
        <v>988358</v>
      </c>
      <c r="O57" s="49">
        <v>981089</v>
      </c>
      <c r="P57" s="49">
        <v>992181</v>
      </c>
      <c r="Q57" s="49">
        <v>996200</v>
      </c>
      <c r="R57" s="49">
        <v>988327</v>
      </c>
      <c r="S57" s="49">
        <v>988660</v>
      </c>
      <c r="T57" s="49">
        <v>982046</v>
      </c>
      <c r="U57" s="49">
        <v>988431</v>
      </c>
      <c r="V57" s="49">
        <v>989069</v>
      </c>
      <c r="W57" s="49">
        <v>984029</v>
      </c>
      <c r="X57" s="49">
        <v>989079</v>
      </c>
      <c r="Y57" s="49">
        <v>983119</v>
      </c>
    </row>
    <row r="58" spans="1:25" x14ac:dyDescent="0.3">
      <c r="A58" s="49">
        <v>981087</v>
      </c>
      <c r="B58" s="49">
        <v>992781</v>
      </c>
      <c r="C58" s="49">
        <v>990003</v>
      </c>
      <c r="D58" s="49">
        <v>986281</v>
      </c>
      <c r="E58" s="49">
        <v>954142</v>
      </c>
      <c r="F58" s="49">
        <v>996164</v>
      </c>
      <c r="G58" s="49">
        <v>955015</v>
      </c>
      <c r="H58" s="49">
        <v>975042</v>
      </c>
      <c r="I58" s="49">
        <v>988402</v>
      </c>
      <c r="J58" s="49">
        <v>954229</v>
      </c>
      <c r="K58" s="49">
        <v>995189</v>
      </c>
      <c r="L58" s="49">
        <v>980144</v>
      </c>
      <c r="M58" s="49">
        <v>989160</v>
      </c>
      <c r="O58" s="49">
        <v>983115</v>
      </c>
      <c r="P58" s="49">
        <v>954237</v>
      </c>
      <c r="Q58" s="49">
        <v>954187</v>
      </c>
      <c r="R58" s="49">
        <v>994101</v>
      </c>
      <c r="S58" s="49">
        <v>988661</v>
      </c>
      <c r="T58" s="49">
        <v>988524</v>
      </c>
      <c r="U58" s="49">
        <v>988192</v>
      </c>
      <c r="V58" s="49">
        <v>992331</v>
      </c>
      <c r="W58" s="49">
        <v>988512</v>
      </c>
      <c r="X58" s="49">
        <v>980030</v>
      </c>
      <c r="Y58" s="49">
        <v>998013</v>
      </c>
    </row>
    <row r="59" spans="1:25" x14ac:dyDescent="0.3">
      <c r="A59" s="49">
        <v>940068</v>
      </c>
      <c r="B59" s="49">
        <v>955112</v>
      </c>
      <c r="C59" s="49">
        <v>990004</v>
      </c>
      <c r="D59" s="49">
        <v>992196</v>
      </c>
      <c r="E59" s="49">
        <v>991001</v>
      </c>
      <c r="F59" s="49">
        <v>995235</v>
      </c>
      <c r="G59" s="49">
        <v>955016</v>
      </c>
      <c r="H59" s="49">
        <v>986198</v>
      </c>
      <c r="I59" s="49">
        <v>991026</v>
      </c>
      <c r="J59" s="49">
        <v>995222</v>
      </c>
      <c r="K59" s="49">
        <v>982112</v>
      </c>
      <c r="L59" s="49">
        <v>995231</v>
      </c>
      <c r="M59" s="49">
        <v>989203</v>
      </c>
      <c r="O59" s="49">
        <v>957001</v>
      </c>
      <c r="P59" s="49">
        <v>960052</v>
      </c>
      <c r="Q59" s="49">
        <v>988618</v>
      </c>
      <c r="R59" s="49">
        <v>992249</v>
      </c>
      <c r="S59" s="49">
        <v>988664</v>
      </c>
      <c r="T59" s="49">
        <v>955204</v>
      </c>
      <c r="U59" s="49">
        <v>988249</v>
      </c>
      <c r="V59" s="49">
        <v>966102</v>
      </c>
      <c r="W59" s="49">
        <v>954068</v>
      </c>
      <c r="X59" s="49">
        <v>980039</v>
      </c>
      <c r="Y59" s="49">
        <v>998015</v>
      </c>
    </row>
    <row r="60" spans="1:25" x14ac:dyDescent="0.3">
      <c r="A60" s="49">
        <v>992360</v>
      </c>
      <c r="B60" s="49">
        <v>955192</v>
      </c>
      <c r="C60" s="49">
        <v>992370</v>
      </c>
      <c r="D60" s="49">
        <v>986209</v>
      </c>
      <c r="E60" s="49">
        <v>991025</v>
      </c>
      <c r="F60" s="49">
        <v>988033</v>
      </c>
      <c r="G60" s="49">
        <v>955028</v>
      </c>
      <c r="H60" s="49">
        <v>988458</v>
      </c>
      <c r="I60" s="49">
        <v>988383</v>
      </c>
      <c r="J60" s="49">
        <v>989049</v>
      </c>
      <c r="K60" s="49">
        <v>995099</v>
      </c>
      <c r="L60" s="49">
        <v>988109</v>
      </c>
      <c r="M60" s="49">
        <v>992026</v>
      </c>
      <c r="O60" s="49">
        <v>991004</v>
      </c>
      <c r="P60" s="49">
        <v>989246</v>
      </c>
      <c r="Q60" s="49">
        <v>980130</v>
      </c>
      <c r="R60" s="49">
        <v>992394</v>
      </c>
      <c r="S60" s="49">
        <v>988677</v>
      </c>
      <c r="T60" s="49">
        <v>982273</v>
      </c>
      <c r="U60" s="49">
        <v>988246</v>
      </c>
      <c r="V60" s="49">
        <v>982025</v>
      </c>
      <c r="W60" s="49">
        <v>986487</v>
      </c>
      <c r="X60" s="49">
        <v>992072</v>
      </c>
      <c r="Y60" s="49">
        <v>998019</v>
      </c>
    </row>
    <row r="61" spans="1:25" x14ac:dyDescent="0.3">
      <c r="A61" s="49">
        <v>960058</v>
      </c>
      <c r="B61" s="49">
        <v>955218</v>
      </c>
      <c r="C61" s="49">
        <v>992613</v>
      </c>
      <c r="D61" s="49">
        <v>992576</v>
      </c>
      <c r="E61" s="49">
        <v>991027</v>
      </c>
      <c r="F61" s="49">
        <v>983054</v>
      </c>
      <c r="G61" s="49">
        <v>966186</v>
      </c>
      <c r="H61" s="49">
        <v>989340</v>
      </c>
      <c r="I61" s="49">
        <v>995108</v>
      </c>
      <c r="J61" s="49">
        <v>988898</v>
      </c>
      <c r="K61" s="49">
        <v>986568</v>
      </c>
      <c r="L61" s="49">
        <v>954095</v>
      </c>
      <c r="M61" s="49">
        <v>986259</v>
      </c>
      <c r="O61" s="49">
        <v>992771</v>
      </c>
      <c r="P61" s="49">
        <v>989342</v>
      </c>
      <c r="Q61" s="49">
        <v>989046</v>
      </c>
      <c r="R61" s="49">
        <v>992416</v>
      </c>
      <c r="S61" s="49">
        <v>988678</v>
      </c>
      <c r="T61" s="49">
        <v>988797</v>
      </c>
      <c r="U61" s="49">
        <v>988251</v>
      </c>
      <c r="V61" s="49">
        <v>988806</v>
      </c>
      <c r="W61" s="49">
        <v>988185</v>
      </c>
      <c r="X61" s="49">
        <v>975069</v>
      </c>
      <c r="Y61" s="49">
        <v>998035</v>
      </c>
    </row>
    <row r="62" spans="1:25" x14ac:dyDescent="0.3">
      <c r="A62" s="49">
        <v>967032</v>
      </c>
      <c r="B62" s="49">
        <v>991018</v>
      </c>
      <c r="C62" s="49">
        <v>991092</v>
      </c>
      <c r="D62" s="49">
        <v>986192</v>
      </c>
      <c r="E62" s="49">
        <v>991113</v>
      </c>
      <c r="F62" s="49">
        <v>995137</v>
      </c>
      <c r="G62" s="49">
        <v>981091</v>
      </c>
      <c r="H62" s="49">
        <v>995014</v>
      </c>
      <c r="I62" s="49">
        <v>992038</v>
      </c>
      <c r="J62" s="49">
        <v>992511</v>
      </c>
      <c r="K62" s="49">
        <v>982110</v>
      </c>
      <c r="L62" s="49">
        <v>986102</v>
      </c>
      <c r="M62" s="49">
        <v>988385</v>
      </c>
      <c r="O62" s="49">
        <v>955214</v>
      </c>
      <c r="P62" s="49">
        <v>992237</v>
      </c>
      <c r="Q62" s="49">
        <v>995030</v>
      </c>
      <c r="R62" s="49">
        <v>992218</v>
      </c>
      <c r="S62" s="49">
        <v>988679</v>
      </c>
      <c r="T62" s="49">
        <v>996292</v>
      </c>
      <c r="U62" s="49">
        <v>956010</v>
      </c>
      <c r="V62" s="49">
        <v>988544</v>
      </c>
      <c r="W62" s="49">
        <v>988154</v>
      </c>
      <c r="X62" s="49">
        <v>992104</v>
      </c>
      <c r="Y62" s="49">
        <v>998036</v>
      </c>
    </row>
    <row r="63" spans="1:25" x14ac:dyDescent="0.3">
      <c r="A63" s="49">
        <v>992150</v>
      </c>
      <c r="B63" s="49">
        <v>991148</v>
      </c>
      <c r="C63" s="49">
        <v>992612</v>
      </c>
      <c r="D63" s="49">
        <v>996106</v>
      </c>
      <c r="E63" s="49">
        <v>992354</v>
      </c>
      <c r="F63" s="49">
        <v>996205</v>
      </c>
      <c r="G63" s="49">
        <v>966174</v>
      </c>
      <c r="H63" s="49">
        <v>992187</v>
      </c>
      <c r="I63" s="49">
        <v>988495</v>
      </c>
      <c r="J63" s="49">
        <v>954246</v>
      </c>
      <c r="K63" s="49">
        <v>991054</v>
      </c>
      <c r="L63" s="49">
        <v>992211</v>
      </c>
      <c r="M63" s="49">
        <v>986118</v>
      </c>
      <c r="O63" s="49">
        <v>955018</v>
      </c>
      <c r="P63" s="49">
        <v>988605</v>
      </c>
      <c r="Q63" s="49">
        <v>979062</v>
      </c>
      <c r="R63" s="49">
        <v>982084</v>
      </c>
      <c r="S63" s="49">
        <v>988692</v>
      </c>
      <c r="T63" s="49">
        <v>988142</v>
      </c>
      <c r="U63" s="49">
        <v>988204</v>
      </c>
      <c r="V63" s="49">
        <v>971097</v>
      </c>
      <c r="W63" s="49">
        <v>986527</v>
      </c>
      <c r="X63" s="49">
        <v>988174</v>
      </c>
      <c r="Y63" s="49">
        <v>998054</v>
      </c>
    </row>
    <row r="64" spans="1:25" x14ac:dyDescent="0.3">
      <c r="A64" s="49">
        <v>992783</v>
      </c>
      <c r="B64" s="49">
        <v>986571</v>
      </c>
      <c r="C64" s="49">
        <v>977027</v>
      </c>
      <c r="D64" s="49">
        <v>996283</v>
      </c>
      <c r="E64" s="49">
        <v>986073</v>
      </c>
      <c r="F64" s="49">
        <v>996206</v>
      </c>
      <c r="G64" s="49">
        <v>989001</v>
      </c>
      <c r="H64" s="49">
        <v>986161</v>
      </c>
      <c r="I64" s="49">
        <v>989208</v>
      </c>
      <c r="J64" s="49">
        <v>940049</v>
      </c>
      <c r="K64" s="49">
        <v>986213</v>
      </c>
      <c r="L64" s="49">
        <v>976066</v>
      </c>
      <c r="M64" s="49">
        <v>986108</v>
      </c>
      <c r="O64" s="49">
        <v>955019</v>
      </c>
      <c r="P64" s="49">
        <v>988935</v>
      </c>
      <c r="Q64" s="49">
        <v>988286</v>
      </c>
      <c r="R64" s="49">
        <v>988653</v>
      </c>
      <c r="S64" s="49">
        <v>988694</v>
      </c>
      <c r="T64" s="49">
        <v>988546</v>
      </c>
      <c r="U64" s="49">
        <v>988214</v>
      </c>
      <c r="V64" s="49">
        <v>993144</v>
      </c>
      <c r="W64" s="49">
        <v>994082</v>
      </c>
      <c r="X64" s="49">
        <v>954183</v>
      </c>
      <c r="Y64" s="49">
        <v>998061</v>
      </c>
    </row>
    <row r="65" spans="1:25" x14ac:dyDescent="0.3">
      <c r="A65" s="49">
        <v>992617</v>
      </c>
      <c r="B65" s="49">
        <v>982092</v>
      </c>
      <c r="C65" s="49">
        <v>980063</v>
      </c>
      <c r="D65" s="49">
        <v>996284</v>
      </c>
      <c r="E65" s="49">
        <v>982096</v>
      </c>
      <c r="F65" s="49">
        <v>996210</v>
      </c>
      <c r="G65" s="49">
        <v>995274</v>
      </c>
      <c r="H65" s="49">
        <v>988909</v>
      </c>
      <c r="I65" s="49">
        <v>984064</v>
      </c>
      <c r="J65" s="49">
        <v>984030</v>
      </c>
      <c r="K65" s="49">
        <v>984049</v>
      </c>
      <c r="L65" s="49">
        <v>998045</v>
      </c>
      <c r="M65" s="49">
        <v>995135</v>
      </c>
      <c r="O65" s="49">
        <v>960019</v>
      </c>
      <c r="P65" s="49">
        <v>960042</v>
      </c>
      <c r="Q65" s="49">
        <v>988835</v>
      </c>
      <c r="R65" s="49">
        <v>988925</v>
      </c>
      <c r="S65" s="49">
        <v>988695</v>
      </c>
      <c r="T65" s="49">
        <v>995245</v>
      </c>
      <c r="U65" s="49">
        <v>988227</v>
      </c>
      <c r="V65" s="49">
        <v>986417</v>
      </c>
      <c r="W65" s="49">
        <v>986124</v>
      </c>
      <c r="X65" s="49">
        <v>975102</v>
      </c>
      <c r="Y65" s="49">
        <v>998084</v>
      </c>
    </row>
    <row r="66" spans="1:25" x14ac:dyDescent="0.3">
      <c r="A66" s="49">
        <v>955067</v>
      </c>
      <c r="B66" s="49">
        <v>986599</v>
      </c>
      <c r="C66" s="49">
        <v>986077</v>
      </c>
      <c r="D66" s="49">
        <v>992067</v>
      </c>
      <c r="E66" s="49">
        <v>995029</v>
      </c>
      <c r="F66" s="49">
        <v>988044</v>
      </c>
      <c r="G66" s="49">
        <v>995092</v>
      </c>
      <c r="H66" s="49">
        <v>989032</v>
      </c>
      <c r="I66" s="49">
        <v>989077</v>
      </c>
      <c r="J66" s="49">
        <v>994039</v>
      </c>
      <c r="K66" s="49">
        <v>982269</v>
      </c>
      <c r="L66" s="49">
        <v>998031</v>
      </c>
      <c r="M66" s="49">
        <v>972042</v>
      </c>
      <c r="O66" s="49">
        <v>980050</v>
      </c>
      <c r="P66" s="49">
        <v>960049</v>
      </c>
      <c r="Q66" s="49">
        <v>986352</v>
      </c>
      <c r="R66" s="49">
        <v>994006</v>
      </c>
      <c r="S66" s="49">
        <v>988855</v>
      </c>
      <c r="T66" s="49">
        <v>996109</v>
      </c>
      <c r="U66" s="49">
        <v>988242</v>
      </c>
      <c r="V66" s="49">
        <v>955089</v>
      </c>
      <c r="W66" s="49">
        <v>988144</v>
      </c>
      <c r="X66" s="49">
        <v>989212</v>
      </c>
      <c r="Y66" s="49">
        <v>983014</v>
      </c>
    </row>
    <row r="67" spans="1:25" x14ac:dyDescent="0.3">
      <c r="A67" s="49">
        <v>988997</v>
      </c>
      <c r="B67" s="49">
        <v>992750</v>
      </c>
      <c r="C67" s="49">
        <v>992014</v>
      </c>
      <c r="D67" s="49">
        <v>986277</v>
      </c>
      <c r="E67" s="49">
        <v>956035</v>
      </c>
      <c r="F67" s="49">
        <v>996004</v>
      </c>
      <c r="G67" s="49">
        <v>966078</v>
      </c>
      <c r="H67" s="49">
        <v>985038</v>
      </c>
      <c r="I67" s="49">
        <v>986249</v>
      </c>
      <c r="J67" s="49">
        <v>989004</v>
      </c>
      <c r="K67" s="49">
        <v>992312</v>
      </c>
      <c r="L67" s="49">
        <v>991034</v>
      </c>
      <c r="M67" s="49">
        <v>992778</v>
      </c>
      <c r="O67" s="49">
        <v>996398</v>
      </c>
      <c r="P67" s="49">
        <v>982045</v>
      </c>
      <c r="Q67" s="49">
        <v>980122</v>
      </c>
      <c r="R67" s="49">
        <v>988690</v>
      </c>
      <c r="S67" s="49">
        <v>988856</v>
      </c>
      <c r="T67" s="49">
        <v>980100</v>
      </c>
      <c r="U67" s="49">
        <v>988245</v>
      </c>
      <c r="V67" s="49">
        <v>955183</v>
      </c>
      <c r="W67" s="49">
        <v>988777</v>
      </c>
      <c r="X67" s="49">
        <v>990039</v>
      </c>
      <c r="Y67" s="49">
        <v>983015</v>
      </c>
    </row>
    <row r="68" spans="1:25" x14ac:dyDescent="0.3">
      <c r="A68" s="49">
        <v>958020</v>
      </c>
      <c r="B68" s="49">
        <v>991117</v>
      </c>
      <c r="C68" s="49">
        <v>993010</v>
      </c>
      <c r="D68" s="49">
        <v>988125</v>
      </c>
      <c r="E68" s="49">
        <v>988025</v>
      </c>
      <c r="F68" s="49">
        <v>980106</v>
      </c>
      <c r="G68" s="49">
        <v>972022</v>
      </c>
      <c r="H68" s="49">
        <v>995051</v>
      </c>
      <c r="I68" s="49">
        <v>988401</v>
      </c>
      <c r="J68" s="49">
        <v>982014</v>
      </c>
      <c r="K68" s="49">
        <v>988527</v>
      </c>
      <c r="L68" s="49">
        <v>995119</v>
      </c>
      <c r="M68" s="49">
        <v>986575</v>
      </c>
      <c r="O68" s="49">
        <v>976002</v>
      </c>
      <c r="P68" s="49">
        <v>989247</v>
      </c>
      <c r="Q68" s="49">
        <v>954189</v>
      </c>
      <c r="R68" s="49">
        <v>994003</v>
      </c>
      <c r="S68" s="49">
        <v>940079</v>
      </c>
      <c r="T68" s="49">
        <v>988966</v>
      </c>
      <c r="U68" s="49">
        <v>988247</v>
      </c>
      <c r="V68" s="49">
        <v>955084</v>
      </c>
      <c r="W68" s="49">
        <v>954018</v>
      </c>
      <c r="X68" s="49">
        <v>982192</v>
      </c>
      <c r="Y68" s="49">
        <v>983016</v>
      </c>
    </row>
    <row r="69" spans="1:25" x14ac:dyDescent="0.3">
      <c r="A69" s="49">
        <v>982151</v>
      </c>
      <c r="B69" s="49">
        <v>981014</v>
      </c>
      <c r="C69" s="49">
        <v>954240</v>
      </c>
      <c r="D69" s="49">
        <v>995038</v>
      </c>
      <c r="E69" s="49">
        <v>954034</v>
      </c>
      <c r="F69" s="49">
        <v>995139</v>
      </c>
      <c r="G69" s="49">
        <v>972024</v>
      </c>
      <c r="H69" s="49">
        <v>995035</v>
      </c>
      <c r="I69" s="49">
        <v>988126</v>
      </c>
      <c r="J69" s="49">
        <v>954117</v>
      </c>
      <c r="K69" s="49">
        <v>966094</v>
      </c>
      <c r="L69" s="49">
        <v>992132</v>
      </c>
      <c r="M69" s="49">
        <v>982221</v>
      </c>
      <c r="O69" s="49">
        <v>976062</v>
      </c>
      <c r="P69" s="49">
        <v>994028</v>
      </c>
      <c r="Q69" s="49">
        <v>992262</v>
      </c>
      <c r="R69" s="49">
        <v>988310</v>
      </c>
      <c r="S69" s="49">
        <v>988859</v>
      </c>
      <c r="T69" s="49">
        <v>992107</v>
      </c>
      <c r="U69" s="49">
        <v>988248</v>
      </c>
      <c r="V69" s="49">
        <v>975066</v>
      </c>
      <c r="W69" s="49">
        <v>975123</v>
      </c>
      <c r="X69" s="49">
        <v>977025</v>
      </c>
      <c r="Y69" s="49">
        <v>983017</v>
      </c>
    </row>
    <row r="70" spans="1:25" x14ac:dyDescent="0.3">
      <c r="A70" s="49">
        <v>986242</v>
      </c>
      <c r="B70" s="49">
        <v>988392</v>
      </c>
      <c r="C70" s="49">
        <v>990005</v>
      </c>
      <c r="D70" s="49">
        <v>988748</v>
      </c>
      <c r="E70" s="49">
        <v>992162</v>
      </c>
      <c r="F70" s="49">
        <v>996010</v>
      </c>
      <c r="G70" s="49">
        <v>986145</v>
      </c>
      <c r="H70" s="49">
        <v>990010</v>
      </c>
      <c r="I70" s="49">
        <v>992053</v>
      </c>
      <c r="J70" s="49">
        <v>988771</v>
      </c>
      <c r="K70" s="49">
        <v>986219</v>
      </c>
      <c r="L70" s="49">
        <v>988061</v>
      </c>
      <c r="M70" s="49">
        <v>986222</v>
      </c>
      <c r="O70" s="49">
        <v>967039</v>
      </c>
      <c r="P70" s="49">
        <v>988905</v>
      </c>
      <c r="Q70" s="49">
        <v>978019</v>
      </c>
      <c r="R70" s="49">
        <v>988311</v>
      </c>
      <c r="S70" s="49">
        <v>980008</v>
      </c>
      <c r="T70" s="49">
        <v>986482</v>
      </c>
      <c r="U70" s="49">
        <v>988560</v>
      </c>
      <c r="V70" s="49">
        <v>955102</v>
      </c>
      <c r="W70" s="49">
        <v>989159</v>
      </c>
      <c r="X70" s="49">
        <v>977031</v>
      </c>
      <c r="Y70" s="49">
        <v>998083</v>
      </c>
    </row>
    <row r="71" spans="1:25" x14ac:dyDescent="0.3">
      <c r="A71" s="49">
        <v>975167</v>
      </c>
      <c r="B71" s="49">
        <v>988426</v>
      </c>
      <c r="C71" s="49">
        <v>980166</v>
      </c>
      <c r="D71" s="49">
        <v>992113</v>
      </c>
      <c r="E71" s="49">
        <v>995289</v>
      </c>
      <c r="F71" s="49">
        <v>996014</v>
      </c>
      <c r="G71" s="49">
        <v>992001</v>
      </c>
      <c r="H71" s="49">
        <v>992426</v>
      </c>
      <c r="I71" s="49">
        <v>992691</v>
      </c>
      <c r="J71" s="49">
        <v>993072</v>
      </c>
      <c r="K71" s="49">
        <v>996189</v>
      </c>
      <c r="L71" s="49">
        <v>992550</v>
      </c>
      <c r="M71" s="49">
        <v>988386</v>
      </c>
      <c r="O71" s="49">
        <v>986205</v>
      </c>
      <c r="P71" s="49">
        <v>954259</v>
      </c>
      <c r="Q71" s="49">
        <v>995005</v>
      </c>
      <c r="R71" s="49">
        <v>992561</v>
      </c>
      <c r="S71" s="49">
        <v>980038</v>
      </c>
      <c r="T71" s="49">
        <v>989222</v>
      </c>
      <c r="U71" s="49">
        <v>988810</v>
      </c>
      <c r="V71" s="49">
        <v>955095</v>
      </c>
      <c r="W71" s="49">
        <v>989251</v>
      </c>
      <c r="X71" s="49">
        <v>992694</v>
      </c>
      <c r="Y71" s="49">
        <v>998093</v>
      </c>
    </row>
    <row r="72" spans="1:25" x14ac:dyDescent="0.3">
      <c r="A72" s="49">
        <v>992457</v>
      </c>
      <c r="B72" s="49">
        <v>986105</v>
      </c>
      <c r="C72" s="49">
        <v>954010</v>
      </c>
      <c r="D72" s="49">
        <v>992100</v>
      </c>
      <c r="E72" s="49">
        <v>955023</v>
      </c>
      <c r="F72" s="49">
        <v>996024</v>
      </c>
      <c r="G72" s="49">
        <v>995247</v>
      </c>
      <c r="H72" s="49">
        <v>988400</v>
      </c>
      <c r="I72" s="49">
        <v>985015</v>
      </c>
      <c r="J72" s="49">
        <v>963004</v>
      </c>
      <c r="K72" s="49">
        <v>988727</v>
      </c>
      <c r="L72" s="49">
        <v>998002</v>
      </c>
      <c r="M72" s="49">
        <v>954222</v>
      </c>
      <c r="O72" s="49">
        <v>992302</v>
      </c>
      <c r="P72" s="49">
        <v>994029</v>
      </c>
      <c r="Q72" s="49">
        <v>989173</v>
      </c>
      <c r="R72" s="49">
        <v>978025</v>
      </c>
      <c r="S72" s="49">
        <v>980065</v>
      </c>
      <c r="T72" s="49">
        <v>988152</v>
      </c>
      <c r="U72" s="49">
        <v>988201</v>
      </c>
      <c r="V72" s="49">
        <v>955010</v>
      </c>
      <c r="W72" s="49">
        <v>992225</v>
      </c>
      <c r="X72" s="49">
        <v>986537</v>
      </c>
      <c r="Y72" s="49">
        <v>983019</v>
      </c>
    </row>
    <row r="73" spans="1:25" x14ac:dyDescent="0.3">
      <c r="A73" s="49">
        <v>996402</v>
      </c>
      <c r="B73" s="49">
        <v>992677</v>
      </c>
      <c r="C73" s="49">
        <v>995322</v>
      </c>
      <c r="D73" s="49">
        <v>960030</v>
      </c>
      <c r="E73" s="49">
        <v>981096</v>
      </c>
      <c r="F73" s="49">
        <v>980155</v>
      </c>
      <c r="G73" s="49">
        <v>996040</v>
      </c>
      <c r="H73" s="49">
        <v>960037</v>
      </c>
      <c r="I73" s="49">
        <v>986216</v>
      </c>
      <c r="J73" s="49">
        <v>984036</v>
      </c>
      <c r="K73" s="49">
        <v>992636</v>
      </c>
      <c r="L73" s="49">
        <v>998109</v>
      </c>
      <c r="M73" s="49">
        <v>986218</v>
      </c>
      <c r="O73" s="49">
        <v>992424</v>
      </c>
      <c r="P73" s="49">
        <v>977024</v>
      </c>
      <c r="Q73" s="49">
        <v>989196</v>
      </c>
      <c r="R73" s="49">
        <v>954223</v>
      </c>
      <c r="S73" s="49">
        <v>986315</v>
      </c>
      <c r="T73" s="49">
        <v>989095</v>
      </c>
      <c r="U73" s="49">
        <v>988233</v>
      </c>
      <c r="V73" s="49">
        <v>955199</v>
      </c>
      <c r="W73" s="49">
        <v>986493</v>
      </c>
      <c r="X73" s="49">
        <v>992519</v>
      </c>
      <c r="Y73" s="49">
        <v>983020</v>
      </c>
    </row>
    <row r="74" spans="1:25" x14ac:dyDescent="0.3">
      <c r="A74" s="49">
        <v>992736</v>
      </c>
      <c r="B74" s="49">
        <v>986009</v>
      </c>
      <c r="C74" s="49">
        <v>992663</v>
      </c>
      <c r="D74" s="49">
        <v>960034</v>
      </c>
      <c r="E74" s="49">
        <v>998091</v>
      </c>
      <c r="F74" s="49">
        <v>986257</v>
      </c>
      <c r="G74" s="49">
        <v>996061</v>
      </c>
      <c r="H74" s="49">
        <v>988500</v>
      </c>
      <c r="I74" s="49">
        <v>996079</v>
      </c>
      <c r="J74" s="49">
        <v>989125</v>
      </c>
      <c r="K74" s="49">
        <v>991056</v>
      </c>
      <c r="L74" s="49">
        <v>998127</v>
      </c>
      <c r="M74" s="49">
        <v>986103</v>
      </c>
      <c r="O74" s="49">
        <v>958002</v>
      </c>
      <c r="P74" s="49">
        <v>990001</v>
      </c>
      <c r="Q74" s="49">
        <v>988593</v>
      </c>
      <c r="R74" s="49">
        <v>954056</v>
      </c>
      <c r="S74" s="49">
        <v>980033</v>
      </c>
      <c r="T74" s="49">
        <v>988153</v>
      </c>
      <c r="U74" s="49">
        <v>988234</v>
      </c>
      <c r="V74" s="49">
        <v>955133</v>
      </c>
      <c r="W74" s="49">
        <v>954028</v>
      </c>
      <c r="X74" s="49">
        <v>992475</v>
      </c>
      <c r="Y74" s="49">
        <v>983021</v>
      </c>
    </row>
    <row r="75" spans="1:25" x14ac:dyDescent="0.3">
      <c r="A75" s="49">
        <v>992051</v>
      </c>
      <c r="B75" s="49">
        <v>983057</v>
      </c>
      <c r="C75" s="49">
        <v>991088</v>
      </c>
      <c r="D75" s="49">
        <v>984037</v>
      </c>
      <c r="E75" s="49">
        <v>940058</v>
      </c>
      <c r="F75" s="49">
        <v>988018</v>
      </c>
      <c r="G75" s="49">
        <v>979005</v>
      </c>
      <c r="H75" s="49">
        <v>980157</v>
      </c>
      <c r="I75" s="49">
        <v>996081</v>
      </c>
      <c r="J75" s="49">
        <v>975038</v>
      </c>
      <c r="K75" s="49">
        <v>991053</v>
      </c>
      <c r="L75" s="49">
        <v>998194</v>
      </c>
      <c r="M75" s="49">
        <v>995153</v>
      </c>
      <c r="O75" s="49">
        <v>998158</v>
      </c>
      <c r="P75" s="49">
        <v>990002</v>
      </c>
      <c r="Q75" s="49">
        <v>988830</v>
      </c>
      <c r="R75" s="49">
        <v>954148</v>
      </c>
      <c r="S75" s="49">
        <v>992167</v>
      </c>
      <c r="T75" s="49">
        <v>966003</v>
      </c>
      <c r="U75" s="49">
        <v>982023</v>
      </c>
      <c r="V75" s="49">
        <v>981101</v>
      </c>
      <c r="W75" s="49">
        <v>996137</v>
      </c>
      <c r="X75" s="49">
        <v>991085</v>
      </c>
      <c r="Y75" s="49">
        <v>983073</v>
      </c>
    </row>
    <row r="76" spans="1:25" x14ac:dyDescent="0.3">
      <c r="A76" s="49">
        <v>996019</v>
      </c>
      <c r="B76" s="49">
        <v>979024</v>
      </c>
      <c r="C76" s="49">
        <v>992551</v>
      </c>
      <c r="D76" s="49">
        <v>992083</v>
      </c>
      <c r="E76" s="49">
        <v>998163</v>
      </c>
      <c r="F76" s="49">
        <v>986072</v>
      </c>
      <c r="G76" s="49">
        <v>988066</v>
      </c>
      <c r="H76" s="49">
        <v>985036</v>
      </c>
      <c r="I76" s="49">
        <v>992003</v>
      </c>
      <c r="J76" s="49">
        <v>996002</v>
      </c>
      <c r="K76" s="49">
        <v>988421</v>
      </c>
      <c r="L76" s="49">
        <v>998033</v>
      </c>
      <c r="M76" s="49">
        <v>975107</v>
      </c>
      <c r="O76" s="49">
        <v>998169</v>
      </c>
      <c r="P76" s="49">
        <v>982044</v>
      </c>
      <c r="Q76" s="49">
        <v>988282</v>
      </c>
      <c r="R76" s="49">
        <v>993009</v>
      </c>
      <c r="S76" s="49">
        <v>988326</v>
      </c>
      <c r="T76" s="49">
        <v>996112</v>
      </c>
      <c r="U76" s="49">
        <v>996183</v>
      </c>
      <c r="V76" s="49">
        <v>988941</v>
      </c>
      <c r="W76" s="49">
        <v>988159</v>
      </c>
      <c r="X76" s="49">
        <v>984067</v>
      </c>
      <c r="Y76" s="49">
        <v>983068</v>
      </c>
    </row>
    <row r="77" spans="1:25" x14ac:dyDescent="0.3">
      <c r="A77" s="49">
        <v>996072</v>
      </c>
      <c r="B77" s="49">
        <v>988076</v>
      </c>
      <c r="C77" s="49">
        <v>980167</v>
      </c>
      <c r="D77" s="49">
        <v>986196</v>
      </c>
      <c r="E77" s="49">
        <v>984078</v>
      </c>
      <c r="F77" s="49">
        <v>954191</v>
      </c>
      <c r="G77" s="49">
        <v>990006</v>
      </c>
      <c r="H77" s="49">
        <v>954231</v>
      </c>
      <c r="I77" s="49">
        <v>995041</v>
      </c>
      <c r="J77" s="49">
        <v>996041</v>
      </c>
      <c r="K77" s="49">
        <v>988120</v>
      </c>
      <c r="L77" s="49">
        <v>998027</v>
      </c>
      <c r="M77" s="49">
        <v>940043</v>
      </c>
      <c r="O77" s="49">
        <v>998170</v>
      </c>
      <c r="P77" s="49">
        <v>990038</v>
      </c>
      <c r="Q77" s="49">
        <v>954277</v>
      </c>
      <c r="R77" s="49">
        <v>993050</v>
      </c>
      <c r="S77" s="49">
        <v>986306</v>
      </c>
      <c r="T77" s="49">
        <v>988811</v>
      </c>
      <c r="U77" s="49">
        <v>954177</v>
      </c>
      <c r="V77" s="49">
        <v>955009</v>
      </c>
      <c r="W77" s="49">
        <v>992095</v>
      </c>
      <c r="X77" s="49">
        <v>991066</v>
      </c>
      <c r="Y77" s="49">
        <v>983074</v>
      </c>
    </row>
    <row r="78" spans="1:25" x14ac:dyDescent="0.3">
      <c r="A78" s="49">
        <v>988379</v>
      </c>
      <c r="B78" s="49">
        <v>995257</v>
      </c>
      <c r="C78" s="49">
        <v>986180</v>
      </c>
      <c r="D78" s="49">
        <v>988452</v>
      </c>
      <c r="E78" s="49">
        <v>989278</v>
      </c>
      <c r="F78" s="49">
        <v>988447</v>
      </c>
      <c r="G78" s="49">
        <v>960033</v>
      </c>
      <c r="H78" s="49">
        <v>980190</v>
      </c>
      <c r="I78" s="49">
        <v>989176</v>
      </c>
      <c r="J78" s="49">
        <v>996055</v>
      </c>
      <c r="K78" s="49">
        <v>975024</v>
      </c>
      <c r="L78" s="49">
        <v>975061</v>
      </c>
      <c r="M78" s="49">
        <v>995124</v>
      </c>
      <c r="O78" s="49">
        <v>979008</v>
      </c>
      <c r="P78" s="49">
        <v>984001</v>
      </c>
      <c r="Q78" s="49">
        <v>996375</v>
      </c>
      <c r="R78" s="49">
        <v>954150</v>
      </c>
      <c r="S78" s="49">
        <v>986305</v>
      </c>
      <c r="T78" s="49">
        <v>992186</v>
      </c>
      <c r="U78" s="49">
        <v>994059</v>
      </c>
      <c r="V78" s="49">
        <v>955202</v>
      </c>
      <c r="W78" s="49">
        <v>985081</v>
      </c>
      <c r="X78" s="49">
        <v>992349</v>
      </c>
      <c r="Y78" s="49">
        <v>983009</v>
      </c>
    </row>
    <row r="79" spans="1:25" x14ac:dyDescent="0.3">
      <c r="A79" s="49">
        <v>991006</v>
      </c>
      <c r="B79" s="49">
        <v>996063</v>
      </c>
      <c r="C79" s="49">
        <v>995057</v>
      </c>
      <c r="D79" s="49">
        <v>988776</v>
      </c>
      <c r="E79" s="49">
        <v>992765</v>
      </c>
      <c r="F79" s="49">
        <v>940073</v>
      </c>
      <c r="G79" s="49">
        <v>992042</v>
      </c>
      <c r="H79" s="49">
        <v>975086</v>
      </c>
      <c r="I79" s="49">
        <v>992212</v>
      </c>
      <c r="J79" s="49">
        <v>992268</v>
      </c>
      <c r="K79" s="49">
        <v>988356</v>
      </c>
      <c r="L79" s="49">
        <v>989234</v>
      </c>
      <c r="M79" s="49">
        <v>974008</v>
      </c>
      <c r="O79" s="49">
        <v>979012</v>
      </c>
      <c r="P79" s="49">
        <v>954257</v>
      </c>
      <c r="Q79" s="49">
        <v>988288</v>
      </c>
      <c r="R79" s="49">
        <v>988645</v>
      </c>
      <c r="S79" s="49">
        <v>988324</v>
      </c>
      <c r="T79" s="49">
        <v>989267</v>
      </c>
      <c r="U79" s="49">
        <v>980045</v>
      </c>
      <c r="V79" s="49">
        <v>998157</v>
      </c>
      <c r="W79" s="49">
        <v>989181</v>
      </c>
      <c r="X79" s="49">
        <v>967011</v>
      </c>
      <c r="Y79" s="49">
        <v>983011</v>
      </c>
    </row>
    <row r="80" spans="1:25" x14ac:dyDescent="0.3">
      <c r="A80" s="49">
        <v>988009</v>
      </c>
      <c r="B80" s="49">
        <v>982094</v>
      </c>
      <c r="C80" s="49">
        <v>992541</v>
      </c>
      <c r="D80" s="49">
        <v>985040</v>
      </c>
      <c r="E80" s="49">
        <v>954281</v>
      </c>
      <c r="F80" s="49">
        <v>989038</v>
      </c>
      <c r="G80" s="49">
        <v>960024</v>
      </c>
      <c r="H80" s="49">
        <v>992204</v>
      </c>
      <c r="I80" s="49">
        <v>986088</v>
      </c>
      <c r="J80" s="49">
        <v>988111</v>
      </c>
      <c r="K80" s="49">
        <v>986179</v>
      </c>
      <c r="L80" s="49">
        <v>975075</v>
      </c>
      <c r="M80" s="49">
        <v>986560</v>
      </c>
      <c r="O80" s="49">
        <v>996007</v>
      </c>
      <c r="P80" s="49">
        <v>940089</v>
      </c>
      <c r="Q80" s="49">
        <v>986375</v>
      </c>
      <c r="R80" s="49">
        <v>966146</v>
      </c>
      <c r="S80" s="49">
        <v>980080</v>
      </c>
      <c r="T80" s="49">
        <v>982139</v>
      </c>
      <c r="U80" s="49">
        <v>988199</v>
      </c>
      <c r="V80" s="49">
        <v>998178</v>
      </c>
      <c r="W80" s="49">
        <v>987009</v>
      </c>
      <c r="X80" s="49">
        <v>954260</v>
      </c>
      <c r="Y80" s="49">
        <v>983076</v>
      </c>
    </row>
    <row r="81" spans="1:25" x14ac:dyDescent="0.3">
      <c r="A81" s="49">
        <v>992153</v>
      </c>
      <c r="B81" s="49">
        <v>992500</v>
      </c>
      <c r="C81" s="49">
        <v>991074</v>
      </c>
      <c r="D81" s="49">
        <v>998075</v>
      </c>
      <c r="E81" s="49">
        <v>954003</v>
      </c>
      <c r="F81" s="49">
        <v>972062</v>
      </c>
      <c r="G81" s="49">
        <v>986113</v>
      </c>
      <c r="H81" s="49">
        <v>985039</v>
      </c>
      <c r="I81" s="49">
        <v>986155</v>
      </c>
      <c r="J81" s="49">
        <v>992337</v>
      </c>
      <c r="K81" s="49">
        <v>981011</v>
      </c>
      <c r="L81" s="49">
        <v>979061</v>
      </c>
      <c r="M81" s="49">
        <v>975154</v>
      </c>
      <c r="O81" s="49">
        <v>995110</v>
      </c>
      <c r="P81" s="49">
        <v>954145</v>
      </c>
      <c r="Q81" s="49">
        <v>984116</v>
      </c>
      <c r="R81" s="49">
        <v>979019</v>
      </c>
      <c r="S81" s="49">
        <v>988350</v>
      </c>
      <c r="T81" s="49">
        <v>992392</v>
      </c>
      <c r="U81" s="49">
        <v>988537</v>
      </c>
      <c r="V81" s="49">
        <v>955088</v>
      </c>
      <c r="W81" s="49">
        <v>986025</v>
      </c>
      <c r="X81" s="49">
        <v>995128</v>
      </c>
      <c r="Y81" s="49">
        <v>983077</v>
      </c>
    </row>
    <row r="82" spans="1:25" x14ac:dyDescent="0.3">
      <c r="A82" s="49">
        <v>995066</v>
      </c>
      <c r="B82" s="49">
        <v>986109</v>
      </c>
      <c r="C82" s="49">
        <v>977021</v>
      </c>
      <c r="D82" s="49">
        <v>986042</v>
      </c>
      <c r="E82" s="49">
        <v>993141</v>
      </c>
      <c r="F82" s="49">
        <v>992524</v>
      </c>
      <c r="G82" s="49">
        <v>988355</v>
      </c>
      <c r="H82" s="49">
        <v>988130</v>
      </c>
      <c r="I82" s="49">
        <v>996149</v>
      </c>
      <c r="J82" s="49">
        <v>988384</v>
      </c>
      <c r="K82" s="49">
        <v>991031</v>
      </c>
      <c r="L82" s="49">
        <v>996170</v>
      </c>
      <c r="M82" s="49">
        <v>975173</v>
      </c>
      <c r="O82" s="49">
        <v>954228</v>
      </c>
      <c r="P82" s="49">
        <v>994027</v>
      </c>
      <c r="Q82" s="49">
        <v>958007</v>
      </c>
      <c r="R82" s="49">
        <v>988312</v>
      </c>
      <c r="S82" s="49">
        <v>988680</v>
      </c>
      <c r="T82" s="49">
        <v>940066</v>
      </c>
      <c r="U82" s="49">
        <v>982028</v>
      </c>
      <c r="V82" s="49">
        <v>955224</v>
      </c>
      <c r="W82" s="49">
        <v>980156</v>
      </c>
      <c r="X82" s="49">
        <v>980177</v>
      </c>
      <c r="Y82" s="49">
        <v>983008</v>
      </c>
    </row>
    <row r="83" spans="1:25" x14ac:dyDescent="0.3">
      <c r="A83" s="49">
        <v>986193</v>
      </c>
      <c r="B83" s="49">
        <v>986282</v>
      </c>
      <c r="C83" s="49">
        <v>995188</v>
      </c>
      <c r="D83" s="49">
        <v>988131</v>
      </c>
      <c r="E83" s="49">
        <v>988006</v>
      </c>
      <c r="F83" s="49">
        <v>972026</v>
      </c>
      <c r="G83" s="49">
        <v>989174</v>
      </c>
      <c r="H83" s="49">
        <v>981061</v>
      </c>
      <c r="I83" s="49">
        <v>986255</v>
      </c>
      <c r="J83" s="49">
        <v>972052</v>
      </c>
      <c r="K83" s="49">
        <v>988971</v>
      </c>
      <c r="L83" s="49">
        <v>995263</v>
      </c>
      <c r="M83" s="49">
        <v>990032</v>
      </c>
      <c r="O83" s="49">
        <v>989215</v>
      </c>
      <c r="P83" s="49">
        <v>992542</v>
      </c>
      <c r="Q83" s="49">
        <v>975033</v>
      </c>
      <c r="R83" s="49">
        <v>988851</v>
      </c>
      <c r="S83" s="49">
        <v>988298</v>
      </c>
      <c r="T83" s="49">
        <v>966020</v>
      </c>
      <c r="U83" s="49">
        <v>971074</v>
      </c>
      <c r="V83" s="49">
        <v>981090</v>
      </c>
      <c r="W83" s="49">
        <v>954282</v>
      </c>
      <c r="X83" s="49">
        <v>980060</v>
      </c>
      <c r="Y83" s="49">
        <v>998051</v>
      </c>
    </row>
    <row r="84" spans="1:25" x14ac:dyDescent="0.3">
      <c r="A84" s="49">
        <v>988004</v>
      </c>
      <c r="B84" s="49">
        <v>967027</v>
      </c>
      <c r="C84" s="49">
        <v>988088</v>
      </c>
      <c r="D84" s="49">
        <v>982126</v>
      </c>
      <c r="E84" s="49">
        <v>986232</v>
      </c>
      <c r="F84" s="49">
        <v>988396</v>
      </c>
      <c r="G84" s="49">
        <v>995017</v>
      </c>
      <c r="H84" s="49">
        <v>982157</v>
      </c>
      <c r="I84" s="49">
        <v>988732</v>
      </c>
      <c r="J84" s="49">
        <v>971049</v>
      </c>
      <c r="K84" s="49">
        <v>977032</v>
      </c>
      <c r="L84" s="49">
        <v>994024</v>
      </c>
      <c r="M84" s="49">
        <v>995133</v>
      </c>
      <c r="O84" s="49">
        <v>995177</v>
      </c>
      <c r="P84" s="49">
        <v>984005</v>
      </c>
      <c r="Q84" s="49">
        <v>981007</v>
      </c>
      <c r="R84" s="49">
        <v>996236</v>
      </c>
      <c r="S84" s="49">
        <v>988318</v>
      </c>
      <c r="T84" s="49">
        <v>995093</v>
      </c>
      <c r="U84" s="49">
        <v>976061</v>
      </c>
      <c r="V84" s="49">
        <v>955071</v>
      </c>
      <c r="W84" s="49">
        <v>984061</v>
      </c>
      <c r="X84" s="49">
        <v>954153</v>
      </c>
      <c r="Y84" s="49">
        <v>998050</v>
      </c>
    </row>
    <row r="85" spans="1:25" x14ac:dyDescent="0.3">
      <c r="A85" s="49">
        <v>980111</v>
      </c>
      <c r="B85" s="49">
        <v>992381</v>
      </c>
      <c r="C85" s="49">
        <v>960013</v>
      </c>
      <c r="D85" s="49">
        <v>975180</v>
      </c>
      <c r="E85" s="49">
        <v>975111</v>
      </c>
      <c r="F85" s="49">
        <v>940025</v>
      </c>
      <c r="G85" s="49">
        <v>954198</v>
      </c>
      <c r="H85" s="49">
        <v>984045</v>
      </c>
      <c r="I85" s="49">
        <v>992396</v>
      </c>
      <c r="J85" s="49">
        <v>971055</v>
      </c>
      <c r="K85" s="49">
        <v>992711</v>
      </c>
      <c r="L85" s="49">
        <v>992568</v>
      </c>
      <c r="M85" s="49">
        <v>992377</v>
      </c>
      <c r="O85" s="49">
        <v>995249</v>
      </c>
      <c r="P85" s="49">
        <v>986079</v>
      </c>
      <c r="Q85" s="49">
        <v>992435</v>
      </c>
      <c r="R85" s="49">
        <v>996238</v>
      </c>
      <c r="S85" s="49">
        <v>988639</v>
      </c>
      <c r="T85" s="49">
        <v>980195</v>
      </c>
      <c r="U85" s="49">
        <v>971067</v>
      </c>
      <c r="V85" s="49">
        <v>980145</v>
      </c>
      <c r="W85" s="49">
        <v>991065</v>
      </c>
      <c r="X85" s="49">
        <v>991099</v>
      </c>
      <c r="Y85" s="49">
        <v>998049</v>
      </c>
    </row>
    <row r="86" spans="1:25" x14ac:dyDescent="0.3">
      <c r="A86" s="49">
        <v>954147</v>
      </c>
      <c r="B86" s="49">
        <v>988101</v>
      </c>
      <c r="C86" s="49">
        <v>988451</v>
      </c>
      <c r="D86" s="49">
        <v>988720</v>
      </c>
      <c r="E86" s="49">
        <v>988019</v>
      </c>
      <c r="F86" s="49">
        <v>955129</v>
      </c>
      <c r="G86" s="49">
        <v>995233</v>
      </c>
      <c r="H86" s="49">
        <v>988456</v>
      </c>
      <c r="I86" s="49">
        <v>989018</v>
      </c>
      <c r="J86" s="49">
        <v>971072</v>
      </c>
      <c r="K86" s="49">
        <v>975017</v>
      </c>
      <c r="L86" s="49">
        <v>972049</v>
      </c>
      <c r="M86" s="49">
        <v>988499</v>
      </c>
      <c r="O86" s="49">
        <v>975030</v>
      </c>
      <c r="P86" s="49">
        <v>992508</v>
      </c>
      <c r="Q86" s="49">
        <v>995268</v>
      </c>
      <c r="R86" s="49">
        <v>996241</v>
      </c>
      <c r="S86" s="49">
        <v>988841</v>
      </c>
      <c r="T86" s="49">
        <v>986485</v>
      </c>
      <c r="U86" s="49">
        <v>971086</v>
      </c>
      <c r="V86" s="49">
        <v>988999</v>
      </c>
      <c r="W86" s="49">
        <v>998200</v>
      </c>
      <c r="X86" s="49">
        <v>982187</v>
      </c>
      <c r="Y86" s="49">
        <v>983067</v>
      </c>
    </row>
    <row r="87" spans="1:25" x14ac:dyDescent="0.3">
      <c r="A87" s="49">
        <v>986270</v>
      </c>
      <c r="B87" s="49">
        <v>998012</v>
      </c>
      <c r="C87" s="49">
        <v>960044</v>
      </c>
      <c r="D87" s="49">
        <v>986089</v>
      </c>
      <c r="E87" s="49">
        <v>989091</v>
      </c>
      <c r="F87" s="49">
        <v>986068</v>
      </c>
      <c r="G87" s="49">
        <v>992732</v>
      </c>
      <c r="H87" s="49">
        <v>991090</v>
      </c>
      <c r="I87" s="49">
        <v>986252</v>
      </c>
      <c r="J87" s="49">
        <v>971065</v>
      </c>
      <c r="K87" s="49">
        <v>989144</v>
      </c>
      <c r="L87" s="49">
        <v>972004</v>
      </c>
      <c r="M87" s="49">
        <v>996086</v>
      </c>
      <c r="O87" s="49">
        <v>989126</v>
      </c>
      <c r="P87" s="49">
        <v>986505</v>
      </c>
      <c r="Q87" s="49">
        <v>989109</v>
      </c>
      <c r="R87" s="49">
        <v>996242</v>
      </c>
      <c r="S87" s="49">
        <v>956031</v>
      </c>
      <c r="T87" s="49">
        <v>986036</v>
      </c>
      <c r="U87" s="49">
        <v>986426</v>
      </c>
      <c r="V87" s="49">
        <v>983118</v>
      </c>
      <c r="W87" s="49">
        <v>988147</v>
      </c>
      <c r="X87" s="49">
        <v>956013</v>
      </c>
      <c r="Y87" s="49">
        <v>983080</v>
      </c>
    </row>
    <row r="88" spans="1:25" x14ac:dyDescent="0.3">
      <c r="A88" s="49">
        <v>992270</v>
      </c>
      <c r="B88" s="49">
        <v>998029</v>
      </c>
      <c r="C88" s="49">
        <v>992452</v>
      </c>
      <c r="D88" s="49">
        <v>988361</v>
      </c>
      <c r="E88" s="49">
        <v>982037</v>
      </c>
      <c r="F88" s="49">
        <v>986023</v>
      </c>
      <c r="G88" s="49">
        <v>994040</v>
      </c>
      <c r="H88" s="49">
        <v>985046</v>
      </c>
      <c r="I88" s="49">
        <v>986039</v>
      </c>
      <c r="J88" s="49">
        <v>971037</v>
      </c>
      <c r="K88" s="49">
        <v>985014</v>
      </c>
      <c r="L88" s="49">
        <v>983125</v>
      </c>
      <c r="M88" s="49">
        <v>986099</v>
      </c>
      <c r="O88" s="49">
        <v>988052</v>
      </c>
      <c r="P88" s="49">
        <v>966164</v>
      </c>
      <c r="Q88" s="49">
        <v>991019</v>
      </c>
      <c r="R88" s="49">
        <v>996260</v>
      </c>
      <c r="S88" s="49">
        <v>988315</v>
      </c>
      <c r="T88" s="49">
        <v>980025</v>
      </c>
      <c r="U88" s="49">
        <v>989167</v>
      </c>
      <c r="V88" s="49">
        <v>986401</v>
      </c>
      <c r="W88" s="49">
        <v>988178</v>
      </c>
      <c r="X88" s="49">
        <v>998006</v>
      </c>
      <c r="Y88" s="49">
        <v>983106</v>
      </c>
    </row>
    <row r="89" spans="1:25" x14ac:dyDescent="0.3">
      <c r="A89" s="49">
        <v>986258</v>
      </c>
      <c r="B89" s="49">
        <v>988485</v>
      </c>
      <c r="C89" s="49">
        <v>995209</v>
      </c>
      <c r="D89" s="49">
        <v>998082</v>
      </c>
      <c r="E89" s="49">
        <v>992258</v>
      </c>
      <c r="F89" s="49">
        <v>988394</v>
      </c>
      <c r="G89" s="49">
        <v>995016</v>
      </c>
      <c r="H89" s="49">
        <v>979032</v>
      </c>
      <c r="I89" s="49">
        <v>995313</v>
      </c>
      <c r="J89" s="49">
        <v>971052</v>
      </c>
      <c r="K89" s="49">
        <v>975041</v>
      </c>
      <c r="L89" s="49">
        <v>972081</v>
      </c>
      <c r="M89" s="49">
        <v>995134</v>
      </c>
      <c r="O89" s="49">
        <v>988900</v>
      </c>
      <c r="P89" s="49">
        <v>995240</v>
      </c>
      <c r="Q89" s="49">
        <v>982069</v>
      </c>
      <c r="R89" s="49">
        <v>988676</v>
      </c>
      <c r="S89" s="49">
        <v>988330</v>
      </c>
      <c r="T89" s="49">
        <v>988516</v>
      </c>
      <c r="U89" s="49">
        <v>994107</v>
      </c>
      <c r="V89" s="49">
        <v>986424</v>
      </c>
      <c r="W89" s="49">
        <v>988188</v>
      </c>
      <c r="X89" s="49">
        <v>954157</v>
      </c>
      <c r="Y89" s="49">
        <v>983024</v>
      </c>
    </row>
    <row r="90" spans="1:25" x14ac:dyDescent="0.3">
      <c r="A90" s="49">
        <v>988889</v>
      </c>
      <c r="B90" s="49">
        <v>991022</v>
      </c>
      <c r="C90" s="49">
        <v>989047</v>
      </c>
      <c r="D90" s="49">
        <v>996099</v>
      </c>
      <c r="E90" s="49">
        <v>995265</v>
      </c>
      <c r="F90" s="49">
        <v>992124</v>
      </c>
      <c r="G90" s="49">
        <v>993127</v>
      </c>
      <c r="H90" s="49">
        <v>979037</v>
      </c>
      <c r="I90" s="49">
        <v>980181</v>
      </c>
      <c r="J90" s="49">
        <v>971073</v>
      </c>
      <c r="K90" s="49">
        <v>989127</v>
      </c>
      <c r="L90" s="49">
        <v>972082</v>
      </c>
      <c r="M90" s="49">
        <v>975184</v>
      </c>
      <c r="O90" s="49">
        <v>979001</v>
      </c>
      <c r="P90" s="49">
        <v>986057</v>
      </c>
      <c r="Q90" s="49">
        <v>986605</v>
      </c>
      <c r="R90" s="49">
        <v>989039</v>
      </c>
      <c r="S90" s="49">
        <v>986337</v>
      </c>
      <c r="T90" s="49">
        <v>986458</v>
      </c>
      <c r="U90" s="49">
        <v>966167</v>
      </c>
      <c r="V90" s="49">
        <v>993101</v>
      </c>
      <c r="W90" s="49">
        <v>986602</v>
      </c>
      <c r="X90" s="49">
        <v>989040</v>
      </c>
      <c r="Y90" s="49">
        <v>998023</v>
      </c>
    </row>
    <row r="91" spans="1:25" x14ac:dyDescent="0.3">
      <c r="A91" s="49">
        <v>982060</v>
      </c>
      <c r="B91" s="49">
        <v>986125</v>
      </c>
      <c r="C91" s="49">
        <v>967007</v>
      </c>
      <c r="D91" s="49">
        <v>965004</v>
      </c>
      <c r="E91" s="49">
        <v>988036</v>
      </c>
      <c r="F91" s="49">
        <v>980027</v>
      </c>
      <c r="G91" s="49">
        <v>988086</v>
      </c>
      <c r="H91" s="49">
        <v>988735</v>
      </c>
      <c r="I91" s="49">
        <v>986278</v>
      </c>
      <c r="J91" s="49">
        <v>971001</v>
      </c>
      <c r="K91" s="49">
        <v>985049</v>
      </c>
      <c r="L91" s="49">
        <v>975190</v>
      </c>
      <c r="M91" s="49">
        <v>966110</v>
      </c>
      <c r="O91" s="49">
        <v>989237</v>
      </c>
      <c r="P91" s="49">
        <v>984034</v>
      </c>
      <c r="Q91" s="49">
        <v>989093</v>
      </c>
      <c r="R91" s="49">
        <v>980146</v>
      </c>
      <c r="S91" s="49">
        <v>986339</v>
      </c>
      <c r="T91" s="49">
        <v>988184</v>
      </c>
      <c r="U91" s="49">
        <v>966170</v>
      </c>
      <c r="V91" s="49">
        <v>986425</v>
      </c>
      <c r="W91" s="49">
        <v>985034</v>
      </c>
      <c r="X91" s="49">
        <v>993018</v>
      </c>
      <c r="Y91" s="49">
        <v>983069</v>
      </c>
    </row>
    <row r="92" spans="1:25" x14ac:dyDescent="0.3">
      <c r="A92" s="49">
        <v>986238</v>
      </c>
      <c r="B92" s="49">
        <v>988424</v>
      </c>
      <c r="C92" s="49">
        <v>996068</v>
      </c>
      <c r="D92" s="49">
        <v>993069</v>
      </c>
      <c r="E92" s="49">
        <v>988040</v>
      </c>
      <c r="F92" s="49">
        <v>992117</v>
      </c>
      <c r="G92" s="49">
        <v>991040</v>
      </c>
      <c r="H92" s="49">
        <v>992661</v>
      </c>
      <c r="I92" s="49">
        <v>996085</v>
      </c>
      <c r="J92" s="49">
        <v>971004</v>
      </c>
      <c r="K92" s="49">
        <v>986215</v>
      </c>
      <c r="L92" s="49">
        <v>995295</v>
      </c>
      <c r="M92" s="49">
        <v>954097</v>
      </c>
      <c r="O92" s="49">
        <v>975034</v>
      </c>
      <c r="P92" s="49">
        <v>954086</v>
      </c>
      <c r="Q92" s="49">
        <v>954185</v>
      </c>
      <c r="R92" s="49">
        <v>975135</v>
      </c>
      <c r="S92" s="49">
        <v>954190</v>
      </c>
      <c r="T92" s="49">
        <v>993021</v>
      </c>
      <c r="U92" s="49">
        <v>976019</v>
      </c>
      <c r="V92" s="49">
        <v>986395</v>
      </c>
      <c r="W92" s="49">
        <v>982070</v>
      </c>
      <c r="X92" s="49">
        <v>966133</v>
      </c>
      <c r="Y92" s="49">
        <v>983023</v>
      </c>
    </row>
    <row r="93" spans="1:25" x14ac:dyDescent="0.3">
      <c r="A93" s="49">
        <v>978035</v>
      </c>
      <c r="B93" s="49">
        <v>982093</v>
      </c>
      <c r="C93" s="49">
        <v>988457</v>
      </c>
      <c r="D93" s="49">
        <v>992390</v>
      </c>
      <c r="E93" s="49">
        <v>995205</v>
      </c>
      <c r="F93" s="49">
        <v>989337</v>
      </c>
      <c r="G93" s="49">
        <v>991013</v>
      </c>
      <c r="H93" s="49">
        <v>986114</v>
      </c>
      <c r="I93" s="49">
        <v>967020</v>
      </c>
      <c r="J93" s="49">
        <v>971032</v>
      </c>
      <c r="K93" s="49">
        <v>988510</v>
      </c>
      <c r="L93" s="49">
        <v>992127</v>
      </c>
      <c r="M93" s="49">
        <v>975185</v>
      </c>
      <c r="O93" s="49">
        <v>986123</v>
      </c>
      <c r="P93" s="49">
        <v>995160</v>
      </c>
      <c r="Q93" s="49">
        <v>991119</v>
      </c>
      <c r="R93" s="49">
        <v>989276</v>
      </c>
      <c r="S93" s="49">
        <v>966179</v>
      </c>
      <c r="T93" s="49">
        <v>966076</v>
      </c>
      <c r="U93" s="49">
        <v>976069</v>
      </c>
      <c r="V93" s="49">
        <v>986393</v>
      </c>
      <c r="W93" s="49">
        <v>986503</v>
      </c>
      <c r="X93" s="49">
        <v>992305</v>
      </c>
      <c r="Y93" s="49">
        <v>983113</v>
      </c>
    </row>
    <row r="94" spans="1:25" x14ac:dyDescent="0.3">
      <c r="A94" s="49">
        <v>986182</v>
      </c>
      <c r="B94" s="49">
        <v>986040</v>
      </c>
      <c r="C94" s="49">
        <v>987001</v>
      </c>
      <c r="D94" s="49">
        <v>988470</v>
      </c>
      <c r="E94" s="49">
        <v>998123</v>
      </c>
      <c r="F94" s="49">
        <v>988055</v>
      </c>
      <c r="G94" s="49">
        <v>954110</v>
      </c>
      <c r="H94" s="49">
        <v>986190</v>
      </c>
      <c r="I94" s="49">
        <v>993073</v>
      </c>
      <c r="J94" s="49">
        <v>971070</v>
      </c>
      <c r="K94" s="49">
        <v>992513</v>
      </c>
      <c r="L94" s="49">
        <v>955225</v>
      </c>
      <c r="M94" s="49">
        <v>988789</v>
      </c>
      <c r="O94" s="49">
        <v>988731</v>
      </c>
      <c r="P94" s="49">
        <v>989063</v>
      </c>
      <c r="Q94" s="49">
        <v>954070</v>
      </c>
      <c r="R94" s="49">
        <v>989334</v>
      </c>
      <c r="S94" s="49">
        <v>986236</v>
      </c>
      <c r="T94" s="49">
        <v>988523</v>
      </c>
      <c r="U94" s="49">
        <v>994106</v>
      </c>
      <c r="V94" s="49">
        <v>986452</v>
      </c>
      <c r="W94" s="49">
        <v>986504</v>
      </c>
      <c r="X94" s="49">
        <v>940051</v>
      </c>
      <c r="Y94" s="49">
        <v>998086</v>
      </c>
    </row>
    <row r="95" spans="1:25" x14ac:dyDescent="0.3">
      <c r="A95" s="49">
        <v>986245</v>
      </c>
      <c r="B95" s="49">
        <v>994056</v>
      </c>
      <c r="C95" s="49">
        <v>993049</v>
      </c>
      <c r="D95" s="49">
        <v>988972</v>
      </c>
      <c r="E95" s="49">
        <v>983120</v>
      </c>
      <c r="F95" s="49">
        <v>992091</v>
      </c>
      <c r="G95" s="49">
        <v>995196</v>
      </c>
      <c r="H95" s="49">
        <v>960005</v>
      </c>
      <c r="I95" s="49">
        <v>995253</v>
      </c>
      <c r="J95" s="49">
        <v>971077</v>
      </c>
      <c r="K95" s="49">
        <v>995081</v>
      </c>
      <c r="L95" s="49">
        <v>972027</v>
      </c>
      <c r="M95" s="49">
        <v>989055</v>
      </c>
      <c r="O95" s="49">
        <v>980068</v>
      </c>
      <c r="P95" s="49">
        <v>992363</v>
      </c>
      <c r="Q95" s="49">
        <v>989034</v>
      </c>
      <c r="R95" s="49">
        <v>976058</v>
      </c>
      <c r="S95" s="49">
        <v>992170</v>
      </c>
      <c r="T95" s="49">
        <v>983065</v>
      </c>
      <c r="U95" s="49">
        <v>989170</v>
      </c>
      <c r="V95" s="49">
        <v>986381</v>
      </c>
      <c r="W95" s="49">
        <v>966055</v>
      </c>
      <c r="X95" s="49">
        <v>982191</v>
      </c>
      <c r="Y95" s="49">
        <v>983003</v>
      </c>
    </row>
    <row r="96" spans="1:25" x14ac:dyDescent="0.3">
      <c r="A96" s="49">
        <v>986248</v>
      </c>
      <c r="B96" s="49">
        <v>991091</v>
      </c>
      <c r="C96" s="49">
        <v>984054</v>
      </c>
      <c r="D96" s="49">
        <v>995201</v>
      </c>
      <c r="E96" s="49">
        <v>994044</v>
      </c>
      <c r="F96" s="49">
        <v>992039</v>
      </c>
      <c r="G96" s="49">
        <v>954140</v>
      </c>
      <c r="H96" s="49">
        <v>966203</v>
      </c>
      <c r="I96" s="49">
        <v>988123</v>
      </c>
      <c r="J96" s="49">
        <v>971005</v>
      </c>
      <c r="K96" s="49">
        <v>996082</v>
      </c>
      <c r="L96" s="49">
        <v>991057</v>
      </c>
      <c r="M96" s="49">
        <v>992515</v>
      </c>
      <c r="O96" s="49">
        <v>981075</v>
      </c>
      <c r="P96" s="49">
        <v>995208</v>
      </c>
      <c r="Q96" s="49">
        <v>992630</v>
      </c>
      <c r="R96" s="49">
        <v>984073</v>
      </c>
      <c r="S96" s="49">
        <v>988438</v>
      </c>
      <c r="T96" s="49">
        <v>996307</v>
      </c>
      <c r="U96" s="49">
        <v>971063</v>
      </c>
      <c r="V96" s="49">
        <v>986416</v>
      </c>
      <c r="W96" s="49">
        <v>994105</v>
      </c>
      <c r="X96" s="49">
        <v>986538</v>
      </c>
      <c r="Y96" s="49">
        <v>983007</v>
      </c>
    </row>
    <row r="97" spans="1:25" x14ac:dyDescent="0.3">
      <c r="A97" s="49">
        <v>988947</v>
      </c>
      <c r="B97" s="49">
        <v>986210</v>
      </c>
      <c r="C97" s="49">
        <v>994020</v>
      </c>
      <c r="D97" s="49">
        <v>988369</v>
      </c>
      <c r="E97" s="49">
        <v>992533</v>
      </c>
      <c r="F97" s="49">
        <v>981019</v>
      </c>
      <c r="G97" s="49">
        <v>992064</v>
      </c>
      <c r="H97" s="49">
        <v>995328</v>
      </c>
      <c r="I97" s="49">
        <v>988759</v>
      </c>
      <c r="J97" s="49">
        <v>971017</v>
      </c>
      <c r="K97" s="49">
        <v>996098</v>
      </c>
      <c r="L97" s="49">
        <v>960015</v>
      </c>
      <c r="M97" s="49">
        <v>988784</v>
      </c>
      <c r="O97" s="49">
        <v>981008</v>
      </c>
      <c r="P97" s="49">
        <v>975117</v>
      </c>
      <c r="Q97" s="49">
        <v>992733</v>
      </c>
      <c r="R97" s="49">
        <v>978063</v>
      </c>
      <c r="S97" s="49">
        <v>992637</v>
      </c>
      <c r="T97" s="49">
        <v>986439</v>
      </c>
      <c r="U97" s="49">
        <v>958006</v>
      </c>
      <c r="V97" s="49">
        <v>988430</v>
      </c>
      <c r="W97" s="49">
        <v>954036</v>
      </c>
      <c r="X97" s="49">
        <v>982188</v>
      </c>
      <c r="Y97" s="49">
        <v>983095</v>
      </c>
    </row>
    <row r="98" spans="1:25" x14ac:dyDescent="0.3">
      <c r="A98" s="49">
        <v>977045</v>
      </c>
      <c r="B98" s="49">
        <v>996048</v>
      </c>
      <c r="C98" s="49">
        <v>985033</v>
      </c>
      <c r="D98" s="49">
        <v>998069</v>
      </c>
      <c r="E98" s="49">
        <v>980124</v>
      </c>
      <c r="F98" s="49">
        <v>986066</v>
      </c>
      <c r="G98" s="49">
        <v>940076</v>
      </c>
      <c r="H98" s="49">
        <v>998062</v>
      </c>
      <c r="I98" s="49">
        <v>988502</v>
      </c>
      <c r="J98" s="49">
        <v>971020</v>
      </c>
      <c r="K98" s="49">
        <v>991014</v>
      </c>
      <c r="L98" s="49">
        <v>998183</v>
      </c>
      <c r="M98" s="49">
        <v>986138</v>
      </c>
      <c r="O98" s="49">
        <v>981074</v>
      </c>
      <c r="P98" s="49">
        <v>988869</v>
      </c>
      <c r="Q98" s="49">
        <v>989205</v>
      </c>
      <c r="R98" s="49">
        <v>976013</v>
      </c>
      <c r="S98" s="49">
        <v>986324</v>
      </c>
      <c r="T98" s="49">
        <v>954007</v>
      </c>
      <c r="U98" s="49">
        <v>994098</v>
      </c>
      <c r="V98" s="49">
        <v>988433</v>
      </c>
      <c r="W98" s="49">
        <v>954037</v>
      </c>
      <c r="X98" s="49">
        <v>996195</v>
      </c>
      <c r="Y98" s="49">
        <v>983001</v>
      </c>
    </row>
    <row r="99" spans="1:25" x14ac:dyDescent="0.3">
      <c r="A99" s="49">
        <v>983053</v>
      </c>
      <c r="B99" s="49">
        <v>988065</v>
      </c>
      <c r="C99" s="49">
        <v>983055</v>
      </c>
      <c r="D99" s="49">
        <v>988416</v>
      </c>
      <c r="E99" s="49">
        <v>989094</v>
      </c>
      <c r="F99" s="49">
        <v>980046</v>
      </c>
      <c r="G99" s="49">
        <v>995097</v>
      </c>
      <c r="H99" s="49">
        <v>992486</v>
      </c>
      <c r="I99" s="49">
        <v>992423</v>
      </c>
      <c r="J99" s="49">
        <v>971007</v>
      </c>
      <c r="K99" s="49">
        <v>994017</v>
      </c>
      <c r="L99" s="49">
        <v>988444</v>
      </c>
      <c r="M99" s="49">
        <v>972056</v>
      </c>
      <c r="O99" s="49">
        <v>981010</v>
      </c>
      <c r="P99" s="49">
        <v>996167</v>
      </c>
      <c r="Q99" s="49">
        <v>988897</v>
      </c>
      <c r="R99" s="49">
        <v>991159</v>
      </c>
      <c r="S99" s="49">
        <v>988338</v>
      </c>
      <c r="T99" s="49">
        <v>988170</v>
      </c>
      <c r="U99" s="49">
        <v>992599</v>
      </c>
      <c r="V99" s="49">
        <v>988435</v>
      </c>
      <c r="W99" s="49">
        <v>993136</v>
      </c>
      <c r="X99" s="49">
        <v>989043</v>
      </c>
      <c r="Y99" s="49">
        <v>983002</v>
      </c>
    </row>
    <row r="100" spans="1:25" x14ac:dyDescent="0.3">
      <c r="A100" s="49">
        <v>960014</v>
      </c>
      <c r="B100" s="49">
        <v>988069</v>
      </c>
      <c r="C100" s="49">
        <v>981016</v>
      </c>
      <c r="D100" s="49">
        <v>989111</v>
      </c>
      <c r="E100" s="49">
        <v>995163</v>
      </c>
      <c r="F100" s="49">
        <v>996065</v>
      </c>
      <c r="G100" s="49">
        <v>996033</v>
      </c>
      <c r="H100" s="49">
        <v>995200</v>
      </c>
      <c r="I100" s="49">
        <v>988136</v>
      </c>
      <c r="J100" s="49">
        <v>971061</v>
      </c>
      <c r="K100" s="49">
        <v>967022</v>
      </c>
      <c r="L100" s="49">
        <v>986136</v>
      </c>
      <c r="M100" s="49">
        <v>965006</v>
      </c>
      <c r="O100" s="49">
        <v>986126</v>
      </c>
      <c r="P100" s="49">
        <v>988977</v>
      </c>
      <c r="Q100" s="49">
        <v>994022</v>
      </c>
      <c r="R100" s="49">
        <v>989339</v>
      </c>
      <c r="S100" s="49">
        <v>988876</v>
      </c>
      <c r="T100" s="49">
        <v>986455</v>
      </c>
      <c r="U100" s="49">
        <v>966060</v>
      </c>
      <c r="V100" s="49">
        <v>975043</v>
      </c>
      <c r="W100" s="49">
        <v>992275</v>
      </c>
      <c r="X100" s="49">
        <v>972058</v>
      </c>
      <c r="Y100" s="49">
        <v>983004</v>
      </c>
    </row>
    <row r="101" spans="1:25" x14ac:dyDescent="0.3">
      <c r="A101" s="49">
        <v>966069</v>
      </c>
      <c r="B101" s="49">
        <v>988418</v>
      </c>
      <c r="C101" s="49">
        <v>981027</v>
      </c>
      <c r="D101" s="49">
        <v>993137</v>
      </c>
      <c r="E101" s="49">
        <v>976083</v>
      </c>
      <c r="F101" s="49">
        <v>995242</v>
      </c>
      <c r="G101" s="49">
        <v>960017</v>
      </c>
      <c r="H101" s="49">
        <v>956034</v>
      </c>
      <c r="I101" s="49">
        <v>995150</v>
      </c>
      <c r="J101" s="49">
        <v>971069</v>
      </c>
      <c r="K101" s="49">
        <v>992384</v>
      </c>
      <c r="L101" s="49">
        <v>998153</v>
      </c>
      <c r="M101" s="49">
        <v>992122</v>
      </c>
      <c r="O101" s="49">
        <v>996001</v>
      </c>
      <c r="P101" s="49">
        <v>972063</v>
      </c>
      <c r="Q101" s="49">
        <v>991178</v>
      </c>
      <c r="R101" s="49">
        <v>989020</v>
      </c>
      <c r="S101" s="49">
        <v>992098</v>
      </c>
      <c r="T101" s="49">
        <v>996110</v>
      </c>
      <c r="U101" s="49">
        <v>992687</v>
      </c>
      <c r="V101" s="49">
        <v>988559</v>
      </c>
      <c r="W101" s="49">
        <v>992734</v>
      </c>
      <c r="X101" s="49">
        <v>979009</v>
      </c>
      <c r="Y101" s="49">
        <v>983005</v>
      </c>
    </row>
    <row r="102" spans="1:25" x14ac:dyDescent="0.3">
      <c r="A102" s="49">
        <v>996318</v>
      </c>
      <c r="B102" s="49">
        <v>995217</v>
      </c>
      <c r="C102" s="49">
        <v>994001</v>
      </c>
      <c r="D102" s="49">
        <v>995171</v>
      </c>
      <c r="E102" s="49">
        <v>998046</v>
      </c>
      <c r="F102" s="49">
        <v>988404</v>
      </c>
      <c r="G102" s="49">
        <v>988100</v>
      </c>
      <c r="H102" s="49">
        <v>991075</v>
      </c>
      <c r="I102" s="49">
        <v>986017</v>
      </c>
      <c r="J102" s="49">
        <v>971076</v>
      </c>
      <c r="K102" s="49">
        <v>992387</v>
      </c>
      <c r="L102" s="49">
        <v>955179</v>
      </c>
      <c r="M102" s="49">
        <v>985082</v>
      </c>
      <c r="O102" s="49">
        <v>996140</v>
      </c>
      <c r="P102" s="49">
        <v>972046</v>
      </c>
      <c r="Q102" s="49">
        <v>982067</v>
      </c>
      <c r="R102" s="49">
        <v>992265</v>
      </c>
      <c r="S102" s="49">
        <v>986035</v>
      </c>
      <c r="T102" s="49">
        <v>988151</v>
      </c>
      <c r="U102" s="49">
        <v>989217</v>
      </c>
      <c r="V102" s="49">
        <v>986406</v>
      </c>
      <c r="W102" s="49">
        <v>966011</v>
      </c>
      <c r="X102" s="49">
        <v>996265</v>
      </c>
      <c r="Y102" s="49">
        <v>983006</v>
      </c>
    </row>
    <row r="103" spans="1:25" x14ac:dyDescent="0.3">
      <c r="A103" s="49">
        <v>960010</v>
      </c>
      <c r="B103" s="49">
        <v>982095</v>
      </c>
      <c r="C103" s="49">
        <v>988096</v>
      </c>
      <c r="D103" s="49">
        <v>975050</v>
      </c>
      <c r="E103" s="49">
        <v>972071</v>
      </c>
      <c r="F103" s="49">
        <v>986287</v>
      </c>
      <c r="G103" s="49">
        <v>965008</v>
      </c>
      <c r="H103" s="49">
        <v>988363</v>
      </c>
      <c r="I103" s="49">
        <v>995250</v>
      </c>
      <c r="J103" s="49">
        <v>971087</v>
      </c>
      <c r="K103" s="49">
        <v>992388</v>
      </c>
      <c r="L103" s="49">
        <v>988488</v>
      </c>
      <c r="M103" s="49">
        <v>954098</v>
      </c>
      <c r="O103" s="49">
        <v>980001</v>
      </c>
      <c r="P103" s="49">
        <v>955125</v>
      </c>
      <c r="Q103" s="49">
        <v>988258</v>
      </c>
      <c r="R103" s="49">
        <v>992713</v>
      </c>
      <c r="S103" s="49">
        <v>988349</v>
      </c>
      <c r="T103" s="49">
        <v>998090</v>
      </c>
      <c r="U103" s="49">
        <v>966100</v>
      </c>
      <c r="V103" s="49">
        <v>988578</v>
      </c>
      <c r="W103" s="49">
        <v>988436</v>
      </c>
      <c r="X103" s="49">
        <v>998021</v>
      </c>
      <c r="Y103" s="49">
        <v>983022</v>
      </c>
    </row>
    <row r="104" spans="1:25" x14ac:dyDescent="0.3">
      <c r="A104" s="49">
        <v>988034</v>
      </c>
      <c r="B104" s="49">
        <v>988766</v>
      </c>
      <c r="C104" s="49">
        <v>966051</v>
      </c>
      <c r="D104" s="49">
        <v>989211</v>
      </c>
      <c r="E104" s="49">
        <v>995080</v>
      </c>
      <c r="F104" s="49">
        <v>982135</v>
      </c>
      <c r="G104" s="49">
        <v>992065</v>
      </c>
      <c r="H104" s="49">
        <v>992700</v>
      </c>
      <c r="I104" s="49">
        <v>996080</v>
      </c>
      <c r="J104" s="49">
        <v>971093</v>
      </c>
      <c r="K104" s="49">
        <v>975021</v>
      </c>
      <c r="L104" s="49">
        <v>975059</v>
      </c>
      <c r="M104" s="49">
        <v>980161</v>
      </c>
      <c r="O104" s="49">
        <v>996020</v>
      </c>
      <c r="P104" s="49">
        <v>988979</v>
      </c>
      <c r="Q104" s="49">
        <v>986360</v>
      </c>
      <c r="R104" s="49">
        <v>980182</v>
      </c>
      <c r="S104" s="49">
        <v>988709</v>
      </c>
      <c r="T104" s="49">
        <v>980024</v>
      </c>
      <c r="U104" s="49">
        <v>995079</v>
      </c>
      <c r="V104" s="49">
        <v>988569</v>
      </c>
      <c r="W104" s="49">
        <v>940044</v>
      </c>
      <c r="X104" s="49">
        <v>988792</v>
      </c>
      <c r="Y104" s="49">
        <v>983084</v>
      </c>
    </row>
    <row r="105" spans="1:25" x14ac:dyDescent="0.3">
      <c r="A105" s="49">
        <v>988031</v>
      </c>
      <c r="B105" s="49">
        <v>992701</v>
      </c>
      <c r="C105" s="49">
        <v>988397</v>
      </c>
      <c r="D105" s="49">
        <v>995157</v>
      </c>
      <c r="E105" s="49">
        <v>986186</v>
      </c>
      <c r="F105" s="49">
        <v>996139</v>
      </c>
      <c r="G105" s="49">
        <v>993067</v>
      </c>
      <c r="H105" s="49">
        <v>986261</v>
      </c>
      <c r="I105" s="49">
        <v>986267</v>
      </c>
      <c r="J105" s="49">
        <v>971075</v>
      </c>
      <c r="K105" s="49">
        <v>954065</v>
      </c>
      <c r="L105" s="49">
        <v>989139</v>
      </c>
      <c r="O105" s="49">
        <v>954224</v>
      </c>
      <c r="P105" s="49">
        <v>955197</v>
      </c>
      <c r="Q105" s="49">
        <v>967016</v>
      </c>
      <c r="R105" s="49">
        <v>988594</v>
      </c>
      <c r="S105" s="49">
        <v>978011</v>
      </c>
      <c r="T105" s="49">
        <v>991097</v>
      </c>
      <c r="U105" s="49">
        <v>994086</v>
      </c>
      <c r="V105" s="49">
        <v>980164</v>
      </c>
      <c r="W105" s="49">
        <v>988696</v>
      </c>
      <c r="X105" s="49">
        <v>988793</v>
      </c>
      <c r="Y105" s="49">
        <v>983040</v>
      </c>
    </row>
    <row r="106" spans="1:25" x14ac:dyDescent="0.3">
      <c r="A106" s="49">
        <v>954164</v>
      </c>
      <c r="B106" s="49">
        <v>954092</v>
      </c>
      <c r="C106" s="49">
        <v>995056</v>
      </c>
      <c r="D106" s="49">
        <v>998182</v>
      </c>
      <c r="E106" s="49">
        <v>982261</v>
      </c>
      <c r="F106" s="49">
        <v>984042</v>
      </c>
      <c r="G106" s="49">
        <v>995122</v>
      </c>
      <c r="H106" s="49">
        <v>986151</v>
      </c>
      <c r="I106" s="49">
        <v>989086</v>
      </c>
      <c r="J106" s="49">
        <v>971036</v>
      </c>
      <c r="K106" s="49">
        <v>998197</v>
      </c>
      <c r="L106" s="49">
        <v>988080</v>
      </c>
      <c r="O106" s="49">
        <v>954225</v>
      </c>
      <c r="P106" s="49">
        <v>955033</v>
      </c>
      <c r="Q106" s="49">
        <v>954128</v>
      </c>
      <c r="R106" s="49">
        <v>986321</v>
      </c>
      <c r="S106" s="49">
        <v>988672</v>
      </c>
      <c r="T106" s="49">
        <v>984050</v>
      </c>
      <c r="U106" s="49">
        <v>991073</v>
      </c>
      <c r="V106" s="49">
        <v>988586</v>
      </c>
      <c r="W106" s="49">
        <v>988791</v>
      </c>
      <c r="X106" s="49">
        <v>955048</v>
      </c>
      <c r="Y106" s="49">
        <v>983042</v>
      </c>
    </row>
    <row r="107" spans="1:25" x14ac:dyDescent="0.3">
      <c r="A107" s="49">
        <v>992006</v>
      </c>
      <c r="B107" s="49">
        <v>988073</v>
      </c>
      <c r="C107" s="49">
        <v>998114</v>
      </c>
      <c r="D107" s="49">
        <v>998025</v>
      </c>
      <c r="E107" s="49">
        <v>985051</v>
      </c>
      <c r="F107" s="49">
        <v>995179</v>
      </c>
      <c r="G107" s="49">
        <v>996178</v>
      </c>
      <c r="H107" s="49">
        <v>988772</v>
      </c>
      <c r="I107" s="49">
        <v>992208</v>
      </c>
      <c r="J107" s="49">
        <v>971079</v>
      </c>
      <c r="K107" s="49">
        <v>982111</v>
      </c>
      <c r="L107" s="49">
        <v>998204</v>
      </c>
      <c r="O107" s="49">
        <v>988007</v>
      </c>
      <c r="P107" s="49">
        <v>955001</v>
      </c>
      <c r="Q107" s="49">
        <v>992339</v>
      </c>
      <c r="R107" s="49">
        <v>989033</v>
      </c>
      <c r="S107" s="49">
        <v>988296</v>
      </c>
      <c r="T107" s="49">
        <v>996152</v>
      </c>
      <c r="U107" s="49">
        <v>991051</v>
      </c>
      <c r="V107" s="49">
        <v>940070</v>
      </c>
      <c r="W107" s="49">
        <v>991102</v>
      </c>
      <c r="X107" s="49">
        <v>993133</v>
      </c>
      <c r="Y107" s="49">
        <v>983088</v>
      </c>
    </row>
    <row r="108" spans="1:25" x14ac:dyDescent="0.3">
      <c r="A108" s="49">
        <v>996147</v>
      </c>
      <c r="B108" s="49">
        <v>988371</v>
      </c>
      <c r="C108" s="49">
        <v>986183</v>
      </c>
      <c r="D108" s="49">
        <v>960006</v>
      </c>
      <c r="E108" s="49">
        <v>991114</v>
      </c>
      <c r="F108" s="49">
        <v>995176</v>
      </c>
      <c r="G108" s="49">
        <v>954079</v>
      </c>
      <c r="H108" s="49">
        <v>992011</v>
      </c>
      <c r="I108" s="49">
        <v>988528</v>
      </c>
      <c r="J108" s="49">
        <v>971006</v>
      </c>
      <c r="K108" s="49">
        <v>989128</v>
      </c>
      <c r="L108" s="49">
        <v>988479</v>
      </c>
      <c r="O108" s="49">
        <v>988029</v>
      </c>
      <c r="P108" s="49">
        <v>976053</v>
      </c>
      <c r="Q108" s="49">
        <v>989288</v>
      </c>
      <c r="R108" s="49">
        <v>966088</v>
      </c>
      <c r="S108" s="49">
        <v>988828</v>
      </c>
      <c r="T108" s="49">
        <v>981026</v>
      </c>
      <c r="U108" s="49">
        <v>954272</v>
      </c>
      <c r="V108" s="49">
        <v>986421</v>
      </c>
      <c r="W108" s="49">
        <v>954099</v>
      </c>
      <c r="X108" s="49">
        <v>979027</v>
      </c>
      <c r="Y108" s="49">
        <v>983070</v>
      </c>
    </row>
    <row r="109" spans="1:25" x14ac:dyDescent="0.3">
      <c r="A109" s="49">
        <v>992316</v>
      </c>
      <c r="B109" s="49">
        <v>992556</v>
      </c>
      <c r="C109" s="49">
        <v>986026</v>
      </c>
      <c r="D109" s="49">
        <v>960007</v>
      </c>
      <c r="E109" s="49">
        <v>992520</v>
      </c>
      <c r="F109" s="49">
        <v>954066</v>
      </c>
      <c r="G109" s="49">
        <v>986111</v>
      </c>
      <c r="H109" s="49">
        <v>992230</v>
      </c>
      <c r="I109" s="49">
        <v>995237</v>
      </c>
      <c r="J109" s="49">
        <v>971026</v>
      </c>
      <c r="K109" s="49">
        <v>985071</v>
      </c>
      <c r="L109" s="49">
        <v>986214</v>
      </c>
      <c r="O109" s="49">
        <v>992254</v>
      </c>
      <c r="P109" s="49">
        <v>958018</v>
      </c>
      <c r="Q109" s="49">
        <v>989330</v>
      </c>
      <c r="R109" s="49">
        <v>980096</v>
      </c>
      <c r="S109" s="49">
        <v>992289</v>
      </c>
      <c r="T109" s="49">
        <v>989194</v>
      </c>
      <c r="U109" s="49">
        <v>992277</v>
      </c>
      <c r="V109" s="49">
        <v>956005</v>
      </c>
      <c r="W109" s="49">
        <v>960041</v>
      </c>
      <c r="X109" s="49">
        <v>980042</v>
      </c>
      <c r="Y109" s="49">
        <v>983098</v>
      </c>
    </row>
    <row r="110" spans="1:25" x14ac:dyDescent="0.3">
      <c r="A110" s="49">
        <v>980159</v>
      </c>
      <c r="B110" s="49">
        <v>992614</v>
      </c>
      <c r="C110" s="49">
        <v>993129</v>
      </c>
      <c r="D110" s="49">
        <v>992068</v>
      </c>
      <c r="E110" s="49">
        <v>991116</v>
      </c>
      <c r="F110" s="49">
        <v>992229</v>
      </c>
      <c r="G110" s="49">
        <v>985028</v>
      </c>
      <c r="H110" s="49">
        <v>992429</v>
      </c>
      <c r="I110" s="49">
        <v>992440</v>
      </c>
      <c r="J110" s="49">
        <v>971078</v>
      </c>
      <c r="K110" s="49">
        <v>991007</v>
      </c>
      <c r="L110" s="49">
        <v>992242</v>
      </c>
      <c r="O110" s="49">
        <v>992250</v>
      </c>
      <c r="P110" s="49">
        <v>955198</v>
      </c>
      <c r="Q110" s="49">
        <v>976021</v>
      </c>
      <c r="R110" s="49">
        <v>988316</v>
      </c>
      <c r="S110" s="49">
        <v>982085</v>
      </c>
      <c r="T110" s="49">
        <v>979031</v>
      </c>
      <c r="U110" s="49">
        <v>982022</v>
      </c>
      <c r="V110" s="49">
        <v>998079</v>
      </c>
      <c r="W110" s="49">
        <v>975068</v>
      </c>
      <c r="X110" s="49">
        <v>989329</v>
      </c>
      <c r="Y110" s="49">
        <v>998129</v>
      </c>
    </row>
    <row r="111" spans="1:25" x14ac:dyDescent="0.3">
      <c r="A111" s="49">
        <v>975048</v>
      </c>
      <c r="B111" s="49">
        <v>996191</v>
      </c>
      <c r="C111" s="49">
        <v>972033</v>
      </c>
      <c r="D111" s="49">
        <v>993006</v>
      </c>
      <c r="E111" s="49">
        <v>984092</v>
      </c>
      <c r="F111" s="49">
        <v>968011</v>
      </c>
      <c r="G111" s="49">
        <v>989053</v>
      </c>
      <c r="H111" s="49">
        <v>986157</v>
      </c>
      <c r="I111" s="49">
        <v>986156</v>
      </c>
      <c r="J111" s="49">
        <v>971085</v>
      </c>
      <c r="K111" s="49">
        <v>998078</v>
      </c>
      <c r="L111" s="49">
        <v>966046</v>
      </c>
      <c r="O111" s="49">
        <v>988005</v>
      </c>
      <c r="P111" s="49">
        <v>996038</v>
      </c>
      <c r="Q111" s="49">
        <v>992318</v>
      </c>
      <c r="R111" s="49">
        <v>992292</v>
      </c>
      <c r="S111" s="49">
        <v>988339</v>
      </c>
      <c r="T111" s="49">
        <v>982155</v>
      </c>
      <c r="U111" s="49">
        <v>954151</v>
      </c>
      <c r="V111" s="49">
        <v>986382</v>
      </c>
      <c r="W111" s="49">
        <v>989249</v>
      </c>
      <c r="X111" s="49">
        <v>980018</v>
      </c>
      <c r="Y111" s="49">
        <v>998038</v>
      </c>
    </row>
    <row r="112" spans="1:25" x14ac:dyDescent="0.3">
      <c r="A112" s="49">
        <v>989250</v>
      </c>
      <c r="B112" s="49">
        <v>988056</v>
      </c>
      <c r="C112" s="49">
        <v>975191</v>
      </c>
      <c r="D112" s="49">
        <v>988508</v>
      </c>
      <c r="E112" s="49">
        <v>975138</v>
      </c>
      <c r="F112" s="49">
        <v>940009</v>
      </c>
      <c r="G112" s="49">
        <v>996173</v>
      </c>
      <c r="H112" s="49">
        <v>992348</v>
      </c>
      <c r="I112" s="49">
        <v>966159</v>
      </c>
      <c r="J112" s="49">
        <v>971068</v>
      </c>
      <c r="K112" s="49">
        <v>992449</v>
      </c>
      <c r="L112" s="49">
        <v>982234</v>
      </c>
      <c r="O112" s="49">
        <v>980051</v>
      </c>
      <c r="P112" s="49">
        <v>976056</v>
      </c>
      <c r="Q112" s="49">
        <v>940067</v>
      </c>
      <c r="R112" s="49">
        <v>992214</v>
      </c>
      <c r="S112" s="49">
        <v>988322</v>
      </c>
      <c r="T112" s="49">
        <v>986441</v>
      </c>
      <c r="U112" s="49">
        <v>966043</v>
      </c>
      <c r="V112" s="49">
        <v>988219</v>
      </c>
      <c r="W112" s="49">
        <v>980021</v>
      </c>
      <c r="X112" s="49">
        <v>992523</v>
      </c>
      <c r="Y112" s="49">
        <v>983081</v>
      </c>
    </row>
    <row r="113" spans="1:25" x14ac:dyDescent="0.3">
      <c r="A113" s="49">
        <v>995204</v>
      </c>
      <c r="B113" s="49">
        <v>994005</v>
      </c>
      <c r="C113" s="49">
        <v>962003</v>
      </c>
      <c r="D113" s="49">
        <v>975016</v>
      </c>
      <c r="E113" s="49">
        <v>992174</v>
      </c>
      <c r="F113" s="49">
        <v>992075</v>
      </c>
      <c r="G113" s="49">
        <v>954159</v>
      </c>
      <c r="H113" s="49">
        <v>986158</v>
      </c>
      <c r="I113" s="49">
        <v>986172</v>
      </c>
      <c r="J113" s="49">
        <v>971059</v>
      </c>
      <c r="K113" s="49">
        <v>986208</v>
      </c>
      <c r="L113" s="49">
        <v>992473</v>
      </c>
      <c r="O113" s="49">
        <v>980092</v>
      </c>
      <c r="P113" s="49">
        <v>996394</v>
      </c>
      <c r="Q113" s="49">
        <v>989225</v>
      </c>
      <c r="R113" s="49">
        <v>980149</v>
      </c>
      <c r="S113" s="49">
        <v>988700</v>
      </c>
      <c r="T113" s="49">
        <v>986442</v>
      </c>
      <c r="U113" s="49">
        <v>989321</v>
      </c>
      <c r="V113" s="49">
        <v>988238</v>
      </c>
      <c r="W113" s="49">
        <v>988531</v>
      </c>
      <c r="X113" s="49">
        <v>988390</v>
      </c>
      <c r="Y113" s="49">
        <v>983082</v>
      </c>
    </row>
    <row r="114" spans="1:25" x14ac:dyDescent="0.3">
      <c r="A114" s="49">
        <v>988352</v>
      </c>
      <c r="B114" s="49">
        <v>994007</v>
      </c>
      <c r="C114" s="49">
        <v>940002</v>
      </c>
      <c r="D114" s="49">
        <v>995154</v>
      </c>
      <c r="E114" s="49">
        <v>969009</v>
      </c>
      <c r="F114" s="49">
        <v>991155</v>
      </c>
      <c r="G114" s="49">
        <v>995044</v>
      </c>
      <c r="H114" s="49">
        <v>986167</v>
      </c>
      <c r="I114" s="49">
        <v>993090</v>
      </c>
      <c r="J114" s="49">
        <v>971013</v>
      </c>
      <c r="K114" s="49">
        <v>995148</v>
      </c>
      <c r="L114" s="49">
        <v>998026</v>
      </c>
      <c r="O114" s="49">
        <v>980141</v>
      </c>
      <c r="P114" s="49">
        <v>982252</v>
      </c>
      <c r="Q114" s="49">
        <v>992347</v>
      </c>
      <c r="R114" s="49">
        <v>980009</v>
      </c>
      <c r="S114" s="49">
        <v>988701</v>
      </c>
      <c r="T114" s="49">
        <v>988168</v>
      </c>
      <c r="U114" s="49">
        <v>991036</v>
      </c>
      <c r="V114" s="49">
        <v>988558</v>
      </c>
      <c r="W114" s="49">
        <v>975087</v>
      </c>
      <c r="X114" s="49">
        <v>990014</v>
      </c>
      <c r="Y114" s="49">
        <v>983083</v>
      </c>
    </row>
    <row r="115" spans="1:25" x14ac:dyDescent="0.3">
      <c r="A115" s="49">
        <v>954232</v>
      </c>
      <c r="B115" s="49">
        <v>994023</v>
      </c>
      <c r="C115" s="49">
        <v>992401</v>
      </c>
      <c r="D115" s="49">
        <v>940086</v>
      </c>
      <c r="E115" s="49">
        <v>978056</v>
      </c>
      <c r="F115" s="49">
        <v>986593</v>
      </c>
      <c r="G115" s="49">
        <v>954265</v>
      </c>
      <c r="H115" s="49">
        <v>992623</v>
      </c>
      <c r="I115" s="49">
        <v>983093</v>
      </c>
      <c r="J115" s="49">
        <v>971027</v>
      </c>
      <c r="K115" s="49">
        <v>954211</v>
      </c>
      <c r="L115" s="49">
        <v>992110</v>
      </c>
      <c r="O115" s="49">
        <v>996011</v>
      </c>
      <c r="P115" s="49">
        <v>988357</v>
      </c>
      <c r="Q115" s="49">
        <v>988615</v>
      </c>
      <c r="R115" s="49">
        <v>993058</v>
      </c>
      <c r="S115" s="49">
        <v>988703</v>
      </c>
      <c r="T115" s="49">
        <v>988148</v>
      </c>
      <c r="U115" s="49">
        <v>966030</v>
      </c>
      <c r="V115" s="49">
        <v>977003</v>
      </c>
      <c r="W115" s="49">
        <v>996171</v>
      </c>
      <c r="X115" s="49">
        <v>992332</v>
      </c>
      <c r="Y115" s="49">
        <v>983089</v>
      </c>
    </row>
    <row r="116" spans="1:25" x14ac:dyDescent="0.3">
      <c r="A116" s="49">
        <v>985069</v>
      </c>
      <c r="B116" s="49">
        <v>986134</v>
      </c>
      <c r="C116" s="49">
        <v>995284</v>
      </c>
      <c r="D116" s="49">
        <v>960053</v>
      </c>
      <c r="E116" s="49">
        <v>967044</v>
      </c>
      <c r="F116" s="49">
        <v>975091</v>
      </c>
      <c r="G116" s="49">
        <v>940095</v>
      </c>
      <c r="H116" s="49">
        <v>986589</v>
      </c>
      <c r="I116" s="49">
        <v>992808</v>
      </c>
      <c r="J116" s="49">
        <v>971022</v>
      </c>
      <c r="K116" s="49">
        <v>996088</v>
      </c>
      <c r="L116" s="49">
        <v>980072</v>
      </c>
      <c r="O116" s="49">
        <v>988042</v>
      </c>
      <c r="P116" s="49">
        <v>988468</v>
      </c>
      <c r="Q116" s="49">
        <v>966105</v>
      </c>
      <c r="R116" s="49">
        <v>988321</v>
      </c>
      <c r="S116" s="49">
        <v>988702</v>
      </c>
      <c r="T116" s="49">
        <v>986437</v>
      </c>
      <c r="U116" s="49">
        <v>971043</v>
      </c>
      <c r="V116" s="49">
        <v>975181</v>
      </c>
      <c r="W116" s="49">
        <v>980133</v>
      </c>
      <c r="X116" s="49">
        <v>992364</v>
      </c>
      <c r="Y116" s="49">
        <v>983122</v>
      </c>
    </row>
    <row r="117" spans="1:25" x14ac:dyDescent="0.3">
      <c r="A117" s="49">
        <v>988443</v>
      </c>
      <c r="B117" s="49">
        <v>988654</v>
      </c>
      <c r="C117" s="49">
        <v>955111</v>
      </c>
      <c r="D117" s="49">
        <v>991005</v>
      </c>
      <c r="E117" s="49">
        <v>995203</v>
      </c>
      <c r="F117" s="49">
        <v>980061</v>
      </c>
      <c r="G117" s="49">
        <v>967013</v>
      </c>
      <c r="H117" s="49">
        <v>986171</v>
      </c>
      <c r="I117" s="49">
        <v>995316</v>
      </c>
      <c r="J117" s="49">
        <v>971010</v>
      </c>
      <c r="K117" s="49">
        <v>996153</v>
      </c>
      <c r="L117" s="49">
        <v>954256</v>
      </c>
      <c r="O117" s="49">
        <v>988738</v>
      </c>
      <c r="P117" s="49">
        <v>988084</v>
      </c>
      <c r="Q117" s="49">
        <v>995050</v>
      </c>
      <c r="R117" s="49">
        <v>986301</v>
      </c>
      <c r="S117" s="49">
        <v>992343</v>
      </c>
      <c r="T117" s="49">
        <v>992529</v>
      </c>
      <c r="U117" s="49">
        <v>992070</v>
      </c>
      <c r="V117" s="49">
        <v>993043</v>
      </c>
      <c r="W117" s="49">
        <v>988165</v>
      </c>
      <c r="X117" s="49">
        <v>954046</v>
      </c>
      <c r="Y117" s="49">
        <v>983071</v>
      </c>
    </row>
    <row r="118" spans="1:25" x14ac:dyDescent="0.3">
      <c r="A118" s="49">
        <v>992263</v>
      </c>
      <c r="B118" s="49">
        <v>989013</v>
      </c>
      <c r="C118" s="49">
        <v>994002</v>
      </c>
      <c r="D118" s="49">
        <v>993052</v>
      </c>
      <c r="E118" s="49">
        <v>966123</v>
      </c>
      <c r="F118" s="49">
        <v>983108</v>
      </c>
      <c r="G118" s="49">
        <v>988913</v>
      </c>
      <c r="H118" s="49">
        <v>940057</v>
      </c>
      <c r="I118" s="49">
        <v>988113</v>
      </c>
      <c r="J118" s="49">
        <v>971014</v>
      </c>
      <c r="K118" s="49">
        <v>996165</v>
      </c>
      <c r="L118" s="49">
        <v>986288</v>
      </c>
      <c r="O118" s="49">
        <v>996005</v>
      </c>
      <c r="P118" s="49">
        <v>983058</v>
      </c>
      <c r="Q118" s="49">
        <v>993011</v>
      </c>
      <c r="R118" s="49">
        <v>993046</v>
      </c>
      <c r="S118" s="49">
        <v>984038</v>
      </c>
      <c r="T118" s="49">
        <v>986472</v>
      </c>
      <c r="U118" s="49">
        <v>989156</v>
      </c>
      <c r="V118" s="49">
        <v>975032</v>
      </c>
      <c r="W118" s="49">
        <v>992504</v>
      </c>
      <c r="X118" s="49">
        <v>989052</v>
      </c>
      <c r="Y118" s="49">
        <v>983085</v>
      </c>
    </row>
    <row r="119" spans="1:25" x14ac:dyDescent="0.3">
      <c r="A119" s="49">
        <v>992378</v>
      </c>
      <c r="B119" s="49">
        <v>995190</v>
      </c>
      <c r="C119" s="49">
        <v>977049</v>
      </c>
      <c r="D119" s="49">
        <v>988360</v>
      </c>
      <c r="E119" s="49">
        <v>991100</v>
      </c>
      <c r="F119" s="49">
        <v>984080</v>
      </c>
      <c r="G119" s="49">
        <v>954067</v>
      </c>
      <c r="H119" s="49">
        <v>992123</v>
      </c>
      <c r="I119" s="49">
        <v>988978</v>
      </c>
      <c r="J119" s="49">
        <v>971002</v>
      </c>
      <c r="K119" s="49">
        <v>986243</v>
      </c>
      <c r="L119" s="49">
        <v>966111</v>
      </c>
      <c r="O119" s="49">
        <v>980020</v>
      </c>
      <c r="P119" s="49">
        <v>996037</v>
      </c>
      <c r="Q119" s="49">
        <v>986356</v>
      </c>
      <c r="R119" s="49">
        <v>986329</v>
      </c>
      <c r="S119" s="49">
        <v>975127</v>
      </c>
      <c r="T119" s="49">
        <v>996305</v>
      </c>
      <c r="U119" s="49">
        <v>995144</v>
      </c>
      <c r="V119" s="49">
        <v>956006</v>
      </c>
      <c r="W119" s="49">
        <v>996199</v>
      </c>
      <c r="X119" s="49">
        <v>992776</v>
      </c>
      <c r="Y119" s="49">
        <v>983072</v>
      </c>
    </row>
    <row r="120" spans="1:25" x14ac:dyDescent="0.3">
      <c r="A120" s="49">
        <v>988026</v>
      </c>
      <c r="B120" s="49">
        <v>992333</v>
      </c>
      <c r="C120" s="49">
        <v>958001</v>
      </c>
      <c r="D120" s="49">
        <v>988467</v>
      </c>
      <c r="E120" s="49">
        <v>996377</v>
      </c>
      <c r="F120" s="49">
        <v>990056</v>
      </c>
      <c r="G120" s="49">
        <v>988087</v>
      </c>
      <c r="H120" s="49">
        <v>996090</v>
      </c>
      <c r="I120" s="49">
        <v>980148</v>
      </c>
      <c r="J120" s="49">
        <v>971016</v>
      </c>
      <c r="K120" s="49">
        <v>992633</v>
      </c>
      <c r="L120" s="49">
        <v>988484</v>
      </c>
      <c r="O120" s="49">
        <v>996009</v>
      </c>
      <c r="P120" s="49">
        <v>996060</v>
      </c>
      <c r="Q120" s="49">
        <v>991175</v>
      </c>
      <c r="R120" s="49">
        <v>980067</v>
      </c>
      <c r="S120" s="49">
        <v>988641</v>
      </c>
      <c r="T120" s="49">
        <v>986034</v>
      </c>
      <c r="U120" s="49">
        <v>992478</v>
      </c>
      <c r="V120" s="49">
        <v>986098</v>
      </c>
      <c r="W120" s="49">
        <v>967021</v>
      </c>
      <c r="X120" s="49">
        <v>954025</v>
      </c>
      <c r="Y120" s="49">
        <v>983121</v>
      </c>
    </row>
    <row r="121" spans="1:25" x14ac:dyDescent="0.3">
      <c r="A121" s="49">
        <v>986013</v>
      </c>
      <c r="B121" s="49">
        <v>996062</v>
      </c>
      <c r="C121" s="49">
        <v>968005</v>
      </c>
      <c r="D121" s="49">
        <v>992029</v>
      </c>
      <c r="E121" s="49">
        <v>940047</v>
      </c>
      <c r="F121" s="49">
        <v>992756</v>
      </c>
      <c r="G121" s="49">
        <v>986137</v>
      </c>
      <c r="H121" s="49">
        <v>986152</v>
      </c>
      <c r="I121" s="49">
        <v>986295</v>
      </c>
      <c r="J121" s="49">
        <v>971030</v>
      </c>
      <c r="K121" s="49">
        <v>991104</v>
      </c>
      <c r="L121" s="49">
        <v>988489</v>
      </c>
      <c r="O121" s="49">
        <v>996286</v>
      </c>
      <c r="P121" s="49">
        <v>980073</v>
      </c>
      <c r="Q121" s="49">
        <v>996275</v>
      </c>
      <c r="R121" s="49">
        <v>982083</v>
      </c>
      <c r="S121" s="49">
        <v>980058</v>
      </c>
      <c r="T121" s="49">
        <v>989007</v>
      </c>
      <c r="U121" s="49">
        <v>994108</v>
      </c>
      <c r="V121" s="49">
        <v>980013</v>
      </c>
      <c r="W121" s="49">
        <v>988530</v>
      </c>
      <c r="X121" s="49">
        <v>989245</v>
      </c>
      <c r="Y121" s="49">
        <v>983123</v>
      </c>
    </row>
    <row r="122" spans="1:25" x14ac:dyDescent="0.3">
      <c r="A122" s="49">
        <v>978075</v>
      </c>
      <c r="B122" s="49">
        <v>988608</v>
      </c>
      <c r="C122" s="49">
        <v>992604</v>
      </c>
      <c r="D122" s="49">
        <v>992136</v>
      </c>
      <c r="E122" s="49">
        <v>988050</v>
      </c>
      <c r="F122" s="49">
        <v>995141</v>
      </c>
      <c r="G122" s="49">
        <v>992243</v>
      </c>
      <c r="H122" s="49">
        <v>995019</v>
      </c>
      <c r="I122" s="49">
        <v>980187</v>
      </c>
      <c r="J122" s="49">
        <v>971031</v>
      </c>
      <c r="K122" s="49">
        <v>992618</v>
      </c>
      <c r="O122" s="49">
        <v>995202</v>
      </c>
      <c r="P122" s="49">
        <v>962007</v>
      </c>
      <c r="Q122" s="49">
        <v>954127</v>
      </c>
      <c r="R122" s="49">
        <v>986480</v>
      </c>
      <c r="S122" s="49">
        <v>980062</v>
      </c>
      <c r="T122" s="49">
        <v>989188</v>
      </c>
      <c r="U122" s="49">
        <v>994049</v>
      </c>
      <c r="V122" s="49">
        <v>975014</v>
      </c>
      <c r="W122" s="49">
        <v>992795</v>
      </c>
      <c r="X122" s="49">
        <v>995104</v>
      </c>
      <c r="Y122" s="49">
        <v>983038</v>
      </c>
    </row>
    <row r="123" spans="1:25" x14ac:dyDescent="0.3">
      <c r="A123" s="49">
        <v>976091</v>
      </c>
      <c r="B123" s="49">
        <v>980139</v>
      </c>
      <c r="C123" s="49">
        <v>977005</v>
      </c>
      <c r="D123" s="49">
        <v>996405</v>
      </c>
      <c r="E123" s="49">
        <v>966213</v>
      </c>
      <c r="F123" s="49">
        <v>995288</v>
      </c>
      <c r="G123" s="49">
        <v>988393</v>
      </c>
      <c r="H123" s="49">
        <v>996076</v>
      </c>
      <c r="I123" s="49">
        <v>979036</v>
      </c>
      <c r="J123" s="49">
        <v>971033</v>
      </c>
      <c r="K123" s="49">
        <v>986234</v>
      </c>
      <c r="O123" s="49">
        <v>960023</v>
      </c>
      <c r="P123" s="49">
        <v>980192</v>
      </c>
      <c r="Q123" s="49">
        <v>988276</v>
      </c>
      <c r="R123" s="49">
        <v>980081</v>
      </c>
      <c r="S123" s="49">
        <v>980095</v>
      </c>
      <c r="T123" s="49">
        <v>995003</v>
      </c>
      <c r="U123" s="49">
        <v>994053</v>
      </c>
      <c r="V123" s="49">
        <v>984020</v>
      </c>
      <c r="W123" s="49">
        <v>995260</v>
      </c>
      <c r="X123" s="49">
        <v>988790</v>
      </c>
      <c r="Y123" s="49">
        <v>998067</v>
      </c>
    </row>
    <row r="124" spans="1:25" x14ac:dyDescent="0.3">
      <c r="A124" s="49">
        <v>988744</v>
      </c>
      <c r="B124" s="49">
        <v>989133</v>
      </c>
      <c r="C124" s="49">
        <v>980163</v>
      </c>
      <c r="D124" s="49">
        <v>988718</v>
      </c>
      <c r="E124" s="49">
        <v>998048</v>
      </c>
      <c r="F124" s="49">
        <v>998037</v>
      </c>
      <c r="G124" s="49">
        <v>989042</v>
      </c>
      <c r="H124" s="49">
        <v>996184</v>
      </c>
      <c r="I124" s="49">
        <v>992112</v>
      </c>
      <c r="J124" s="49">
        <v>971053</v>
      </c>
      <c r="K124" s="49">
        <v>986032</v>
      </c>
      <c r="O124" s="49">
        <v>995049</v>
      </c>
      <c r="P124" s="49">
        <v>966152</v>
      </c>
      <c r="Q124" s="49">
        <v>992261</v>
      </c>
      <c r="R124" s="49">
        <v>976042</v>
      </c>
      <c r="S124" s="49">
        <v>986335</v>
      </c>
      <c r="T124" s="49">
        <v>988140</v>
      </c>
      <c r="U124" s="49">
        <v>994057</v>
      </c>
      <c r="V124" s="49">
        <v>988545</v>
      </c>
      <c r="W124" s="49">
        <v>980036</v>
      </c>
      <c r="X124" s="49">
        <v>996159</v>
      </c>
      <c r="Y124" s="49">
        <v>998103</v>
      </c>
    </row>
    <row r="125" spans="1:25" x14ac:dyDescent="0.3">
      <c r="A125" s="49">
        <v>986002</v>
      </c>
      <c r="B125" s="49">
        <v>989135</v>
      </c>
      <c r="C125" s="49">
        <v>978043</v>
      </c>
      <c r="D125" s="49">
        <v>992405</v>
      </c>
      <c r="E125" s="49">
        <v>992310</v>
      </c>
      <c r="F125" s="49">
        <v>986022</v>
      </c>
      <c r="G125" s="49">
        <v>992493</v>
      </c>
      <c r="H125" s="49">
        <v>996185</v>
      </c>
      <c r="I125" s="49">
        <v>940096</v>
      </c>
      <c r="J125" s="49">
        <v>971015</v>
      </c>
      <c r="K125" s="49">
        <v>986225</v>
      </c>
      <c r="O125" s="49">
        <v>983056</v>
      </c>
      <c r="P125" s="49">
        <v>988068</v>
      </c>
      <c r="Q125" s="49">
        <v>991024</v>
      </c>
      <c r="R125" s="49">
        <v>940014</v>
      </c>
      <c r="S125" s="49">
        <v>986056</v>
      </c>
      <c r="T125" s="49">
        <v>998147</v>
      </c>
      <c r="U125" s="49">
        <v>994062</v>
      </c>
      <c r="V125" s="49">
        <v>988225</v>
      </c>
      <c r="W125" s="49">
        <v>980006</v>
      </c>
      <c r="X125" s="49">
        <v>989051</v>
      </c>
      <c r="Y125" s="49">
        <v>983026</v>
      </c>
    </row>
    <row r="126" spans="1:25" x14ac:dyDescent="0.3">
      <c r="A126" s="49">
        <v>992040</v>
      </c>
      <c r="B126" s="49">
        <v>989141</v>
      </c>
      <c r="C126" s="49">
        <v>995302</v>
      </c>
      <c r="D126" s="49">
        <v>966023</v>
      </c>
      <c r="E126" s="49">
        <v>988039</v>
      </c>
      <c r="F126" s="49">
        <v>988970</v>
      </c>
      <c r="G126" s="49">
        <v>966211</v>
      </c>
      <c r="H126" s="49">
        <v>954071</v>
      </c>
      <c r="I126" s="49">
        <v>995162</v>
      </c>
      <c r="J126" s="49">
        <v>971018</v>
      </c>
      <c r="K126" s="49">
        <v>992080</v>
      </c>
      <c r="O126" s="49">
        <v>987012</v>
      </c>
      <c r="P126" s="49">
        <v>980034</v>
      </c>
      <c r="Q126" s="49">
        <v>992607</v>
      </c>
      <c r="R126" s="49">
        <v>989327</v>
      </c>
      <c r="S126" s="49">
        <v>966116</v>
      </c>
      <c r="T126" s="49">
        <v>989165</v>
      </c>
      <c r="U126" s="49">
        <v>994070</v>
      </c>
      <c r="V126" s="49">
        <v>988565</v>
      </c>
      <c r="W126" s="49">
        <v>993019</v>
      </c>
      <c r="X126" s="49">
        <v>986490</v>
      </c>
      <c r="Y126" s="49">
        <v>998152</v>
      </c>
    </row>
    <row r="127" spans="1:25" x14ac:dyDescent="0.3">
      <c r="A127" s="49">
        <v>995010</v>
      </c>
      <c r="B127" s="49">
        <v>988755</v>
      </c>
      <c r="C127" s="49">
        <v>981013</v>
      </c>
      <c r="D127" s="49">
        <v>954093</v>
      </c>
      <c r="E127" s="49">
        <v>992507</v>
      </c>
      <c r="F127" s="49">
        <v>998150</v>
      </c>
      <c r="G127" s="49">
        <v>988091</v>
      </c>
      <c r="H127" s="49">
        <v>983097</v>
      </c>
      <c r="I127" s="49">
        <v>994109</v>
      </c>
      <c r="J127" s="49">
        <v>971095</v>
      </c>
      <c r="K127" s="49">
        <v>979022</v>
      </c>
      <c r="O127" s="49">
        <v>991049</v>
      </c>
      <c r="P127" s="49">
        <v>996213</v>
      </c>
      <c r="Q127" s="49">
        <v>992642</v>
      </c>
      <c r="R127" s="49">
        <v>976045</v>
      </c>
      <c r="S127" s="49">
        <v>988307</v>
      </c>
      <c r="T127" s="49">
        <v>986456</v>
      </c>
      <c r="U127" s="49">
        <v>994074</v>
      </c>
      <c r="V127" s="49">
        <v>988566</v>
      </c>
      <c r="W127" s="49">
        <v>988923</v>
      </c>
      <c r="X127" s="49">
        <v>989241</v>
      </c>
      <c r="Y127" s="49">
        <v>983028</v>
      </c>
    </row>
    <row r="128" spans="1:25" x14ac:dyDescent="0.3">
      <c r="A128" s="49">
        <v>988725</v>
      </c>
      <c r="B128" s="49">
        <v>975058</v>
      </c>
      <c r="C128" s="49">
        <v>981041</v>
      </c>
      <c r="D128" s="49">
        <v>989019</v>
      </c>
      <c r="E128" s="49">
        <v>954041</v>
      </c>
      <c r="F128" s="49">
        <v>976033</v>
      </c>
      <c r="G128" s="49">
        <v>989027</v>
      </c>
      <c r="H128" s="49">
        <v>988414</v>
      </c>
      <c r="I128" s="49">
        <v>975062</v>
      </c>
      <c r="J128" s="49">
        <v>971092</v>
      </c>
      <c r="K128" s="49">
        <v>991167</v>
      </c>
      <c r="O128" s="49">
        <v>996012</v>
      </c>
      <c r="P128" s="49">
        <v>992605</v>
      </c>
      <c r="Q128" s="49">
        <v>992737</v>
      </c>
      <c r="R128" s="49">
        <v>991153</v>
      </c>
      <c r="S128" s="49">
        <v>988332</v>
      </c>
      <c r="T128" s="49">
        <v>984103</v>
      </c>
      <c r="U128" s="49">
        <v>994077</v>
      </c>
      <c r="V128" s="49">
        <v>988567</v>
      </c>
      <c r="W128" s="49">
        <v>980119</v>
      </c>
      <c r="X128" s="49">
        <v>975125</v>
      </c>
      <c r="Y128" s="49">
        <v>983025</v>
      </c>
    </row>
    <row r="129" spans="1:25" x14ac:dyDescent="0.3">
      <c r="A129" s="49">
        <v>992193</v>
      </c>
      <c r="B129" s="49">
        <v>954057</v>
      </c>
      <c r="C129" s="49">
        <v>981052</v>
      </c>
      <c r="D129" s="49">
        <v>996089</v>
      </c>
      <c r="E129" s="49">
        <v>989343</v>
      </c>
      <c r="F129" s="49">
        <v>976047</v>
      </c>
      <c r="G129" s="49">
        <v>954052</v>
      </c>
      <c r="H129" s="49">
        <v>995173</v>
      </c>
      <c r="I129" s="49">
        <v>980138</v>
      </c>
      <c r="J129" s="49">
        <v>971034</v>
      </c>
      <c r="K129" s="49">
        <v>995317</v>
      </c>
      <c r="O129" s="49">
        <v>967012</v>
      </c>
      <c r="P129" s="49">
        <v>988070</v>
      </c>
      <c r="Q129" s="49">
        <v>992494</v>
      </c>
      <c r="R129" s="49">
        <v>958017</v>
      </c>
      <c r="S129" s="49">
        <v>988313</v>
      </c>
      <c r="T129" s="49">
        <v>985058</v>
      </c>
      <c r="U129" s="49">
        <v>994079</v>
      </c>
      <c r="V129" s="49">
        <v>988568</v>
      </c>
      <c r="W129" s="49">
        <v>966007</v>
      </c>
      <c r="X129" s="49">
        <v>986496</v>
      </c>
      <c r="Y129" s="49">
        <v>998059</v>
      </c>
    </row>
    <row r="130" spans="1:25" x14ac:dyDescent="0.3">
      <c r="A130" s="49">
        <v>995234</v>
      </c>
      <c r="B130" s="49">
        <v>994090</v>
      </c>
      <c r="C130" s="49">
        <v>977033</v>
      </c>
      <c r="D130" s="49">
        <v>996100</v>
      </c>
      <c r="E130" s="49">
        <v>981047</v>
      </c>
      <c r="F130" s="49">
        <v>995273</v>
      </c>
      <c r="G130" s="49">
        <v>992695</v>
      </c>
      <c r="H130" s="49">
        <v>996095</v>
      </c>
      <c r="I130" s="49">
        <v>986603</v>
      </c>
      <c r="J130" s="49">
        <v>971035</v>
      </c>
      <c r="K130" s="49">
        <v>991170</v>
      </c>
      <c r="O130" s="49">
        <v>960009</v>
      </c>
      <c r="P130" s="49">
        <v>954176</v>
      </c>
      <c r="Q130" s="49">
        <v>966032</v>
      </c>
      <c r="R130" s="49">
        <v>988954</v>
      </c>
      <c r="S130" s="49">
        <v>988328</v>
      </c>
      <c r="T130" s="49">
        <v>940005</v>
      </c>
      <c r="U130" s="49">
        <v>994083</v>
      </c>
      <c r="V130" s="49">
        <v>996306</v>
      </c>
      <c r="W130" s="49">
        <v>988146</v>
      </c>
      <c r="X130" s="49">
        <v>986498</v>
      </c>
      <c r="Y130" s="49">
        <v>983036</v>
      </c>
    </row>
    <row r="131" spans="1:25" x14ac:dyDescent="0.3">
      <c r="A131" s="49">
        <v>954217</v>
      </c>
      <c r="B131" s="49">
        <v>992352</v>
      </c>
      <c r="C131" s="49">
        <v>977035</v>
      </c>
      <c r="D131" s="49">
        <v>996105</v>
      </c>
      <c r="E131" s="49">
        <v>992222</v>
      </c>
      <c r="F131" s="49">
        <v>995286</v>
      </c>
      <c r="G131" s="49">
        <v>980056</v>
      </c>
      <c r="H131" s="49">
        <v>988422</v>
      </c>
      <c r="I131" s="49">
        <v>992141</v>
      </c>
      <c r="J131" s="49">
        <v>971003</v>
      </c>
      <c r="K131" s="49">
        <v>960011</v>
      </c>
      <c r="O131" s="49">
        <v>988745</v>
      </c>
      <c r="P131" s="49">
        <v>996071</v>
      </c>
      <c r="Q131" s="49">
        <v>988592</v>
      </c>
      <c r="R131" s="49">
        <v>986326</v>
      </c>
      <c r="S131" s="49">
        <v>988329</v>
      </c>
      <c r="T131" s="49">
        <v>940059</v>
      </c>
      <c r="U131" s="49">
        <v>994087</v>
      </c>
      <c r="V131" s="49">
        <v>988580</v>
      </c>
      <c r="W131" s="49">
        <v>988756</v>
      </c>
      <c r="X131" s="49">
        <v>966033</v>
      </c>
      <c r="Y131" s="49">
        <v>998128</v>
      </c>
    </row>
    <row r="132" spans="1:25" x14ac:dyDescent="0.3">
      <c r="A132" s="49">
        <v>986597</v>
      </c>
      <c r="B132" s="49">
        <v>988364</v>
      </c>
      <c r="C132" s="49">
        <v>984035</v>
      </c>
      <c r="D132" s="49">
        <v>986479</v>
      </c>
      <c r="E132" s="49">
        <v>989262</v>
      </c>
      <c r="F132" s="49">
        <v>992761</v>
      </c>
      <c r="G132" s="49">
        <v>992032</v>
      </c>
      <c r="H132" s="49">
        <v>988973</v>
      </c>
      <c r="I132" s="49">
        <v>988389</v>
      </c>
      <c r="J132" s="49">
        <v>971011</v>
      </c>
      <c r="K132" s="49">
        <v>975189</v>
      </c>
      <c r="O132" s="49">
        <v>988395</v>
      </c>
      <c r="P132" s="49">
        <v>992049</v>
      </c>
      <c r="Q132" s="49">
        <v>986359</v>
      </c>
      <c r="R132" s="49">
        <v>986587</v>
      </c>
      <c r="S132" s="49">
        <v>988336</v>
      </c>
      <c r="T132" s="49">
        <v>940028</v>
      </c>
      <c r="U132" s="49">
        <v>994089</v>
      </c>
      <c r="V132" s="49">
        <v>988205</v>
      </c>
      <c r="W132" s="49">
        <v>986519</v>
      </c>
      <c r="X132" s="49">
        <v>979035</v>
      </c>
      <c r="Y132" s="49">
        <v>983086</v>
      </c>
    </row>
    <row r="133" spans="1:25" x14ac:dyDescent="0.3">
      <c r="A133" s="49">
        <v>972073</v>
      </c>
      <c r="B133" s="49">
        <v>972045</v>
      </c>
      <c r="C133" s="49">
        <v>995132</v>
      </c>
      <c r="D133" s="49">
        <v>992557</v>
      </c>
      <c r="E133" s="49">
        <v>960035</v>
      </c>
      <c r="F133" s="49">
        <v>993108</v>
      </c>
      <c r="G133" s="49">
        <v>992031</v>
      </c>
      <c r="H133" s="49">
        <v>992801</v>
      </c>
      <c r="I133" s="49">
        <v>990073</v>
      </c>
      <c r="J133" s="49">
        <v>971019</v>
      </c>
      <c r="K133" s="49">
        <v>985047</v>
      </c>
      <c r="O133" s="49">
        <v>954060</v>
      </c>
      <c r="P133" s="49">
        <v>986094</v>
      </c>
      <c r="Q133" s="49">
        <v>992380</v>
      </c>
      <c r="R133" s="49">
        <v>993121</v>
      </c>
      <c r="S133" s="49">
        <v>988640</v>
      </c>
      <c r="T133" s="49">
        <v>996407</v>
      </c>
      <c r="U133" s="49">
        <v>971039</v>
      </c>
      <c r="V133" s="49">
        <v>987013</v>
      </c>
      <c r="W133" s="49">
        <v>988514</v>
      </c>
      <c r="X133" s="49">
        <v>980052</v>
      </c>
      <c r="Y133" s="49">
        <v>983112</v>
      </c>
    </row>
    <row r="134" spans="1:25" x14ac:dyDescent="0.3">
      <c r="A134" s="49">
        <v>986128</v>
      </c>
      <c r="B134" s="49">
        <v>972012</v>
      </c>
      <c r="C134" s="49">
        <v>994026</v>
      </c>
      <c r="D134" s="49">
        <v>988749</v>
      </c>
      <c r="E134" s="49">
        <v>982059</v>
      </c>
      <c r="F134" s="49">
        <v>995161</v>
      </c>
      <c r="G134" s="49">
        <v>975112</v>
      </c>
      <c r="H134" s="49">
        <v>992018</v>
      </c>
      <c r="I134" s="49">
        <v>985073</v>
      </c>
      <c r="J134" s="49">
        <v>971021</v>
      </c>
      <c r="K134" s="49">
        <v>960055</v>
      </c>
      <c r="O134" s="49">
        <v>988028</v>
      </c>
      <c r="P134" s="49">
        <v>991124</v>
      </c>
      <c r="Q134" s="49">
        <v>986357</v>
      </c>
      <c r="R134" s="49">
        <v>986294</v>
      </c>
      <c r="S134" s="49">
        <v>988673</v>
      </c>
      <c r="T134" s="49">
        <v>982153</v>
      </c>
      <c r="U134" s="49">
        <v>967006</v>
      </c>
      <c r="V134" s="49">
        <v>998119</v>
      </c>
      <c r="W134" s="49">
        <v>989214</v>
      </c>
      <c r="X134" s="49">
        <v>998042</v>
      </c>
      <c r="Y134" s="49">
        <v>983030</v>
      </c>
    </row>
    <row r="135" spans="1:25" x14ac:dyDescent="0.3">
      <c r="A135" s="49">
        <v>986100</v>
      </c>
      <c r="B135" s="49">
        <v>972036</v>
      </c>
      <c r="C135" s="49">
        <v>955221</v>
      </c>
      <c r="D135" s="49">
        <v>988134</v>
      </c>
      <c r="E135" s="49">
        <v>992035</v>
      </c>
      <c r="F135" s="49">
        <v>975089</v>
      </c>
      <c r="G135" s="49">
        <v>992485</v>
      </c>
      <c r="H135" s="49">
        <v>988486</v>
      </c>
      <c r="I135" s="49">
        <v>980184</v>
      </c>
      <c r="J135" s="49">
        <v>971008</v>
      </c>
      <c r="K135" s="49">
        <v>985074</v>
      </c>
      <c r="O135" s="49">
        <v>995211</v>
      </c>
      <c r="P135" s="49">
        <v>975141</v>
      </c>
      <c r="Q135" s="49">
        <v>988604</v>
      </c>
      <c r="R135" s="49">
        <v>984098</v>
      </c>
      <c r="S135" s="49">
        <v>978010</v>
      </c>
      <c r="T135" s="49">
        <v>989313</v>
      </c>
      <c r="U135" s="49">
        <v>954261</v>
      </c>
      <c r="V135" s="49">
        <v>998007</v>
      </c>
      <c r="W135" s="49">
        <v>954264</v>
      </c>
      <c r="X135" s="49">
        <v>982172</v>
      </c>
      <c r="Y135" s="49">
        <v>983029</v>
      </c>
    </row>
    <row r="136" spans="1:25" x14ac:dyDescent="0.3">
      <c r="A136" s="49">
        <v>992171</v>
      </c>
      <c r="B136" s="49">
        <v>984119</v>
      </c>
      <c r="C136" s="49">
        <v>996046</v>
      </c>
      <c r="D136" s="49">
        <v>954172</v>
      </c>
      <c r="E136" s="49">
        <v>992374</v>
      </c>
      <c r="F136" s="49">
        <v>992562</v>
      </c>
      <c r="G136" s="49">
        <v>991042</v>
      </c>
      <c r="H136" s="49">
        <v>988773</v>
      </c>
      <c r="I136" s="49">
        <v>954279</v>
      </c>
      <c r="J136" s="49">
        <v>971009</v>
      </c>
      <c r="K136" s="49">
        <v>998071</v>
      </c>
      <c r="O136" s="49">
        <v>995215</v>
      </c>
      <c r="P136" s="49">
        <v>976051</v>
      </c>
      <c r="Q136" s="49">
        <v>966028</v>
      </c>
      <c r="R136" s="49">
        <v>984112</v>
      </c>
      <c r="S136" s="49">
        <v>978003</v>
      </c>
      <c r="T136" s="49">
        <v>992805</v>
      </c>
      <c r="U136" s="49">
        <v>992517</v>
      </c>
      <c r="V136" s="49">
        <v>998057</v>
      </c>
      <c r="W136" s="49">
        <v>986016</v>
      </c>
      <c r="X136" s="49">
        <v>988779</v>
      </c>
      <c r="Y136" s="49">
        <v>983034</v>
      </c>
    </row>
    <row r="137" spans="1:25" x14ac:dyDescent="0.3">
      <c r="A137" s="49">
        <v>995101</v>
      </c>
      <c r="B137" s="49">
        <v>977041</v>
      </c>
      <c r="C137" s="49">
        <v>977043</v>
      </c>
      <c r="D137" s="49">
        <v>992133</v>
      </c>
      <c r="E137" s="49">
        <v>982058</v>
      </c>
      <c r="F137" s="49">
        <v>978055</v>
      </c>
      <c r="G137" s="49">
        <v>995096</v>
      </c>
      <c r="H137" s="49">
        <v>992386</v>
      </c>
      <c r="I137" s="49">
        <v>954291</v>
      </c>
      <c r="J137" s="49">
        <v>971012</v>
      </c>
      <c r="K137" s="49">
        <v>965003</v>
      </c>
      <c r="O137" s="49">
        <v>988008</v>
      </c>
      <c r="P137" s="49">
        <v>960018</v>
      </c>
      <c r="Q137" s="49">
        <v>966197</v>
      </c>
      <c r="R137" s="49">
        <v>984114</v>
      </c>
      <c r="S137" s="49">
        <v>988669</v>
      </c>
      <c r="T137" s="49">
        <v>954273</v>
      </c>
      <c r="U137" s="49">
        <v>992368</v>
      </c>
      <c r="V137" s="49">
        <v>986428</v>
      </c>
      <c r="W137" s="49">
        <v>989045</v>
      </c>
      <c r="X137" s="49">
        <v>986492</v>
      </c>
      <c r="Y137" s="49">
        <v>983035</v>
      </c>
    </row>
    <row r="138" spans="1:25" x14ac:dyDescent="0.3">
      <c r="A138" s="49">
        <v>960043</v>
      </c>
      <c r="B138" s="49">
        <v>977039</v>
      </c>
      <c r="C138" s="49">
        <v>981079</v>
      </c>
      <c r="D138" s="49">
        <v>995149</v>
      </c>
      <c r="E138" s="49">
        <v>992101</v>
      </c>
      <c r="F138" s="49">
        <v>984085</v>
      </c>
      <c r="G138" s="49">
        <v>988398</v>
      </c>
      <c r="H138" s="49">
        <v>992013</v>
      </c>
      <c r="I138" s="49">
        <v>986251</v>
      </c>
      <c r="J138" s="49">
        <v>971023</v>
      </c>
      <c r="K138" s="49">
        <v>988415</v>
      </c>
      <c r="O138" s="49">
        <v>988016</v>
      </c>
      <c r="P138" s="49">
        <v>972006</v>
      </c>
      <c r="Q138" s="49">
        <v>993078</v>
      </c>
      <c r="R138" s="49">
        <v>940008</v>
      </c>
      <c r="S138" s="49">
        <v>988681</v>
      </c>
      <c r="T138" s="49">
        <v>966005</v>
      </c>
      <c r="U138" s="49">
        <v>966035</v>
      </c>
      <c r="V138" s="49">
        <v>975008</v>
      </c>
      <c r="W138" s="49">
        <v>986491</v>
      </c>
      <c r="X138" s="49">
        <v>955049</v>
      </c>
      <c r="Y138" s="49">
        <v>983092</v>
      </c>
    </row>
    <row r="139" spans="1:25" x14ac:dyDescent="0.3">
      <c r="A139" s="49">
        <v>954226</v>
      </c>
      <c r="B139" s="49">
        <v>998156</v>
      </c>
      <c r="C139" s="49">
        <v>974001</v>
      </c>
      <c r="D139" s="49">
        <v>940105</v>
      </c>
      <c r="E139" s="49">
        <v>995329</v>
      </c>
      <c r="F139" s="49">
        <v>940003</v>
      </c>
      <c r="G139" s="49">
        <v>995082</v>
      </c>
      <c r="H139" s="49">
        <v>988117</v>
      </c>
      <c r="I139" s="49">
        <v>982158</v>
      </c>
      <c r="J139" s="49">
        <v>971024</v>
      </c>
      <c r="K139" s="49">
        <v>992428</v>
      </c>
      <c r="O139" s="49">
        <v>988037</v>
      </c>
      <c r="P139" s="49">
        <v>988439</v>
      </c>
      <c r="Q139" s="49">
        <v>993126</v>
      </c>
      <c r="R139" s="49">
        <v>980087</v>
      </c>
      <c r="S139" s="49">
        <v>986290</v>
      </c>
      <c r="T139" s="49">
        <v>975085</v>
      </c>
      <c r="U139" s="49">
        <v>982031</v>
      </c>
      <c r="V139" s="49">
        <v>975052</v>
      </c>
      <c r="W139" s="49">
        <v>993097</v>
      </c>
      <c r="X139" s="49">
        <v>955083</v>
      </c>
      <c r="Y139" s="49">
        <v>983087</v>
      </c>
    </row>
    <row r="140" spans="1:25" x14ac:dyDescent="0.3">
      <c r="A140" s="49">
        <v>988719</v>
      </c>
      <c r="B140" s="49">
        <v>940065</v>
      </c>
      <c r="C140" s="49">
        <v>974004</v>
      </c>
      <c r="D140" s="49">
        <v>984086</v>
      </c>
      <c r="E140" s="49">
        <v>980206</v>
      </c>
      <c r="F140" s="49">
        <v>995118</v>
      </c>
      <c r="G140" s="49">
        <v>976096</v>
      </c>
      <c r="H140" s="49">
        <v>992028</v>
      </c>
      <c r="I140" s="49">
        <v>954087</v>
      </c>
      <c r="J140" s="49">
        <v>971028</v>
      </c>
      <c r="K140" s="49">
        <v>988497</v>
      </c>
      <c r="O140" s="49">
        <v>988041</v>
      </c>
      <c r="P140" s="49">
        <v>954005</v>
      </c>
      <c r="Q140" s="49">
        <v>940062</v>
      </c>
      <c r="R140" s="49">
        <v>980097</v>
      </c>
      <c r="S140" s="49">
        <v>993076</v>
      </c>
      <c r="T140" s="49">
        <v>992804</v>
      </c>
      <c r="U140" s="49">
        <v>991151</v>
      </c>
      <c r="V140" s="49">
        <v>975098</v>
      </c>
      <c r="W140" s="49">
        <v>988513</v>
      </c>
      <c r="X140" s="49">
        <v>980189</v>
      </c>
      <c r="Y140" s="49">
        <v>998024</v>
      </c>
    </row>
    <row r="141" spans="1:25" x14ac:dyDescent="0.3">
      <c r="A141" s="49">
        <v>982130</v>
      </c>
      <c r="B141" s="49">
        <v>968017</v>
      </c>
      <c r="C141" s="49">
        <v>980117</v>
      </c>
      <c r="D141" s="49">
        <v>985059</v>
      </c>
      <c r="E141" s="49">
        <v>955220</v>
      </c>
      <c r="F141" s="49">
        <v>966198</v>
      </c>
      <c r="G141" s="49">
        <v>992697</v>
      </c>
      <c r="H141" s="49">
        <v>975079</v>
      </c>
      <c r="I141" s="49">
        <v>993055</v>
      </c>
      <c r="J141" s="49">
        <v>971029</v>
      </c>
      <c r="K141" s="49">
        <v>992678</v>
      </c>
      <c r="O141" s="49">
        <v>985077</v>
      </c>
      <c r="P141" s="49">
        <v>980002</v>
      </c>
      <c r="Q141" s="49">
        <v>986060</v>
      </c>
      <c r="R141" s="49">
        <v>980201</v>
      </c>
      <c r="S141" s="49">
        <v>991160</v>
      </c>
      <c r="T141" s="49">
        <v>940100</v>
      </c>
      <c r="U141" s="49">
        <v>992667</v>
      </c>
      <c r="V141" s="49">
        <v>975101</v>
      </c>
      <c r="W141" s="49">
        <v>992108</v>
      </c>
      <c r="X141" s="49">
        <v>988149</v>
      </c>
      <c r="Y141" s="49">
        <v>983033</v>
      </c>
    </row>
    <row r="142" spans="1:25" x14ac:dyDescent="0.3">
      <c r="A142" s="49">
        <v>986131</v>
      </c>
      <c r="B142" s="49">
        <v>986591</v>
      </c>
      <c r="C142" s="49">
        <v>976022</v>
      </c>
      <c r="D142" s="49">
        <v>978045</v>
      </c>
      <c r="E142" s="49">
        <v>992627</v>
      </c>
      <c r="F142" s="49">
        <v>995259</v>
      </c>
      <c r="G142" s="49">
        <v>992009</v>
      </c>
      <c r="H142" s="49">
        <v>986015</v>
      </c>
      <c r="I142" s="49">
        <v>995067</v>
      </c>
      <c r="J142" s="49">
        <v>971096</v>
      </c>
      <c r="K142" s="49">
        <v>983126</v>
      </c>
      <c r="O142" s="49">
        <v>962009</v>
      </c>
      <c r="P142" s="49">
        <v>998137</v>
      </c>
      <c r="Q142" s="49">
        <v>940000</v>
      </c>
      <c r="R142" s="49">
        <v>981042</v>
      </c>
      <c r="S142" s="49">
        <v>954267</v>
      </c>
      <c r="T142" s="49">
        <v>975093</v>
      </c>
      <c r="U142" s="49">
        <v>967002</v>
      </c>
      <c r="V142" s="49">
        <v>988206</v>
      </c>
      <c r="W142" s="49">
        <v>990011</v>
      </c>
      <c r="X142" s="49">
        <v>986514</v>
      </c>
      <c r="Y142" s="49">
        <v>983031</v>
      </c>
    </row>
    <row r="143" spans="1:25" x14ac:dyDescent="0.3">
      <c r="A143" s="49">
        <v>954134</v>
      </c>
      <c r="B143" s="49">
        <v>991146</v>
      </c>
      <c r="C143" s="49">
        <v>955030</v>
      </c>
      <c r="D143" s="49">
        <v>988957</v>
      </c>
      <c r="E143" s="49">
        <v>980125</v>
      </c>
      <c r="F143" s="49">
        <v>995046</v>
      </c>
      <c r="G143" s="49">
        <v>988891</v>
      </c>
      <c r="H143" s="49">
        <v>994008</v>
      </c>
      <c r="I143" s="49">
        <v>982086</v>
      </c>
      <c r="J143" s="49">
        <v>971089</v>
      </c>
      <c r="K143" s="49">
        <v>975195</v>
      </c>
      <c r="O143" s="49">
        <v>993143</v>
      </c>
      <c r="P143" s="49">
        <v>962006</v>
      </c>
      <c r="Q143" s="49">
        <v>991067</v>
      </c>
      <c r="R143" s="49">
        <v>981077</v>
      </c>
      <c r="S143" s="49">
        <v>991174</v>
      </c>
      <c r="T143" s="49">
        <v>956032</v>
      </c>
      <c r="U143" s="49">
        <v>995015</v>
      </c>
      <c r="V143" s="49">
        <v>965007</v>
      </c>
      <c r="W143" s="49">
        <v>986544</v>
      </c>
      <c r="X143" s="49">
        <v>992027</v>
      </c>
      <c r="Y143" s="49">
        <v>983032</v>
      </c>
    </row>
    <row r="144" spans="1:25" x14ac:dyDescent="0.3">
      <c r="A144" s="49">
        <v>954013</v>
      </c>
      <c r="B144" s="49">
        <v>979052</v>
      </c>
      <c r="C144" s="49">
        <v>955031</v>
      </c>
      <c r="D144" s="49">
        <v>992055</v>
      </c>
      <c r="E144" s="49">
        <v>986129</v>
      </c>
      <c r="F144" s="49">
        <v>940081</v>
      </c>
      <c r="G144" s="49">
        <v>960026</v>
      </c>
      <c r="H144" s="49">
        <v>992397</v>
      </c>
      <c r="I144" s="49">
        <v>984044</v>
      </c>
      <c r="J144" s="49">
        <v>971050</v>
      </c>
      <c r="K144" s="49">
        <v>991185</v>
      </c>
      <c r="O144" s="49">
        <v>981068</v>
      </c>
      <c r="P144" s="49">
        <v>995001</v>
      </c>
      <c r="Q144" s="49">
        <v>988284</v>
      </c>
      <c r="R144" s="49">
        <v>985062</v>
      </c>
      <c r="S144" s="49">
        <v>995164</v>
      </c>
      <c r="T144" s="49">
        <v>955130</v>
      </c>
      <c r="U144" s="49">
        <v>966062</v>
      </c>
      <c r="V144" s="49">
        <v>981044</v>
      </c>
      <c r="W144" s="49">
        <v>981037</v>
      </c>
      <c r="X144" s="49">
        <v>998102</v>
      </c>
      <c r="Y144" s="49">
        <v>998101</v>
      </c>
    </row>
    <row r="145" spans="1:25" x14ac:dyDescent="0.3">
      <c r="A145" s="49">
        <v>954208</v>
      </c>
      <c r="B145" s="49">
        <v>975161</v>
      </c>
      <c r="C145" s="49">
        <v>955034</v>
      </c>
      <c r="D145" s="49">
        <v>995307</v>
      </c>
      <c r="E145" s="49">
        <v>992679</v>
      </c>
      <c r="F145" s="49">
        <v>986204</v>
      </c>
      <c r="G145" s="49">
        <v>992707</v>
      </c>
      <c r="H145" s="49">
        <v>996075</v>
      </c>
      <c r="I145" s="49">
        <v>986202</v>
      </c>
      <c r="J145" s="49">
        <v>971071</v>
      </c>
      <c r="K145" s="49">
        <v>983127</v>
      </c>
      <c r="O145" s="49">
        <v>995256</v>
      </c>
      <c r="P145" s="49">
        <v>995002</v>
      </c>
      <c r="Q145" s="49">
        <v>989238</v>
      </c>
      <c r="R145" s="49">
        <v>989003</v>
      </c>
      <c r="S145" s="49">
        <v>989099</v>
      </c>
      <c r="T145" s="49">
        <v>956033</v>
      </c>
      <c r="U145" s="49">
        <v>966073</v>
      </c>
      <c r="V145" s="49">
        <v>988224</v>
      </c>
      <c r="W145" s="49">
        <v>992465</v>
      </c>
      <c r="X145" s="49">
        <v>955136</v>
      </c>
      <c r="Y145" s="49">
        <v>998141</v>
      </c>
    </row>
    <row r="146" spans="1:25" x14ac:dyDescent="0.3">
      <c r="A146" s="49">
        <v>954106</v>
      </c>
      <c r="B146" s="49">
        <v>982007</v>
      </c>
      <c r="C146" s="49">
        <v>972040</v>
      </c>
      <c r="D146" s="49">
        <v>995315</v>
      </c>
      <c r="E146" s="49">
        <v>989298</v>
      </c>
      <c r="F146" s="49">
        <v>988450</v>
      </c>
      <c r="G146" s="49">
        <v>992311</v>
      </c>
      <c r="H146" s="49">
        <v>988121</v>
      </c>
      <c r="I146" s="49">
        <v>996084</v>
      </c>
      <c r="J146" s="49">
        <v>971038</v>
      </c>
      <c r="K146" s="49">
        <v>980137</v>
      </c>
      <c r="O146" s="49">
        <v>960036</v>
      </c>
      <c r="P146" s="49">
        <v>995026</v>
      </c>
      <c r="Q146" s="49">
        <v>993037</v>
      </c>
      <c r="R146" s="49">
        <v>992791</v>
      </c>
      <c r="S146" s="49">
        <v>986038</v>
      </c>
      <c r="T146" s="49">
        <v>966002</v>
      </c>
      <c r="U146" s="49">
        <v>966085</v>
      </c>
      <c r="V146" s="49">
        <v>988197</v>
      </c>
      <c r="W146" s="49">
        <v>998116</v>
      </c>
      <c r="X146" s="49">
        <v>983110</v>
      </c>
      <c r="Y146" s="49">
        <v>983039</v>
      </c>
    </row>
    <row r="147" spans="1:25" x14ac:dyDescent="0.3">
      <c r="A147" s="49">
        <v>996166</v>
      </c>
      <c r="B147" s="49">
        <v>996141</v>
      </c>
      <c r="C147" s="49">
        <v>977020</v>
      </c>
      <c r="D147" s="49">
        <v>998181</v>
      </c>
      <c r="E147" s="49">
        <v>975152</v>
      </c>
      <c r="F147" s="49">
        <v>992456</v>
      </c>
      <c r="G147" s="49">
        <v>954173</v>
      </c>
      <c r="H147" s="49">
        <v>992499</v>
      </c>
      <c r="I147" s="49">
        <v>996276</v>
      </c>
      <c r="J147" s="49">
        <v>971066</v>
      </c>
      <c r="K147" s="49">
        <v>992466</v>
      </c>
      <c r="O147" s="49">
        <v>988021</v>
      </c>
      <c r="P147" s="49">
        <v>995071</v>
      </c>
      <c r="Q147" s="49">
        <v>989035</v>
      </c>
      <c r="R147" s="49">
        <v>992425</v>
      </c>
      <c r="S147" s="49">
        <v>978071</v>
      </c>
      <c r="T147" s="49">
        <v>992267</v>
      </c>
      <c r="U147" s="49">
        <v>966136</v>
      </c>
      <c r="V147" s="49">
        <v>981033</v>
      </c>
      <c r="W147" s="49">
        <v>954008</v>
      </c>
      <c r="X147" s="49">
        <v>955110</v>
      </c>
      <c r="Y147" s="49">
        <v>983037</v>
      </c>
    </row>
    <row r="148" spans="1:25" x14ac:dyDescent="0.3">
      <c r="A148" s="49">
        <v>940012</v>
      </c>
      <c r="B148" s="49">
        <v>996180</v>
      </c>
      <c r="C148" s="49">
        <v>975119</v>
      </c>
      <c r="D148" s="49">
        <v>955078</v>
      </c>
      <c r="E148" s="49">
        <v>975148</v>
      </c>
      <c r="F148" s="49">
        <v>986069</v>
      </c>
      <c r="G148" s="49">
        <v>962010</v>
      </c>
      <c r="H148" s="49">
        <v>992139</v>
      </c>
      <c r="I148" s="49">
        <v>986203</v>
      </c>
      <c r="J148" s="49">
        <v>971058</v>
      </c>
      <c r="K148" s="49">
        <v>967004</v>
      </c>
      <c r="O148" s="49">
        <v>967045</v>
      </c>
      <c r="P148" s="49">
        <v>960051</v>
      </c>
      <c r="Q148" s="49">
        <v>988623</v>
      </c>
      <c r="R148" s="49">
        <v>955173</v>
      </c>
      <c r="S148" s="49">
        <v>986607</v>
      </c>
      <c r="T148" s="49">
        <v>992330</v>
      </c>
      <c r="U148" s="49">
        <v>966155</v>
      </c>
      <c r="V148" s="49">
        <v>988553</v>
      </c>
      <c r="W148" s="49">
        <v>998074</v>
      </c>
      <c r="X148" s="49">
        <v>996269</v>
      </c>
    </row>
    <row r="149" spans="1:25" x14ac:dyDescent="0.3">
      <c r="A149" s="49">
        <v>996013</v>
      </c>
      <c r="B149" s="49">
        <v>996190</v>
      </c>
      <c r="C149" s="49">
        <v>977023</v>
      </c>
      <c r="D149" s="49">
        <v>955085</v>
      </c>
      <c r="E149" s="49">
        <v>995324</v>
      </c>
      <c r="F149" s="49">
        <v>995228</v>
      </c>
      <c r="G149" s="49">
        <v>980197</v>
      </c>
      <c r="H149" s="49">
        <v>992142</v>
      </c>
      <c r="I149" s="49">
        <v>988391</v>
      </c>
      <c r="J149" s="49">
        <v>971098</v>
      </c>
      <c r="K149" s="49">
        <v>954203</v>
      </c>
      <c r="O149" s="49">
        <v>995318</v>
      </c>
      <c r="P149" s="49">
        <v>960050</v>
      </c>
      <c r="Q149" s="49">
        <v>985079</v>
      </c>
      <c r="R149" s="49">
        <v>955158</v>
      </c>
      <c r="S149" s="49">
        <v>975193</v>
      </c>
      <c r="T149" s="49">
        <v>992365</v>
      </c>
      <c r="U149" s="49">
        <v>966160</v>
      </c>
      <c r="V149" s="49">
        <v>975028</v>
      </c>
      <c r="W149" s="49">
        <v>989041</v>
      </c>
      <c r="X149" s="49">
        <v>982002</v>
      </c>
    </row>
    <row r="150" spans="1:25" x14ac:dyDescent="0.3">
      <c r="A150" s="49">
        <v>940035</v>
      </c>
      <c r="B150" s="49">
        <v>988057</v>
      </c>
      <c r="C150" s="49">
        <v>992402</v>
      </c>
      <c r="D150" s="49">
        <v>955100</v>
      </c>
      <c r="E150" s="49">
        <v>975179</v>
      </c>
      <c r="F150" s="49">
        <v>975082</v>
      </c>
      <c r="G150" s="49">
        <v>980017</v>
      </c>
      <c r="H150" s="49">
        <v>992015</v>
      </c>
      <c r="I150" s="49">
        <v>986557</v>
      </c>
      <c r="J150" s="49">
        <v>971080</v>
      </c>
      <c r="K150" s="49">
        <v>988762</v>
      </c>
      <c r="O150" s="49">
        <v>955013</v>
      </c>
      <c r="P150" s="49">
        <v>995027</v>
      </c>
      <c r="Q150" s="49">
        <v>988595</v>
      </c>
      <c r="R150" s="49">
        <v>955105</v>
      </c>
      <c r="S150" s="49">
        <v>984120</v>
      </c>
      <c r="T150" s="49">
        <v>992169</v>
      </c>
      <c r="U150" s="49">
        <v>995145</v>
      </c>
      <c r="V150" s="49">
        <v>993034</v>
      </c>
      <c r="W150" s="49">
        <v>988161</v>
      </c>
      <c r="X150" s="49">
        <v>996266</v>
      </c>
    </row>
    <row r="151" spans="1:25" x14ac:dyDescent="0.3">
      <c r="A151" s="49">
        <v>998164</v>
      </c>
      <c r="B151" s="49">
        <v>986494</v>
      </c>
      <c r="C151" s="49">
        <v>995192</v>
      </c>
      <c r="D151" s="49">
        <v>955157</v>
      </c>
      <c r="E151" s="49">
        <v>992717</v>
      </c>
      <c r="F151" s="49">
        <v>967024</v>
      </c>
      <c r="G151" s="49">
        <v>982134</v>
      </c>
      <c r="H151" s="49">
        <v>980131</v>
      </c>
      <c r="I151" s="49">
        <v>998092</v>
      </c>
      <c r="J151" s="49">
        <v>971045</v>
      </c>
      <c r="K151" s="49">
        <v>956015</v>
      </c>
      <c r="O151" s="49">
        <v>955109</v>
      </c>
      <c r="Q151" s="49">
        <v>988598</v>
      </c>
      <c r="R151" s="49">
        <v>984012</v>
      </c>
      <c r="S151" s="49">
        <v>997003</v>
      </c>
      <c r="T151" s="49">
        <v>986434</v>
      </c>
      <c r="U151" s="49">
        <v>995152</v>
      </c>
      <c r="V151" s="49">
        <v>988579</v>
      </c>
      <c r="W151" s="49">
        <v>972035</v>
      </c>
      <c r="X151" s="49">
        <v>954021</v>
      </c>
    </row>
    <row r="152" spans="1:25" x14ac:dyDescent="0.3">
      <c r="A152" s="49">
        <v>986133</v>
      </c>
      <c r="B152" s="49">
        <v>954137</v>
      </c>
      <c r="C152" s="49">
        <v>954270</v>
      </c>
      <c r="D152" s="49">
        <v>955076</v>
      </c>
      <c r="E152" s="49">
        <v>995113</v>
      </c>
      <c r="F152" s="49">
        <v>986175</v>
      </c>
      <c r="G152" s="49">
        <v>954288</v>
      </c>
      <c r="H152" s="49">
        <v>991109</v>
      </c>
      <c r="I152" s="49">
        <v>988132</v>
      </c>
      <c r="J152" s="49">
        <v>971051</v>
      </c>
      <c r="K152" s="49">
        <v>993130</v>
      </c>
      <c r="O152" s="49">
        <v>955024</v>
      </c>
      <c r="Q152" s="49">
        <v>989026</v>
      </c>
      <c r="R152" s="49">
        <v>992535</v>
      </c>
      <c r="S152" s="49">
        <v>992739</v>
      </c>
      <c r="T152" s="49">
        <v>996108</v>
      </c>
      <c r="U152" s="49">
        <v>995321</v>
      </c>
      <c r="V152" s="49">
        <v>988551</v>
      </c>
      <c r="W152" s="49">
        <v>993134</v>
      </c>
      <c r="X152" s="49">
        <v>986550</v>
      </c>
    </row>
    <row r="153" spans="1:25" x14ac:dyDescent="0.3">
      <c r="A153" s="49">
        <v>974005</v>
      </c>
      <c r="B153" s="49">
        <v>988601</v>
      </c>
      <c r="C153" s="49">
        <v>998052</v>
      </c>
      <c r="D153" s="49">
        <v>955141</v>
      </c>
      <c r="E153" s="49">
        <v>998085</v>
      </c>
      <c r="F153" s="49">
        <v>992522</v>
      </c>
      <c r="G153" s="49">
        <v>980162</v>
      </c>
      <c r="H153" s="49">
        <v>975018</v>
      </c>
      <c r="I153" s="49">
        <v>992685</v>
      </c>
      <c r="J153" s="49">
        <v>971090</v>
      </c>
      <c r="K153" s="49">
        <v>998133</v>
      </c>
      <c r="O153" s="49">
        <v>992676</v>
      </c>
      <c r="Q153" s="49">
        <v>954186</v>
      </c>
      <c r="R153" s="49">
        <v>992656</v>
      </c>
      <c r="S153" s="49">
        <v>968016</v>
      </c>
      <c r="T153" s="49">
        <v>993042</v>
      </c>
      <c r="U153" s="49">
        <v>992298</v>
      </c>
      <c r="V153" s="49">
        <v>986044</v>
      </c>
      <c r="W153" s="49">
        <v>975146</v>
      </c>
      <c r="X153" s="49">
        <v>976059</v>
      </c>
    </row>
    <row r="154" spans="1:25" x14ac:dyDescent="0.3">
      <c r="A154" s="49">
        <v>986115</v>
      </c>
      <c r="B154" s="49">
        <v>954220</v>
      </c>
      <c r="C154" s="49">
        <v>992798</v>
      </c>
      <c r="D154" s="49">
        <v>955135</v>
      </c>
      <c r="E154" s="49">
        <v>989228</v>
      </c>
      <c r="F154" s="49">
        <v>995261</v>
      </c>
      <c r="G154" s="49">
        <v>996393</v>
      </c>
      <c r="H154" s="49">
        <v>995125</v>
      </c>
      <c r="I154" s="49">
        <v>992060</v>
      </c>
      <c r="J154" s="49">
        <v>971091</v>
      </c>
      <c r="K154" s="49">
        <v>992635</v>
      </c>
      <c r="O154" s="49">
        <v>984081</v>
      </c>
      <c r="Q154" s="49">
        <v>966156</v>
      </c>
      <c r="R154" s="49">
        <v>980074</v>
      </c>
      <c r="S154" s="49">
        <v>993045</v>
      </c>
      <c r="T154" s="49">
        <v>988191</v>
      </c>
      <c r="U154" s="49">
        <v>966049</v>
      </c>
      <c r="V154" s="49">
        <v>988207</v>
      </c>
      <c r="W154" s="49">
        <v>978073</v>
      </c>
      <c r="X154" s="49">
        <v>993035</v>
      </c>
    </row>
    <row r="155" spans="1:25" x14ac:dyDescent="0.3">
      <c r="A155" s="49">
        <v>986580</v>
      </c>
      <c r="B155" s="49">
        <v>998064</v>
      </c>
      <c r="C155" s="49">
        <v>960020</v>
      </c>
      <c r="D155" s="49">
        <v>992596</v>
      </c>
      <c r="E155" s="49">
        <v>991037</v>
      </c>
      <c r="F155" s="49">
        <v>992231</v>
      </c>
      <c r="G155" s="49">
        <v>985031</v>
      </c>
      <c r="H155" s="49">
        <v>988770</v>
      </c>
      <c r="I155" s="49">
        <v>988118</v>
      </c>
      <c r="J155" s="49">
        <v>971025</v>
      </c>
      <c r="K155" s="49">
        <v>972069</v>
      </c>
      <c r="O155" s="49">
        <v>992082</v>
      </c>
      <c r="Q155" s="49">
        <v>989084</v>
      </c>
      <c r="R155" s="49">
        <v>980075</v>
      </c>
      <c r="S155" s="49">
        <v>986296</v>
      </c>
      <c r="T155" s="49">
        <v>980028</v>
      </c>
      <c r="U155" s="49">
        <v>992702</v>
      </c>
      <c r="V155" s="49">
        <v>988548</v>
      </c>
      <c r="W155" s="49">
        <v>980076</v>
      </c>
      <c r="X155" s="49">
        <v>955052</v>
      </c>
    </row>
    <row r="156" spans="1:25" x14ac:dyDescent="0.3">
      <c r="A156" s="49">
        <v>940010</v>
      </c>
      <c r="B156" s="49">
        <v>992188</v>
      </c>
      <c r="C156" s="49">
        <v>993036</v>
      </c>
      <c r="D156" s="49">
        <v>980040</v>
      </c>
      <c r="E156" s="49">
        <v>992451</v>
      </c>
      <c r="F156" s="49">
        <v>989012</v>
      </c>
      <c r="G156" s="49">
        <v>995023</v>
      </c>
      <c r="H156" s="49">
        <v>986097</v>
      </c>
      <c r="I156" s="49">
        <v>992400</v>
      </c>
      <c r="J156" s="49">
        <v>971094</v>
      </c>
      <c r="K156" s="49">
        <v>991043</v>
      </c>
      <c r="O156" s="49">
        <v>995218</v>
      </c>
      <c r="Q156" s="49">
        <v>971042</v>
      </c>
      <c r="R156" s="49">
        <v>965009</v>
      </c>
      <c r="S156" s="49">
        <v>986316</v>
      </c>
      <c r="T156" s="49">
        <v>988171</v>
      </c>
      <c r="U156" s="49">
        <v>954165</v>
      </c>
      <c r="V156" s="49">
        <v>988554</v>
      </c>
      <c r="W156" s="49">
        <v>992773</v>
      </c>
      <c r="X156" s="49">
        <v>955057</v>
      </c>
    </row>
    <row r="157" spans="1:25" x14ac:dyDescent="0.3">
      <c r="A157" s="49">
        <v>988899</v>
      </c>
      <c r="B157" s="49">
        <v>992355</v>
      </c>
      <c r="C157" s="49">
        <v>960039</v>
      </c>
      <c r="D157" s="49">
        <v>992356</v>
      </c>
      <c r="E157" s="49">
        <v>954263</v>
      </c>
      <c r="F157" s="49">
        <v>989015</v>
      </c>
      <c r="G157" s="49">
        <v>995045</v>
      </c>
      <c r="H157" s="49">
        <v>954014</v>
      </c>
      <c r="I157" s="49">
        <v>991039</v>
      </c>
      <c r="K157" s="49">
        <v>991171</v>
      </c>
      <c r="O157" s="49">
        <v>995199</v>
      </c>
      <c r="Q157" s="49">
        <v>984101</v>
      </c>
      <c r="R157" s="49">
        <v>992459</v>
      </c>
      <c r="S157" s="49">
        <v>980108</v>
      </c>
      <c r="T157" s="49">
        <v>988522</v>
      </c>
      <c r="U157" s="49">
        <v>994030</v>
      </c>
      <c r="V157" s="49">
        <v>960003</v>
      </c>
      <c r="W157" s="49">
        <v>989056</v>
      </c>
      <c r="X157" s="49">
        <v>981098</v>
      </c>
    </row>
    <row r="158" spans="1:25" x14ac:dyDescent="0.3">
      <c r="A158" s="49">
        <v>988959</v>
      </c>
      <c r="B158" s="49">
        <v>992005</v>
      </c>
      <c r="C158" s="49">
        <v>977016</v>
      </c>
      <c r="D158" s="49">
        <v>940019</v>
      </c>
      <c r="E158" s="49">
        <v>988083</v>
      </c>
      <c r="F158" s="49">
        <v>982159</v>
      </c>
      <c r="G158" s="49">
        <v>988351</v>
      </c>
      <c r="H158" s="49">
        <v>986154</v>
      </c>
      <c r="I158" s="49">
        <v>988492</v>
      </c>
      <c r="K158" s="49">
        <v>988906</v>
      </c>
      <c r="O158" s="49">
        <v>980175</v>
      </c>
      <c r="Q158" s="49">
        <v>986345</v>
      </c>
      <c r="R158" s="49">
        <v>992340</v>
      </c>
      <c r="S158" s="49">
        <v>954054</v>
      </c>
      <c r="T158" s="49">
        <v>989082</v>
      </c>
      <c r="U158" s="49">
        <v>995095</v>
      </c>
      <c r="V158" s="49">
        <v>998151</v>
      </c>
      <c r="W158" s="49">
        <v>992201</v>
      </c>
      <c r="X158" s="49">
        <v>986585</v>
      </c>
    </row>
    <row r="159" spans="1:25" x14ac:dyDescent="0.3">
      <c r="A159" s="49">
        <v>989232</v>
      </c>
      <c r="B159" s="49">
        <v>996179</v>
      </c>
      <c r="C159" s="49">
        <v>991009</v>
      </c>
      <c r="D159" s="49">
        <v>940032</v>
      </c>
      <c r="E159" s="49">
        <v>989213</v>
      </c>
      <c r="F159" s="49">
        <v>995040</v>
      </c>
      <c r="G159" s="49">
        <v>996161</v>
      </c>
      <c r="H159" s="49">
        <v>980005</v>
      </c>
      <c r="I159" s="49">
        <v>995184</v>
      </c>
      <c r="K159" s="49">
        <v>986143</v>
      </c>
      <c r="O159" s="49">
        <v>954062</v>
      </c>
      <c r="Q159" s="49">
        <v>986343</v>
      </c>
      <c r="R159" s="49">
        <v>954100</v>
      </c>
      <c r="S159" s="49">
        <v>994102</v>
      </c>
      <c r="T159" s="49">
        <v>988888</v>
      </c>
      <c r="U159" s="49">
        <v>992538</v>
      </c>
      <c r="V159" s="49">
        <v>981053</v>
      </c>
      <c r="W159" s="49">
        <v>993088</v>
      </c>
      <c r="X159" s="49">
        <v>968004</v>
      </c>
    </row>
    <row r="160" spans="1:25" x14ac:dyDescent="0.3">
      <c r="A160" s="49">
        <v>992054</v>
      </c>
      <c r="B160" s="49">
        <v>954116</v>
      </c>
      <c r="C160" s="49">
        <v>993053</v>
      </c>
      <c r="D160" s="49">
        <v>988993</v>
      </c>
      <c r="E160" s="49">
        <v>988074</v>
      </c>
      <c r="F160" s="49">
        <v>995131</v>
      </c>
      <c r="G160" s="49">
        <v>996163</v>
      </c>
      <c r="H160" s="49">
        <v>986206</v>
      </c>
      <c r="I160" s="49">
        <v>989348</v>
      </c>
      <c r="K160" s="49">
        <v>996087</v>
      </c>
      <c r="O160" s="49">
        <v>988411</v>
      </c>
      <c r="Q160" s="49">
        <v>976070</v>
      </c>
      <c r="R160" s="49">
        <v>988668</v>
      </c>
      <c r="S160" s="49">
        <v>988870</v>
      </c>
      <c r="T160" s="49">
        <v>992036</v>
      </c>
      <c r="U160" s="49">
        <v>992710</v>
      </c>
      <c r="V160" s="49">
        <v>981102</v>
      </c>
      <c r="W160" s="49">
        <v>980203</v>
      </c>
      <c r="X160" s="49">
        <v>994015</v>
      </c>
    </row>
    <row r="161" spans="1:24" x14ac:dyDescent="0.3">
      <c r="A161" s="49">
        <v>992129</v>
      </c>
      <c r="B161" s="49">
        <v>992662</v>
      </c>
      <c r="C161" s="49">
        <v>981099</v>
      </c>
      <c r="D161" s="49">
        <v>992744</v>
      </c>
      <c r="E161" s="49">
        <v>980104</v>
      </c>
      <c r="F161" s="49">
        <v>986110</v>
      </c>
      <c r="G161" s="49">
        <v>988085</v>
      </c>
      <c r="H161" s="49">
        <v>988114</v>
      </c>
      <c r="K161" s="49">
        <v>995037</v>
      </c>
      <c r="O161" s="49">
        <v>988017</v>
      </c>
      <c r="Q161" s="49">
        <v>977011</v>
      </c>
      <c r="R161" s="49">
        <v>990049</v>
      </c>
      <c r="S161" s="49">
        <v>985020</v>
      </c>
      <c r="T161" s="49">
        <v>987010</v>
      </c>
      <c r="U161" s="49">
        <v>966080</v>
      </c>
      <c r="V161" s="49">
        <v>981055</v>
      </c>
      <c r="W161" s="49">
        <v>997008</v>
      </c>
      <c r="X161" s="49">
        <v>995276</v>
      </c>
    </row>
    <row r="162" spans="1:24" x14ac:dyDescent="0.3">
      <c r="A162" s="49">
        <v>976014</v>
      </c>
      <c r="B162" s="49">
        <v>992319</v>
      </c>
      <c r="C162" s="49">
        <v>975103</v>
      </c>
      <c r="D162" s="49">
        <v>986149</v>
      </c>
      <c r="E162" s="49">
        <v>972029</v>
      </c>
      <c r="F162" s="49">
        <v>996392</v>
      </c>
      <c r="G162" s="49">
        <v>988090</v>
      </c>
      <c r="H162" s="49">
        <v>988133</v>
      </c>
      <c r="K162" s="49">
        <v>990052</v>
      </c>
      <c r="O162" s="49">
        <v>954199</v>
      </c>
      <c r="Q162" s="49">
        <v>977015</v>
      </c>
      <c r="R162" s="49">
        <v>988697</v>
      </c>
      <c r="S162" s="49">
        <v>988667</v>
      </c>
      <c r="T162" s="49">
        <v>986474</v>
      </c>
      <c r="U162" s="49">
        <v>966177</v>
      </c>
      <c r="V162" s="49">
        <v>980093</v>
      </c>
      <c r="W162" s="49">
        <v>981009</v>
      </c>
      <c r="X162" s="49">
        <v>968013</v>
      </c>
    </row>
    <row r="163" spans="1:24" x14ac:dyDescent="0.3">
      <c r="A163" s="49">
        <v>958004</v>
      </c>
      <c r="B163" s="49">
        <v>975115</v>
      </c>
      <c r="C163" s="49">
        <v>989252</v>
      </c>
      <c r="D163" s="49">
        <v>989314</v>
      </c>
      <c r="E163" s="49">
        <v>972008</v>
      </c>
      <c r="F163" s="49">
        <v>966109</v>
      </c>
      <c r="G163" s="49">
        <v>988737</v>
      </c>
      <c r="H163" s="49">
        <v>988496</v>
      </c>
      <c r="K163" s="49">
        <v>988473</v>
      </c>
      <c r="O163" s="49">
        <v>990061</v>
      </c>
      <c r="Q163" s="49">
        <v>987004</v>
      </c>
      <c r="R163" s="49">
        <v>986297</v>
      </c>
      <c r="S163" s="49">
        <v>986061</v>
      </c>
      <c r="T163" s="49">
        <v>986476</v>
      </c>
      <c r="U163" s="49">
        <v>995062</v>
      </c>
      <c r="V163" s="49">
        <v>986423</v>
      </c>
      <c r="W163" s="49">
        <v>980057</v>
      </c>
      <c r="X163" s="49">
        <v>967003</v>
      </c>
    </row>
    <row r="164" spans="1:24" x14ac:dyDescent="0.3">
      <c r="A164" s="49">
        <v>976076</v>
      </c>
      <c r="B164" s="49">
        <v>989157</v>
      </c>
      <c r="C164" s="49">
        <v>992191</v>
      </c>
      <c r="D164" s="49">
        <v>993039</v>
      </c>
      <c r="F164" s="49">
        <v>993142</v>
      </c>
      <c r="G164" s="49">
        <v>975077</v>
      </c>
      <c r="H164" s="49">
        <v>988511</v>
      </c>
      <c r="K164" s="49">
        <v>992521</v>
      </c>
      <c r="O164" s="49">
        <v>954059</v>
      </c>
      <c r="Q164" s="49">
        <v>940004</v>
      </c>
      <c r="R164" s="49">
        <v>992327</v>
      </c>
      <c r="S164" s="49">
        <v>992442</v>
      </c>
      <c r="T164" s="49">
        <v>986450</v>
      </c>
      <c r="U164" s="49">
        <v>994075</v>
      </c>
      <c r="V164" s="49">
        <v>986418</v>
      </c>
      <c r="W164" s="49">
        <v>993017</v>
      </c>
      <c r="X164" s="49">
        <v>992438</v>
      </c>
    </row>
    <row r="165" spans="1:24" x14ac:dyDescent="0.3">
      <c r="A165" s="49">
        <v>992175</v>
      </c>
      <c r="B165" s="49">
        <v>989265</v>
      </c>
      <c r="C165" s="49">
        <v>989054</v>
      </c>
      <c r="D165" s="49">
        <v>992467</v>
      </c>
      <c r="F165" s="49">
        <v>998004</v>
      </c>
      <c r="G165" s="49">
        <v>991016</v>
      </c>
      <c r="H165" s="49">
        <v>988915</v>
      </c>
      <c r="K165" s="49">
        <v>992709</v>
      </c>
      <c r="O165" s="49">
        <v>989078</v>
      </c>
      <c r="Q165" s="49">
        <v>992790</v>
      </c>
      <c r="R165" s="49">
        <v>988331</v>
      </c>
      <c r="S165" s="49">
        <v>992344</v>
      </c>
      <c r="T165" s="49">
        <v>992502</v>
      </c>
      <c r="U165" s="49">
        <v>954031</v>
      </c>
      <c r="V165" s="49">
        <v>940094</v>
      </c>
      <c r="W165" s="49">
        <v>975126</v>
      </c>
      <c r="X165" s="49">
        <v>995004</v>
      </c>
    </row>
    <row r="166" spans="1:24" x14ac:dyDescent="0.3">
      <c r="A166" s="49">
        <v>995008</v>
      </c>
      <c r="B166" s="49">
        <v>989129</v>
      </c>
      <c r="C166" s="49">
        <v>988112</v>
      </c>
      <c r="D166" s="49">
        <v>966210</v>
      </c>
      <c r="F166" s="49">
        <v>988507</v>
      </c>
      <c r="G166" s="49">
        <v>980019</v>
      </c>
      <c r="H166" s="49">
        <v>980179</v>
      </c>
      <c r="K166" s="49">
        <v>980140</v>
      </c>
      <c r="O166" s="49">
        <v>988046</v>
      </c>
      <c r="Q166" s="49">
        <v>981056</v>
      </c>
      <c r="R166" s="49">
        <v>992530</v>
      </c>
      <c r="S166" s="49">
        <v>988632</v>
      </c>
      <c r="T166" s="49">
        <v>988429</v>
      </c>
      <c r="U166" s="49">
        <v>985006</v>
      </c>
      <c r="V166" s="49">
        <v>988195</v>
      </c>
      <c r="W166" s="49">
        <v>989207</v>
      </c>
      <c r="X166" s="49">
        <v>992585</v>
      </c>
    </row>
    <row r="167" spans="1:24" x14ac:dyDescent="0.3">
      <c r="A167" s="49">
        <v>982241</v>
      </c>
      <c r="B167" s="49">
        <v>989130</v>
      </c>
      <c r="C167" s="49">
        <v>986093</v>
      </c>
      <c r="D167" s="49">
        <v>967028</v>
      </c>
      <c r="F167" s="49">
        <v>995182</v>
      </c>
      <c r="G167" s="49">
        <v>988094</v>
      </c>
      <c r="H167" s="49">
        <v>986256</v>
      </c>
      <c r="K167" s="49">
        <v>996049</v>
      </c>
      <c r="O167" s="49">
        <v>980191</v>
      </c>
      <c r="Q167" s="49">
        <v>992757</v>
      </c>
      <c r="R167" s="49">
        <v>992251</v>
      </c>
      <c r="S167" s="49">
        <v>984090</v>
      </c>
      <c r="T167" s="49">
        <v>980044</v>
      </c>
      <c r="U167" s="49">
        <v>954073</v>
      </c>
      <c r="V167" s="49">
        <v>988202</v>
      </c>
      <c r="W167" s="49">
        <v>996388</v>
      </c>
      <c r="X167" s="49">
        <v>954022</v>
      </c>
    </row>
    <row r="168" spans="1:24" x14ac:dyDescent="0.3">
      <c r="A168" s="49">
        <v>984083</v>
      </c>
      <c r="B168" s="49">
        <v>993005</v>
      </c>
      <c r="C168" s="49">
        <v>980016</v>
      </c>
      <c r="D168" s="49">
        <v>986231</v>
      </c>
      <c r="F168" s="49">
        <v>982161</v>
      </c>
      <c r="G168" s="49">
        <v>992802</v>
      </c>
      <c r="H168" s="49">
        <v>992287</v>
      </c>
      <c r="K168" s="49">
        <v>986226</v>
      </c>
      <c r="O168" s="49">
        <v>995054</v>
      </c>
      <c r="Q168" s="49">
        <v>986361</v>
      </c>
      <c r="R168" s="49">
        <v>988308</v>
      </c>
      <c r="S168" s="49">
        <v>956036</v>
      </c>
      <c r="T168" s="49">
        <v>966104</v>
      </c>
      <c r="U168" s="49">
        <v>954080</v>
      </c>
      <c r="V168" s="49">
        <v>988209</v>
      </c>
      <c r="W168" s="49">
        <v>995091</v>
      </c>
      <c r="X168" s="49">
        <v>954182</v>
      </c>
    </row>
    <row r="169" spans="1:24" x14ac:dyDescent="0.3">
      <c r="A169" s="49">
        <v>993118</v>
      </c>
      <c r="B169" s="49">
        <v>995238</v>
      </c>
      <c r="C169" s="49">
        <v>986101</v>
      </c>
      <c r="D169" s="49">
        <v>985067</v>
      </c>
      <c r="F169" s="49">
        <v>975031</v>
      </c>
      <c r="G169" s="49">
        <v>972039</v>
      </c>
      <c r="H169" s="49">
        <v>992103</v>
      </c>
      <c r="K169" s="49">
        <v>975144</v>
      </c>
      <c r="O169" s="49">
        <v>982236</v>
      </c>
      <c r="Q169" s="49">
        <v>968009</v>
      </c>
      <c r="R169" s="49">
        <v>988862</v>
      </c>
      <c r="S169" s="49">
        <v>992722</v>
      </c>
      <c r="T169" s="49">
        <v>966056</v>
      </c>
      <c r="U169" s="49">
        <v>966036</v>
      </c>
      <c r="V169" s="49">
        <v>988535</v>
      </c>
      <c r="W169" s="49">
        <v>986502</v>
      </c>
      <c r="X169" s="49">
        <v>966086</v>
      </c>
    </row>
    <row r="170" spans="1:24" x14ac:dyDescent="0.3">
      <c r="A170" s="49">
        <v>986130</v>
      </c>
      <c r="B170" s="49">
        <v>998081</v>
      </c>
      <c r="C170" s="49">
        <v>988476</v>
      </c>
      <c r="D170" s="49">
        <v>991011</v>
      </c>
      <c r="F170" s="49">
        <v>986059</v>
      </c>
      <c r="G170" s="49">
        <v>960059</v>
      </c>
      <c r="H170" s="49">
        <v>992674</v>
      </c>
      <c r="K170" s="49">
        <v>991149</v>
      </c>
      <c r="O170" s="49">
        <v>985035</v>
      </c>
      <c r="Q170" s="49">
        <v>995304</v>
      </c>
      <c r="R170" s="49">
        <v>981070</v>
      </c>
      <c r="S170" s="49">
        <v>986298</v>
      </c>
      <c r="T170" s="49">
        <v>966074</v>
      </c>
      <c r="U170" s="49">
        <v>982029</v>
      </c>
      <c r="V170" s="49">
        <v>981065</v>
      </c>
      <c r="W170" s="49">
        <v>956003</v>
      </c>
      <c r="X170" s="49">
        <v>996263</v>
      </c>
    </row>
    <row r="171" spans="1:24" x14ac:dyDescent="0.3">
      <c r="A171" s="49">
        <v>967033</v>
      </c>
      <c r="B171" s="49">
        <v>954136</v>
      </c>
      <c r="C171" s="49">
        <v>988107</v>
      </c>
      <c r="D171" s="49">
        <v>994055</v>
      </c>
      <c r="F171" s="49">
        <v>991033</v>
      </c>
      <c r="H171" s="49">
        <v>986284</v>
      </c>
      <c r="K171" s="49">
        <v>976054</v>
      </c>
      <c r="O171" s="49">
        <v>969012</v>
      </c>
      <c r="Q171" s="49">
        <v>981043</v>
      </c>
      <c r="R171" s="49">
        <v>991166</v>
      </c>
      <c r="S171" s="49">
        <v>991050</v>
      </c>
      <c r="T171" s="49">
        <v>966045</v>
      </c>
      <c r="U171" s="49">
        <v>954016</v>
      </c>
      <c r="V171" s="49">
        <v>988570</v>
      </c>
      <c r="W171" s="49">
        <v>954250</v>
      </c>
      <c r="X171" s="49">
        <v>989060</v>
      </c>
    </row>
    <row r="172" spans="1:24" x14ac:dyDescent="0.3">
      <c r="A172" s="49">
        <v>986187</v>
      </c>
      <c r="B172" s="49">
        <v>981004</v>
      </c>
      <c r="C172" s="49">
        <v>988761</v>
      </c>
      <c r="D172" s="49">
        <v>983124</v>
      </c>
      <c r="F172" s="49">
        <v>992135</v>
      </c>
      <c r="H172" s="49">
        <v>995241</v>
      </c>
      <c r="K172" s="49">
        <v>986004</v>
      </c>
      <c r="Q172" s="49">
        <v>988655</v>
      </c>
      <c r="R172" s="49">
        <v>992482</v>
      </c>
      <c r="S172" s="49">
        <v>988685</v>
      </c>
      <c r="T172" s="49">
        <v>980107</v>
      </c>
      <c r="U172" s="49">
        <v>989090</v>
      </c>
      <c r="V172" s="49">
        <v>966161</v>
      </c>
      <c r="W172" s="49">
        <v>982264</v>
      </c>
      <c r="X172" s="49">
        <v>989061</v>
      </c>
    </row>
    <row r="173" spans="1:24" x14ac:dyDescent="0.3">
      <c r="A173" s="49">
        <v>988930</v>
      </c>
      <c r="B173" s="49">
        <v>982006</v>
      </c>
      <c r="C173" s="49">
        <v>996212</v>
      </c>
      <c r="D173" s="49">
        <v>966058</v>
      </c>
      <c r="F173" s="49">
        <v>991008</v>
      </c>
      <c r="H173" s="49">
        <v>985086</v>
      </c>
      <c r="K173" s="49">
        <v>991120</v>
      </c>
      <c r="Q173" s="49">
        <v>993002</v>
      </c>
      <c r="R173" s="49">
        <v>980083</v>
      </c>
      <c r="S173" s="49">
        <v>988305</v>
      </c>
      <c r="T173" s="49">
        <v>989009</v>
      </c>
      <c r="U173" s="49">
        <v>994071</v>
      </c>
      <c r="V173" s="49">
        <v>975122</v>
      </c>
      <c r="W173" s="49">
        <v>977014</v>
      </c>
      <c r="X173" s="49">
        <v>989062</v>
      </c>
    </row>
    <row r="174" spans="1:24" x14ac:dyDescent="0.3">
      <c r="A174" s="49">
        <v>992408</v>
      </c>
      <c r="B174" s="49">
        <v>995320</v>
      </c>
      <c r="C174" s="49">
        <v>995024</v>
      </c>
      <c r="D174" s="49">
        <v>996107</v>
      </c>
      <c r="F174" s="49">
        <v>989263</v>
      </c>
      <c r="H174" s="49">
        <v>998161</v>
      </c>
      <c r="K174" s="49">
        <v>986285</v>
      </c>
      <c r="Q174" s="49">
        <v>988281</v>
      </c>
      <c r="R174" s="49">
        <v>985026</v>
      </c>
      <c r="S174" s="49">
        <v>984014</v>
      </c>
      <c r="T174" s="49">
        <v>992579</v>
      </c>
      <c r="U174" s="49">
        <v>989230</v>
      </c>
      <c r="V174" s="49">
        <v>975128</v>
      </c>
      <c r="W174" s="49">
        <v>995127</v>
      </c>
      <c r="X174" s="49">
        <v>992126</v>
      </c>
    </row>
    <row r="175" spans="1:24" x14ac:dyDescent="0.3">
      <c r="A175" s="49">
        <v>992490</v>
      </c>
      <c r="B175" s="49">
        <v>966195</v>
      </c>
      <c r="C175" s="49">
        <v>989239</v>
      </c>
      <c r="D175" s="49">
        <v>998073</v>
      </c>
      <c r="F175" s="49">
        <v>992131</v>
      </c>
      <c r="H175" s="49">
        <v>966187</v>
      </c>
      <c r="K175" s="49">
        <v>968014</v>
      </c>
      <c r="Q175" s="49">
        <v>966038</v>
      </c>
      <c r="R175" s="49">
        <v>984015</v>
      </c>
      <c r="S175" s="49">
        <v>992560</v>
      </c>
      <c r="T175" s="49">
        <v>986468</v>
      </c>
      <c r="U175" s="49">
        <v>989235</v>
      </c>
      <c r="V175" s="49">
        <v>986419</v>
      </c>
      <c r="W175" s="49">
        <v>975186</v>
      </c>
      <c r="X175" s="49">
        <v>992306</v>
      </c>
    </row>
    <row r="176" spans="1:24" x14ac:dyDescent="0.3">
      <c r="A176" s="49">
        <v>992240</v>
      </c>
      <c r="B176" s="49">
        <v>954269</v>
      </c>
      <c r="C176" s="49">
        <v>996028</v>
      </c>
      <c r="D176" s="49">
        <v>998112</v>
      </c>
      <c r="F176" s="49">
        <v>988742</v>
      </c>
      <c r="H176" s="49">
        <v>985053</v>
      </c>
      <c r="K176" s="49">
        <v>986230</v>
      </c>
      <c r="Q176" s="49">
        <v>966022</v>
      </c>
      <c r="R176" s="49">
        <v>984017</v>
      </c>
      <c r="S176" s="49">
        <v>978074</v>
      </c>
      <c r="T176" s="49">
        <v>992651</v>
      </c>
      <c r="U176" s="49">
        <v>989218</v>
      </c>
      <c r="V176" s="49">
        <v>980210</v>
      </c>
      <c r="W176" s="49">
        <v>986551</v>
      </c>
      <c r="X176" s="49">
        <v>988155</v>
      </c>
    </row>
    <row r="177" spans="1:24" x14ac:dyDescent="0.3">
      <c r="A177" s="49">
        <v>986274</v>
      </c>
      <c r="B177" s="49">
        <v>998202</v>
      </c>
      <c r="C177" s="49">
        <v>984062</v>
      </c>
      <c r="D177" s="49">
        <v>985070</v>
      </c>
      <c r="F177" s="49">
        <v>996267</v>
      </c>
      <c r="H177" s="49">
        <v>991045</v>
      </c>
      <c r="K177" s="49">
        <v>991136</v>
      </c>
      <c r="Q177" s="49">
        <v>988630</v>
      </c>
      <c r="R177" s="49">
        <v>989259</v>
      </c>
      <c r="S177" s="49">
        <v>974002</v>
      </c>
      <c r="T177" s="49">
        <v>988534</v>
      </c>
      <c r="U177" s="49">
        <v>954193</v>
      </c>
      <c r="V177" s="49">
        <v>940061</v>
      </c>
      <c r="W177" s="49">
        <v>995251</v>
      </c>
      <c r="X177" s="49">
        <v>996192</v>
      </c>
    </row>
    <row r="178" spans="1:24" x14ac:dyDescent="0.3">
      <c r="A178" s="49">
        <v>988746</v>
      </c>
      <c r="B178" s="49">
        <v>954121</v>
      </c>
      <c r="C178" s="49">
        <v>972053</v>
      </c>
      <c r="D178" s="49">
        <v>988769</v>
      </c>
      <c r="F178" s="49">
        <v>992220</v>
      </c>
      <c r="H178" s="49">
        <v>995123</v>
      </c>
      <c r="K178" s="49">
        <v>992149</v>
      </c>
      <c r="Q178" s="49">
        <v>989023</v>
      </c>
      <c r="R178" s="49">
        <v>984031</v>
      </c>
      <c r="S178" s="49">
        <v>989325</v>
      </c>
      <c r="T178" s="49">
        <v>988533</v>
      </c>
      <c r="U178" s="49">
        <v>954077</v>
      </c>
      <c r="V178" s="49">
        <v>986422</v>
      </c>
      <c r="W178" s="49">
        <v>991044</v>
      </c>
      <c r="X178" s="49">
        <v>996193</v>
      </c>
    </row>
    <row r="179" spans="1:24" x14ac:dyDescent="0.3">
      <c r="A179" s="49">
        <v>995025</v>
      </c>
      <c r="B179" s="49">
        <v>955081</v>
      </c>
      <c r="C179" s="49">
        <v>940104</v>
      </c>
      <c r="D179" s="49">
        <v>940087</v>
      </c>
      <c r="F179" s="49">
        <v>966012</v>
      </c>
      <c r="H179" s="49">
        <v>982087</v>
      </c>
      <c r="K179" s="49">
        <v>988752</v>
      </c>
      <c r="Q179" s="49">
        <v>954230</v>
      </c>
      <c r="R179" s="49">
        <v>986312</v>
      </c>
      <c r="S179" s="49">
        <v>993120</v>
      </c>
      <c r="T179" s="49">
        <v>982220</v>
      </c>
      <c r="U179" s="49">
        <v>954166</v>
      </c>
      <c r="V179" s="49">
        <v>996115</v>
      </c>
      <c r="W179" s="49">
        <v>995183</v>
      </c>
      <c r="X179" s="49">
        <v>996378</v>
      </c>
    </row>
    <row r="180" spans="1:24" x14ac:dyDescent="0.3">
      <c r="A180" s="49">
        <v>995020</v>
      </c>
      <c r="B180" s="49">
        <v>954292</v>
      </c>
      <c r="C180" s="49">
        <v>977050</v>
      </c>
      <c r="D180" s="49">
        <v>994064</v>
      </c>
      <c r="F180" s="49">
        <v>986019</v>
      </c>
      <c r="H180" s="49">
        <v>940064</v>
      </c>
      <c r="K180" s="49">
        <v>992398</v>
      </c>
      <c r="Q180" s="49">
        <v>992256</v>
      </c>
      <c r="R180" s="49">
        <v>986314</v>
      </c>
      <c r="S180" s="49">
        <v>970002</v>
      </c>
      <c r="T180" s="49">
        <v>966025</v>
      </c>
      <c r="U180" s="49">
        <v>988562</v>
      </c>
      <c r="V180" s="49">
        <v>954044</v>
      </c>
      <c r="W180" s="49">
        <v>977009</v>
      </c>
      <c r="X180" s="49">
        <v>980023</v>
      </c>
    </row>
    <row r="181" spans="1:24" x14ac:dyDescent="0.3">
      <c r="A181" s="49">
        <v>995021</v>
      </c>
      <c r="B181" s="49">
        <v>954275</v>
      </c>
      <c r="C181" s="49">
        <v>955184</v>
      </c>
      <c r="D181" s="49">
        <v>975064</v>
      </c>
      <c r="F181" s="49">
        <v>986606</v>
      </c>
      <c r="H181" s="49">
        <v>991141</v>
      </c>
      <c r="K181" s="49">
        <v>977028</v>
      </c>
      <c r="Q181" s="49">
        <v>988278</v>
      </c>
      <c r="R181" s="49">
        <v>954170</v>
      </c>
      <c r="S181" s="49">
        <v>940029</v>
      </c>
      <c r="T181" s="49">
        <v>988163</v>
      </c>
      <c r="U181" s="49">
        <v>988536</v>
      </c>
      <c r="V181" s="49">
        <v>980035</v>
      </c>
      <c r="W181" s="49">
        <v>993075</v>
      </c>
      <c r="X181" s="49">
        <v>996410</v>
      </c>
    </row>
    <row r="182" spans="1:24" x14ac:dyDescent="0.3">
      <c r="A182" s="49">
        <v>988406</v>
      </c>
      <c r="B182" s="49">
        <v>975003</v>
      </c>
      <c r="C182" s="49">
        <v>975001</v>
      </c>
      <c r="D182" s="49">
        <v>986174</v>
      </c>
      <c r="F182" s="49">
        <v>986247</v>
      </c>
      <c r="H182" s="49">
        <v>992705</v>
      </c>
      <c r="K182" s="49">
        <v>989092</v>
      </c>
      <c r="Q182" s="49">
        <v>989257</v>
      </c>
      <c r="R182" s="49">
        <v>988306</v>
      </c>
      <c r="S182" s="49">
        <v>966014</v>
      </c>
      <c r="T182" s="49">
        <v>988518</v>
      </c>
      <c r="U182" s="49">
        <v>990046</v>
      </c>
      <c r="V182" s="49">
        <v>983066</v>
      </c>
      <c r="W182" s="49">
        <v>994045</v>
      </c>
      <c r="X182" s="49">
        <v>988179</v>
      </c>
    </row>
    <row r="183" spans="1:24" x14ac:dyDescent="0.3">
      <c r="A183" s="49">
        <v>975070</v>
      </c>
      <c r="B183" s="49">
        <v>975097</v>
      </c>
      <c r="C183" s="49">
        <v>975136</v>
      </c>
      <c r="D183" s="49">
        <v>988409</v>
      </c>
      <c r="F183" s="49">
        <v>986116</v>
      </c>
      <c r="H183" s="49">
        <v>940021</v>
      </c>
      <c r="K183" s="49">
        <v>996067</v>
      </c>
      <c r="Q183" s="49">
        <v>979058</v>
      </c>
      <c r="R183" s="49">
        <v>966178</v>
      </c>
      <c r="S183" s="49">
        <v>977006</v>
      </c>
      <c r="T183" s="49">
        <v>988519</v>
      </c>
      <c r="U183" s="49">
        <v>982054</v>
      </c>
      <c r="V183" s="49">
        <v>986400</v>
      </c>
      <c r="W183" s="49">
        <v>993146</v>
      </c>
      <c r="X183" s="49">
        <v>954202</v>
      </c>
    </row>
    <row r="184" spans="1:24" x14ac:dyDescent="0.3">
      <c r="A184" s="49">
        <v>986477</v>
      </c>
      <c r="B184" s="49">
        <v>975011</v>
      </c>
      <c r="C184" s="49">
        <v>998022</v>
      </c>
      <c r="D184" s="49">
        <v>989248</v>
      </c>
      <c r="F184" s="49">
        <v>980134</v>
      </c>
      <c r="H184" s="49">
        <v>992338</v>
      </c>
      <c r="K184" s="49">
        <v>996157</v>
      </c>
      <c r="Q184" s="49">
        <v>995094</v>
      </c>
      <c r="R184" s="49">
        <v>988346</v>
      </c>
      <c r="S184" s="49">
        <v>981051</v>
      </c>
      <c r="T184" s="49">
        <v>992109</v>
      </c>
      <c r="U184" s="49">
        <v>998145</v>
      </c>
      <c r="V184" s="49">
        <v>986392</v>
      </c>
      <c r="W184" s="49">
        <v>982246</v>
      </c>
      <c r="X184" s="49">
        <v>975073</v>
      </c>
    </row>
    <row r="185" spans="1:24" x14ac:dyDescent="0.3">
      <c r="A185" s="49">
        <v>978072</v>
      </c>
      <c r="B185" s="49">
        <v>956014</v>
      </c>
      <c r="D185" s="49">
        <v>992549</v>
      </c>
      <c r="F185" s="49">
        <v>995112</v>
      </c>
      <c r="H185" s="49">
        <v>955134</v>
      </c>
      <c r="K185" s="49">
        <v>985068</v>
      </c>
      <c r="Q185" s="49">
        <v>965012</v>
      </c>
      <c r="R185" s="49">
        <v>996133</v>
      </c>
      <c r="S185" s="49">
        <v>987002</v>
      </c>
      <c r="T185" s="49">
        <v>988521</v>
      </c>
      <c r="U185" s="49">
        <v>940077</v>
      </c>
      <c r="V185" s="49">
        <v>986453</v>
      </c>
      <c r="W185" s="49">
        <v>984079</v>
      </c>
      <c r="X185" s="49">
        <v>954111</v>
      </c>
    </row>
    <row r="186" spans="1:24" x14ac:dyDescent="0.3">
      <c r="A186" s="49">
        <v>954004</v>
      </c>
      <c r="B186" s="49">
        <v>954043</v>
      </c>
      <c r="D186" s="49">
        <v>992491</v>
      </c>
      <c r="F186" s="49">
        <v>995252</v>
      </c>
      <c r="H186" s="49">
        <v>955123</v>
      </c>
      <c r="K186" s="49">
        <v>986041</v>
      </c>
      <c r="Q186" s="49">
        <v>975015</v>
      </c>
      <c r="R186" s="49">
        <v>974009</v>
      </c>
      <c r="S186" s="49">
        <v>981040</v>
      </c>
      <c r="T186" s="49">
        <v>980188</v>
      </c>
      <c r="U186" s="49">
        <v>994050</v>
      </c>
      <c r="V186" s="49">
        <v>988895</v>
      </c>
      <c r="W186" s="49">
        <v>986536</v>
      </c>
      <c r="X186" s="49">
        <v>954218</v>
      </c>
    </row>
    <row r="187" spans="1:24" x14ac:dyDescent="0.3">
      <c r="A187" s="49">
        <v>982150</v>
      </c>
      <c r="B187" s="49">
        <v>990065</v>
      </c>
      <c r="D187" s="49">
        <v>992706</v>
      </c>
      <c r="F187" s="49">
        <v>996156</v>
      </c>
      <c r="H187" s="49">
        <v>955092</v>
      </c>
      <c r="K187" s="49">
        <v>988063</v>
      </c>
      <c r="Q187" s="49">
        <v>989197</v>
      </c>
      <c r="R187" s="49">
        <v>995213</v>
      </c>
      <c r="S187" s="49">
        <v>981060</v>
      </c>
      <c r="T187" s="49">
        <v>992087</v>
      </c>
      <c r="U187" s="49">
        <v>994110</v>
      </c>
      <c r="V187" s="49">
        <v>954251</v>
      </c>
      <c r="W187" s="49">
        <v>989280</v>
      </c>
      <c r="X187" s="49">
        <v>988157</v>
      </c>
    </row>
    <row r="188" spans="1:24" x14ac:dyDescent="0.3">
      <c r="A188" s="49">
        <v>988011</v>
      </c>
      <c r="B188" s="49">
        <v>996381</v>
      </c>
      <c r="D188" s="49">
        <v>992043</v>
      </c>
      <c r="F188" s="49">
        <v>992315</v>
      </c>
      <c r="H188" s="49">
        <v>955120</v>
      </c>
      <c r="K188" s="49">
        <v>988374</v>
      </c>
      <c r="Q188" s="49">
        <v>995287</v>
      </c>
      <c r="R188" s="49">
        <v>954085</v>
      </c>
      <c r="S188" s="49">
        <v>989236</v>
      </c>
      <c r="T188" s="49">
        <v>988166</v>
      </c>
      <c r="U188" s="49">
        <v>989345</v>
      </c>
      <c r="V188" s="49">
        <v>988194</v>
      </c>
      <c r="W188" s="49">
        <v>971082</v>
      </c>
      <c r="X188" s="49">
        <v>979040</v>
      </c>
    </row>
    <row r="189" spans="1:24" x14ac:dyDescent="0.3">
      <c r="A189" s="49">
        <v>988024</v>
      </c>
      <c r="B189" s="49">
        <v>986590</v>
      </c>
      <c r="D189" s="49">
        <v>992025</v>
      </c>
      <c r="F189" s="49">
        <v>965014</v>
      </c>
      <c r="H189" s="49">
        <v>955126</v>
      </c>
      <c r="K189" s="49">
        <v>992020</v>
      </c>
      <c r="Q189" s="49">
        <v>960022</v>
      </c>
      <c r="R189" s="49">
        <v>984008</v>
      </c>
      <c r="S189" s="49">
        <v>954245</v>
      </c>
      <c r="T189" s="49">
        <v>988169</v>
      </c>
      <c r="U189" s="49">
        <v>986387</v>
      </c>
      <c r="V189" s="49">
        <v>966077</v>
      </c>
      <c r="W189" s="49">
        <v>986488</v>
      </c>
      <c r="X189" s="49">
        <v>989338</v>
      </c>
    </row>
    <row r="190" spans="1:24" x14ac:dyDescent="0.3">
      <c r="A190" s="49">
        <v>988038</v>
      </c>
      <c r="B190" s="49">
        <v>980055</v>
      </c>
      <c r="D190" s="49">
        <v>992203</v>
      </c>
      <c r="F190" s="49">
        <v>995180</v>
      </c>
      <c r="H190" s="49">
        <v>982226</v>
      </c>
      <c r="K190" s="49">
        <v>982140</v>
      </c>
      <c r="Q190" s="49">
        <v>988817</v>
      </c>
      <c r="R190" s="49">
        <v>988314</v>
      </c>
      <c r="S190" s="49">
        <v>991101</v>
      </c>
      <c r="T190" s="49">
        <v>988782</v>
      </c>
      <c r="U190" s="49">
        <v>955061</v>
      </c>
      <c r="V190" s="49">
        <v>989172</v>
      </c>
      <c r="W190" s="49">
        <v>986522</v>
      </c>
      <c r="X190" s="49">
        <v>966126</v>
      </c>
    </row>
    <row r="191" spans="1:24" x14ac:dyDescent="0.3">
      <c r="A191" s="49">
        <v>988054</v>
      </c>
      <c r="B191" s="49">
        <v>996142</v>
      </c>
      <c r="D191" s="49">
        <v>995220</v>
      </c>
      <c r="F191" s="49">
        <v>995219</v>
      </c>
      <c r="H191" s="49">
        <v>986008</v>
      </c>
      <c r="K191" s="49">
        <v>954221</v>
      </c>
      <c r="Q191" s="49">
        <v>988259</v>
      </c>
      <c r="R191" s="49">
        <v>989098</v>
      </c>
      <c r="S191" s="49">
        <v>954082</v>
      </c>
      <c r="T191" s="49">
        <v>986436</v>
      </c>
      <c r="U191" s="49">
        <v>986399</v>
      </c>
      <c r="V191" s="49">
        <v>975007</v>
      </c>
      <c r="W191" s="49">
        <v>986543</v>
      </c>
      <c r="X191" s="49">
        <v>985009</v>
      </c>
    </row>
    <row r="192" spans="1:24" x14ac:dyDescent="0.3">
      <c r="A192" s="49">
        <v>995229</v>
      </c>
      <c r="B192" s="49">
        <v>980165</v>
      </c>
      <c r="D192" s="49">
        <v>986091</v>
      </c>
      <c r="F192" s="49">
        <v>986169</v>
      </c>
      <c r="H192" s="49">
        <v>992794</v>
      </c>
      <c r="K192" s="49">
        <v>976095</v>
      </c>
      <c r="Q192" s="49">
        <v>989016</v>
      </c>
      <c r="R192" s="49">
        <v>989102</v>
      </c>
      <c r="S192" s="49">
        <v>987006</v>
      </c>
      <c r="T192" s="49">
        <v>954178</v>
      </c>
      <c r="U192" s="49">
        <v>988432</v>
      </c>
      <c r="V192" s="49">
        <v>991069</v>
      </c>
      <c r="W192" s="49">
        <v>986566</v>
      </c>
      <c r="X192" s="49">
        <v>996188</v>
      </c>
    </row>
    <row r="193" spans="1:24" x14ac:dyDescent="0.3">
      <c r="A193" s="49">
        <v>995236</v>
      </c>
      <c r="B193" s="49">
        <v>996145</v>
      </c>
      <c r="D193" s="49">
        <v>986289</v>
      </c>
      <c r="F193" s="49">
        <v>988053</v>
      </c>
      <c r="H193" s="49">
        <v>992148</v>
      </c>
      <c r="K193" s="49">
        <v>988491</v>
      </c>
      <c r="Q193" s="49">
        <v>991179</v>
      </c>
      <c r="R193" s="49">
        <v>988345</v>
      </c>
      <c r="S193" s="49">
        <v>984074</v>
      </c>
      <c r="T193" s="49">
        <v>992357</v>
      </c>
      <c r="U193" s="49">
        <v>988805</v>
      </c>
      <c r="V193" s="49">
        <v>994021</v>
      </c>
      <c r="W193" s="49">
        <v>986584</v>
      </c>
      <c r="X193" s="49">
        <v>996197</v>
      </c>
    </row>
    <row r="194" spans="1:24" x14ac:dyDescent="0.3">
      <c r="A194" s="49">
        <v>998040</v>
      </c>
      <c r="B194" s="49">
        <v>986166</v>
      </c>
      <c r="D194" s="49">
        <v>988413</v>
      </c>
      <c r="F194" s="49">
        <v>995230</v>
      </c>
      <c r="H194" s="49">
        <v>958015</v>
      </c>
      <c r="K194" s="49">
        <v>995055</v>
      </c>
      <c r="Q194" s="49">
        <v>992431</v>
      </c>
      <c r="R194" s="49">
        <v>980069</v>
      </c>
      <c r="S194" s="49">
        <v>991080</v>
      </c>
      <c r="T194" s="49">
        <v>980078</v>
      </c>
      <c r="U194" s="49">
        <v>966158</v>
      </c>
      <c r="V194" s="49">
        <v>955180</v>
      </c>
      <c r="W194" s="49">
        <v>986558</v>
      </c>
      <c r="X194" s="49">
        <v>996270</v>
      </c>
    </row>
    <row r="195" spans="1:24" x14ac:dyDescent="0.3">
      <c r="A195" s="49">
        <v>988712</v>
      </c>
      <c r="B195" s="49">
        <v>992078</v>
      </c>
      <c r="D195" s="49">
        <v>988763</v>
      </c>
      <c r="F195" s="49">
        <v>988045</v>
      </c>
      <c r="H195" s="49">
        <v>995281</v>
      </c>
      <c r="K195" s="49">
        <v>998034</v>
      </c>
      <c r="Q195" s="49">
        <v>988600</v>
      </c>
      <c r="R195" s="49">
        <v>986291</v>
      </c>
      <c r="S195" s="49">
        <v>989029</v>
      </c>
      <c r="T195" s="49">
        <v>989162</v>
      </c>
      <c r="U195" s="49">
        <v>994088</v>
      </c>
      <c r="V195" s="49">
        <v>998126</v>
      </c>
      <c r="W195" s="49">
        <v>990055</v>
      </c>
      <c r="X195" s="49">
        <v>996278</v>
      </c>
    </row>
    <row r="196" spans="1:24" x14ac:dyDescent="0.3">
      <c r="A196" s="49">
        <v>954285</v>
      </c>
      <c r="B196" s="49">
        <v>988481</v>
      </c>
      <c r="D196" s="49">
        <v>992077</v>
      </c>
      <c r="F196" s="49">
        <v>995323</v>
      </c>
      <c r="H196" s="49">
        <v>940030</v>
      </c>
      <c r="K196" s="49">
        <v>975026</v>
      </c>
      <c r="Q196" s="49">
        <v>992245</v>
      </c>
      <c r="R196" s="49">
        <v>986308</v>
      </c>
      <c r="S196" s="49">
        <v>977029</v>
      </c>
      <c r="T196" s="49">
        <v>986461</v>
      </c>
      <c r="U196" s="49">
        <v>988581</v>
      </c>
      <c r="V196" s="49">
        <v>996114</v>
      </c>
      <c r="W196" s="49">
        <v>940006</v>
      </c>
      <c r="X196" s="49">
        <v>996280</v>
      </c>
    </row>
    <row r="197" spans="1:24" x14ac:dyDescent="0.3">
      <c r="A197" s="49">
        <v>982149</v>
      </c>
      <c r="B197" s="49">
        <v>996143</v>
      </c>
      <c r="D197" s="49">
        <v>992116</v>
      </c>
      <c r="F197" s="49">
        <v>996015</v>
      </c>
      <c r="H197" s="49">
        <v>992726</v>
      </c>
      <c r="K197" s="49">
        <v>989323</v>
      </c>
      <c r="Q197" s="49">
        <v>982065</v>
      </c>
      <c r="R197" s="49">
        <v>940099</v>
      </c>
      <c r="S197" s="49">
        <v>988860</v>
      </c>
      <c r="T197" s="49">
        <v>986446</v>
      </c>
      <c r="U197" s="49">
        <v>989168</v>
      </c>
      <c r="V197" s="49">
        <v>988886</v>
      </c>
      <c r="W197" s="49">
        <v>984104</v>
      </c>
      <c r="X197" s="49">
        <v>994091</v>
      </c>
    </row>
    <row r="198" spans="1:24" x14ac:dyDescent="0.3">
      <c r="A198" s="49">
        <v>992152</v>
      </c>
      <c r="B198" s="49">
        <v>998104</v>
      </c>
      <c r="D198" s="49">
        <v>992086</v>
      </c>
      <c r="F198" s="49">
        <v>982160</v>
      </c>
      <c r="H198" s="49">
        <v>986082</v>
      </c>
      <c r="K198" s="49">
        <v>995223</v>
      </c>
      <c r="Q198" s="49">
        <v>992269</v>
      </c>
      <c r="R198" s="49">
        <v>988647</v>
      </c>
      <c r="S198" s="49">
        <v>984041</v>
      </c>
      <c r="T198" s="49">
        <v>989006</v>
      </c>
      <c r="U198" s="49">
        <v>982075</v>
      </c>
      <c r="V198" s="49">
        <v>975133</v>
      </c>
      <c r="W198" s="49">
        <v>992724</v>
      </c>
      <c r="X198" s="49">
        <v>988190</v>
      </c>
    </row>
    <row r="199" spans="1:24" x14ac:dyDescent="0.3">
      <c r="A199" s="49">
        <v>980022</v>
      </c>
      <c r="B199" s="49">
        <v>988428</v>
      </c>
      <c r="D199" s="49">
        <v>992477</v>
      </c>
      <c r="F199" s="49">
        <v>995186</v>
      </c>
      <c r="H199" s="49">
        <v>986132</v>
      </c>
      <c r="K199" s="49">
        <v>996064</v>
      </c>
      <c r="Q199" s="49">
        <v>954252</v>
      </c>
      <c r="R199" s="49">
        <v>988648</v>
      </c>
      <c r="S199" s="49">
        <v>954268</v>
      </c>
      <c r="T199" s="49">
        <v>989178</v>
      </c>
      <c r="U199" s="49">
        <v>989171</v>
      </c>
      <c r="V199" s="49">
        <v>995159</v>
      </c>
      <c r="W199" s="49">
        <v>975164</v>
      </c>
      <c r="X199" s="49">
        <v>992313</v>
      </c>
    </row>
    <row r="200" spans="1:24" x14ac:dyDescent="0.3">
      <c r="A200" s="49">
        <v>995225</v>
      </c>
      <c r="B200" s="49">
        <v>996155</v>
      </c>
      <c r="D200" s="49">
        <v>979043</v>
      </c>
      <c r="F200" s="49">
        <v>992586</v>
      </c>
      <c r="H200" s="49">
        <v>955068</v>
      </c>
      <c r="K200" s="49">
        <v>988407</v>
      </c>
      <c r="Q200" s="49">
        <v>954088</v>
      </c>
      <c r="R200" s="49">
        <v>992569</v>
      </c>
      <c r="S200" s="49">
        <v>967005</v>
      </c>
      <c r="T200" s="49">
        <v>989184</v>
      </c>
      <c r="U200" s="49">
        <v>988213</v>
      </c>
      <c r="V200" s="49">
        <v>955186</v>
      </c>
      <c r="W200" s="49">
        <v>986535</v>
      </c>
      <c r="X200" s="49">
        <v>954242</v>
      </c>
    </row>
    <row r="201" spans="1:24" x14ac:dyDescent="0.3">
      <c r="A201" s="49">
        <v>982073</v>
      </c>
      <c r="B201" s="49">
        <v>986495</v>
      </c>
      <c r="D201" s="49">
        <v>988078</v>
      </c>
      <c r="F201" s="49">
        <v>988446</v>
      </c>
      <c r="H201" s="49">
        <v>995007</v>
      </c>
      <c r="K201" s="49">
        <v>988079</v>
      </c>
      <c r="Q201" s="49">
        <v>988614</v>
      </c>
      <c r="R201" s="49">
        <v>992403</v>
      </c>
      <c r="S201" s="49">
        <v>989005</v>
      </c>
      <c r="T201" s="49">
        <v>989192</v>
      </c>
      <c r="U201" s="49">
        <v>966125</v>
      </c>
      <c r="V201" s="49">
        <v>954040</v>
      </c>
      <c r="W201" s="49">
        <v>986540</v>
      </c>
      <c r="X201" s="49">
        <v>994035</v>
      </c>
    </row>
    <row r="202" spans="1:24" x14ac:dyDescent="0.3">
      <c r="A202" s="49">
        <v>954112</v>
      </c>
      <c r="B202" s="49">
        <v>992272</v>
      </c>
      <c r="D202" s="49">
        <v>988103</v>
      </c>
      <c r="F202" s="49">
        <v>992411</v>
      </c>
      <c r="H202" s="49">
        <v>986150</v>
      </c>
      <c r="K202" s="49">
        <v>988064</v>
      </c>
      <c r="Q202" s="49">
        <v>988271</v>
      </c>
      <c r="R202" s="49">
        <v>988875</v>
      </c>
      <c r="S202" s="49">
        <v>988699</v>
      </c>
      <c r="T202" s="49">
        <v>989193</v>
      </c>
      <c r="U202" s="49">
        <v>988218</v>
      </c>
      <c r="V202" s="49">
        <v>991140</v>
      </c>
      <c r="W202" s="49">
        <v>986588</v>
      </c>
      <c r="X202" s="49">
        <v>992643</v>
      </c>
    </row>
    <row r="203" spans="1:24" x14ac:dyDescent="0.3">
      <c r="A203" s="49">
        <v>980116</v>
      </c>
      <c r="B203" s="49">
        <v>995293</v>
      </c>
      <c r="D203" s="49">
        <v>983116</v>
      </c>
      <c r="F203" s="49">
        <v>979007</v>
      </c>
      <c r="H203" s="49">
        <v>986173</v>
      </c>
      <c r="K203" s="49">
        <v>988753</v>
      </c>
      <c r="Q203" s="49">
        <v>992206</v>
      </c>
      <c r="R203" s="49">
        <v>984063</v>
      </c>
      <c r="S203" s="49">
        <v>978012</v>
      </c>
      <c r="T203" s="49">
        <v>989187</v>
      </c>
      <c r="U203" s="49">
        <v>988803</v>
      </c>
      <c r="V203" s="49">
        <v>981006</v>
      </c>
      <c r="W203" s="49">
        <v>966204</v>
      </c>
      <c r="X203" s="49">
        <v>989050</v>
      </c>
    </row>
    <row r="204" spans="1:24" x14ac:dyDescent="0.3">
      <c r="A204" s="49">
        <v>988929</v>
      </c>
      <c r="B204" s="49">
        <v>996111</v>
      </c>
      <c r="D204" s="49">
        <v>988032</v>
      </c>
      <c r="F204" s="49">
        <v>988372</v>
      </c>
      <c r="H204" s="49">
        <v>988462</v>
      </c>
      <c r="K204" s="49">
        <v>993132</v>
      </c>
      <c r="Q204" s="49">
        <v>982068</v>
      </c>
      <c r="R204" s="49">
        <v>991064</v>
      </c>
      <c r="S204" s="49">
        <v>976050</v>
      </c>
      <c r="T204" s="49">
        <v>994032</v>
      </c>
      <c r="U204" s="49">
        <v>986389</v>
      </c>
      <c r="V204" s="49">
        <v>982120</v>
      </c>
      <c r="W204" s="49">
        <v>988907</v>
      </c>
      <c r="X204" s="49">
        <v>994038</v>
      </c>
    </row>
    <row r="205" spans="1:24" x14ac:dyDescent="0.3">
      <c r="A205" s="49">
        <v>991176</v>
      </c>
      <c r="B205" s="49">
        <v>954108</v>
      </c>
      <c r="D205" s="49">
        <v>994019</v>
      </c>
      <c r="F205" s="49">
        <v>983059</v>
      </c>
      <c r="H205" s="49">
        <v>988129</v>
      </c>
      <c r="K205" s="49">
        <v>975012</v>
      </c>
      <c r="Q205" s="49">
        <v>991015</v>
      </c>
      <c r="R205" s="49">
        <v>989100</v>
      </c>
      <c r="S205" s="49">
        <v>992749</v>
      </c>
      <c r="T205" s="49">
        <v>989191</v>
      </c>
      <c r="U205" s="49">
        <v>966010</v>
      </c>
      <c r="V205" s="49">
        <v>966190</v>
      </c>
      <c r="W205" s="49">
        <v>982072</v>
      </c>
      <c r="X205" s="49">
        <v>954160</v>
      </c>
    </row>
    <row r="206" spans="1:24" x14ac:dyDescent="0.3">
      <c r="A206" s="49">
        <v>992672</v>
      </c>
      <c r="B206" s="49">
        <v>996144</v>
      </c>
      <c r="D206" s="49">
        <v>992285</v>
      </c>
      <c r="F206" s="49">
        <v>985063</v>
      </c>
      <c r="H206" s="49">
        <v>954289</v>
      </c>
      <c r="K206" s="49">
        <v>967014</v>
      </c>
      <c r="Q206" s="49">
        <v>988267</v>
      </c>
      <c r="R206" s="49">
        <v>992281</v>
      </c>
      <c r="S206" s="49">
        <v>972070</v>
      </c>
      <c r="T206" s="49">
        <v>988780</v>
      </c>
      <c r="U206" s="49">
        <v>988244</v>
      </c>
      <c r="V206" s="49">
        <v>988940</v>
      </c>
      <c r="W206" s="49">
        <v>986511</v>
      </c>
      <c r="X206" s="49">
        <v>988175</v>
      </c>
    </row>
    <row r="207" spans="1:24" x14ac:dyDescent="0.3">
      <c r="A207" s="49">
        <v>993051</v>
      </c>
      <c r="B207" s="49">
        <v>954131</v>
      </c>
      <c r="D207" s="49">
        <v>986237</v>
      </c>
      <c r="F207" s="49">
        <v>988729</v>
      </c>
      <c r="H207" s="49">
        <v>992291</v>
      </c>
      <c r="K207" s="49">
        <v>966157</v>
      </c>
      <c r="Q207" s="49">
        <v>988611</v>
      </c>
      <c r="R207" s="49">
        <v>981069</v>
      </c>
      <c r="S207" s="49">
        <v>969002</v>
      </c>
      <c r="T207" s="49">
        <v>989010</v>
      </c>
      <c r="U207" s="49">
        <v>986107</v>
      </c>
      <c r="V207" s="49">
        <v>988953</v>
      </c>
      <c r="W207" s="49">
        <v>988145</v>
      </c>
      <c r="X207" s="49">
        <v>986604</v>
      </c>
    </row>
    <row r="208" spans="1:24" x14ac:dyDescent="0.3">
      <c r="A208" s="49">
        <v>993095</v>
      </c>
      <c r="B208" s="49">
        <v>954132</v>
      </c>
      <c r="D208" s="49">
        <v>992008</v>
      </c>
      <c r="F208" s="49">
        <v>989021</v>
      </c>
      <c r="H208" s="49">
        <v>989058</v>
      </c>
      <c r="K208" s="49">
        <v>975078</v>
      </c>
      <c r="Q208" s="49">
        <v>980211</v>
      </c>
      <c r="R208" s="49">
        <v>975108</v>
      </c>
      <c r="S208" s="49">
        <v>977037</v>
      </c>
      <c r="T208" s="49">
        <v>966013</v>
      </c>
      <c r="U208" s="49">
        <v>954042</v>
      </c>
      <c r="V208" s="49">
        <v>986012</v>
      </c>
      <c r="W208" s="49">
        <v>995009</v>
      </c>
      <c r="X208" s="49">
        <v>992509</v>
      </c>
    </row>
    <row r="209" spans="1:24" x14ac:dyDescent="0.3">
      <c r="A209" s="49">
        <v>940092</v>
      </c>
      <c r="B209" s="49">
        <v>992588</v>
      </c>
      <c r="D209" s="49">
        <v>992514</v>
      </c>
      <c r="F209" s="49">
        <v>988043</v>
      </c>
      <c r="H209" s="49">
        <v>985048</v>
      </c>
      <c r="K209" s="49">
        <v>986608</v>
      </c>
      <c r="Q209" s="49">
        <v>958030</v>
      </c>
      <c r="R209" s="49">
        <v>981050</v>
      </c>
      <c r="S209" s="49">
        <v>992774</v>
      </c>
      <c r="T209" s="49">
        <v>988901</v>
      </c>
      <c r="U209" s="49">
        <v>988220</v>
      </c>
      <c r="V209" s="49">
        <v>940056</v>
      </c>
      <c r="W209" s="49">
        <v>992202</v>
      </c>
      <c r="X209" s="49">
        <v>954161</v>
      </c>
    </row>
    <row r="210" spans="1:24" x14ac:dyDescent="0.3">
      <c r="A210" s="49">
        <v>989022</v>
      </c>
      <c r="B210" s="49">
        <v>972031</v>
      </c>
      <c r="D210" s="49">
        <v>986045</v>
      </c>
      <c r="F210" s="49">
        <v>988982</v>
      </c>
      <c r="H210" s="49">
        <v>940074</v>
      </c>
      <c r="K210" s="49">
        <v>955142</v>
      </c>
      <c r="Q210" s="49">
        <v>984122</v>
      </c>
      <c r="R210" s="49">
        <v>981103</v>
      </c>
      <c r="S210" s="49">
        <v>997004</v>
      </c>
      <c r="T210" s="49">
        <v>986486</v>
      </c>
      <c r="U210" s="49">
        <v>954049</v>
      </c>
      <c r="V210" s="49">
        <v>971083</v>
      </c>
      <c r="W210" s="49">
        <v>966064</v>
      </c>
      <c r="X210" s="49">
        <v>954287</v>
      </c>
    </row>
    <row r="211" spans="1:24" x14ac:dyDescent="0.3">
      <c r="A211" s="49">
        <v>954074</v>
      </c>
      <c r="B211" s="49">
        <v>954130</v>
      </c>
      <c r="D211" s="49">
        <v>992584</v>
      </c>
      <c r="F211" s="49">
        <v>996069</v>
      </c>
      <c r="H211" s="49">
        <v>992812</v>
      </c>
      <c r="K211" s="49">
        <v>984032</v>
      </c>
      <c r="Q211" s="49">
        <v>985085</v>
      </c>
      <c r="R211" s="49">
        <v>969013</v>
      </c>
      <c r="S211" s="49">
        <v>972068</v>
      </c>
      <c r="T211" s="49">
        <v>989076</v>
      </c>
      <c r="U211" s="49">
        <v>980012</v>
      </c>
      <c r="V211" s="49">
        <v>985052</v>
      </c>
      <c r="W211" s="49">
        <v>996194</v>
      </c>
      <c r="X211" s="49">
        <v>954023</v>
      </c>
    </row>
    <row r="212" spans="1:24" x14ac:dyDescent="0.3">
      <c r="A212" s="49">
        <v>954109</v>
      </c>
      <c r="B212" s="49">
        <v>986275</v>
      </c>
      <c r="D212" s="49">
        <v>992321</v>
      </c>
      <c r="F212" s="49">
        <v>992632</v>
      </c>
      <c r="H212" s="49">
        <v>985072</v>
      </c>
      <c r="K212" s="49">
        <v>976037</v>
      </c>
      <c r="Q212" s="49">
        <v>978065</v>
      </c>
      <c r="R212" s="49">
        <v>992184</v>
      </c>
      <c r="S212" s="49">
        <v>988991</v>
      </c>
      <c r="T212" s="49">
        <v>986443</v>
      </c>
      <c r="U212" s="49">
        <v>988240</v>
      </c>
      <c r="V212" s="49">
        <v>940013</v>
      </c>
      <c r="W212" s="49">
        <v>992470</v>
      </c>
      <c r="X212" s="49">
        <v>986552</v>
      </c>
    </row>
    <row r="213" spans="1:24" x14ac:dyDescent="0.3">
      <c r="A213" s="49">
        <v>978036</v>
      </c>
      <c r="B213" s="49">
        <v>986563</v>
      </c>
      <c r="D213" s="49">
        <v>988427</v>
      </c>
      <c r="F213" s="49">
        <v>986176</v>
      </c>
      <c r="H213" s="49">
        <v>988419</v>
      </c>
      <c r="K213" s="49">
        <v>976067</v>
      </c>
      <c r="Q213" s="49">
        <v>974003</v>
      </c>
      <c r="R213" s="49">
        <v>982256</v>
      </c>
      <c r="S213" s="49">
        <v>989274</v>
      </c>
      <c r="T213" s="49">
        <v>996294</v>
      </c>
      <c r="U213" s="49">
        <v>988809</v>
      </c>
      <c r="V213" s="49">
        <v>966189</v>
      </c>
      <c r="W213" s="49">
        <v>986526</v>
      </c>
      <c r="X213" s="49">
        <v>954027</v>
      </c>
    </row>
    <row r="214" spans="1:24" x14ac:dyDescent="0.3">
      <c r="A214" s="49">
        <v>966041</v>
      </c>
      <c r="B214" s="49">
        <v>986139</v>
      </c>
      <c r="D214" s="49">
        <v>988758</v>
      </c>
      <c r="F214" s="49">
        <v>982164</v>
      </c>
      <c r="H214" s="49">
        <v>995262</v>
      </c>
      <c r="K214" s="49">
        <v>992725</v>
      </c>
      <c r="Q214" s="49">
        <v>995100</v>
      </c>
      <c r="R214" s="49">
        <v>955064</v>
      </c>
      <c r="S214" s="49">
        <v>993086</v>
      </c>
      <c r="T214" s="49">
        <v>966108</v>
      </c>
      <c r="U214" s="49">
        <v>966140</v>
      </c>
      <c r="V214" s="49">
        <v>956021</v>
      </c>
      <c r="W214" s="49">
        <v>992151</v>
      </c>
      <c r="X214" s="49">
        <v>992134</v>
      </c>
    </row>
    <row r="215" spans="1:24" x14ac:dyDescent="0.3">
      <c r="A215" s="49">
        <v>979030</v>
      </c>
      <c r="B215" s="49">
        <v>954064</v>
      </c>
      <c r="D215" s="49">
        <v>954280</v>
      </c>
      <c r="F215" s="49">
        <v>960038</v>
      </c>
      <c r="H215" s="49">
        <v>996078</v>
      </c>
      <c r="K215" s="49">
        <v>954053</v>
      </c>
      <c r="Q215" s="49">
        <v>995158</v>
      </c>
      <c r="R215" s="49">
        <v>954012</v>
      </c>
      <c r="S215" s="49">
        <v>969003</v>
      </c>
      <c r="T215" s="49">
        <v>996181</v>
      </c>
      <c r="U215" s="49">
        <v>971057</v>
      </c>
      <c r="V215" s="49">
        <v>982117</v>
      </c>
      <c r="W215" s="49">
        <v>986546</v>
      </c>
      <c r="X215" s="49">
        <v>992179</v>
      </c>
    </row>
    <row r="216" spans="1:24" x14ac:dyDescent="0.3">
      <c r="A216" s="49">
        <v>988373</v>
      </c>
      <c r="B216" s="49">
        <v>954133</v>
      </c>
      <c r="D216" s="49">
        <v>988410</v>
      </c>
      <c r="F216" s="49">
        <v>988403</v>
      </c>
      <c r="H216" s="49">
        <v>982156</v>
      </c>
      <c r="K216" s="49">
        <v>955075</v>
      </c>
      <c r="Q216" s="49">
        <v>955150</v>
      </c>
      <c r="R216" s="49">
        <v>992021</v>
      </c>
      <c r="S216" s="49">
        <v>955160</v>
      </c>
      <c r="T216" s="49">
        <v>993060</v>
      </c>
      <c r="U216" s="49">
        <v>982076</v>
      </c>
      <c r="V216" s="49">
        <v>986051</v>
      </c>
      <c r="W216" s="49">
        <v>993031</v>
      </c>
      <c r="X216" s="49">
        <v>992624</v>
      </c>
    </row>
    <row r="217" spans="1:24" x14ac:dyDescent="0.3">
      <c r="A217" s="49">
        <v>988051</v>
      </c>
      <c r="B217" s="49">
        <v>954162</v>
      </c>
      <c r="D217" s="49">
        <v>982128</v>
      </c>
      <c r="F217" s="49">
        <v>988904</v>
      </c>
      <c r="H217" s="49">
        <v>985030</v>
      </c>
      <c r="K217" s="49">
        <v>955147</v>
      </c>
      <c r="Q217" s="49">
        <v>955047</v>
      </c>
      <c r="R217" s="49">
        <v>979055</v>
      </c>
      <c r="S217" s="49">
        <v>992056</v>
      </c>
      <c r="T217" s="49">
        <v>989183</v>
      </c>
      <c r="U217" s="49">
        <v>986420</v>
      </c>
      <c r="V217" s="49">
        <v>992659</v>
      </c>
      <c r="W217" s="49">
        <v>993032</v>
      </c>
      <c r="X217" s="49">
        <v>986246</v>
      </c>
    </row>
    <row r="218" spans="1:24" x14ac:dyDescent="0.3">
      <c r="A218" s="49">
        <v>988890</v>
      </c>
      <c r="B218" s="49">
        <v>992160</v>
      </c>
      <c r="D218" s="49">
        <v>988440</v>
      </c>
      <c r="F218" s="49">
        <v>995314</v>
      </c>
      <c r="H218" s="49">
        <v>992414</v>
      </c>
      <c r="K218" s="49">
        <v>986530</v>
      </c>
      <c r="Q218" s="49">
        <v>955149</v>
      </c>
      <c r="R218" s="49">
        <v>992317</v>
      </c>
      <c r="S218" s="49">
        <v>992463</v>
      </c>
      <c r="T218" s="49">
        <v>986459</v>
      </c>
      <c r="U218" s="49">
        <v>988916</v>
      </c>
      <c r="V218" s="49">
        <v>992300</v>
      </c>
      <c r="W218" s="49">
        <v>986508</v>
      </c>
      <c r="X218" s="49">
        <v>954026</v>
      </c>
    </row>
    <row r="219" spans="1:24" x14ac:dyDescent="0.3">
      <c r="A219" s="49">
        <v>988477</v>
      </c>
      <c r="B219" s="49">
        <v>982099</v>
      </c>
      <c r="D219" s="49">
        <v>988445</v>
      </c>
      <c r="F219" s="49">
        <v>996032</v>
      </c>
      <c r="H219" s="49">
        <v>988119</v>
      </c>
      <c r="K219" s="49">
        <v>982208</v>
      </c>
      <c r="Q219" s="49">
        <v>955154</v>
      </c>
      <c r="R219" s="49">
        <v>988319</v>
      </c>
      <c r="S219" s="49">
        <v>972074</v>
      </c>
      <c r="T219" s="49">
        <v>986469</v>
      </c>
      <c r="U219" s="49">
        <v>988243</v>
      </c>
      <c r="V219" s="49">
        <v>988241</v>
      </c>
      <c r="W219" s="49">
        <v>986554</v>
      </c>
      <c r="X219" s="49">
        <v>993023</v>
      </c>
    </row>
    <row r="220" spans="1:24" x14ac:dyDescent="0.3">
      <c r="A220" s="49">
        <v>966214</v>
      </c>
      <c r="B220" s="49">
        <v>982100</v>
      </c>
      <c r="D220" s="49">
        <v>982129</v>
      </c>
      <c r="F220" s="49">
        <v>988434</v>
      </c>
      <c r="H220" s="49">
        <v>988128</v>
      </c>
      <c r="K220" s="49">
        <v>940083</v>
      </c>
      <c r="Q220" s="49">
        <v>955152</v>
      </c>
      <c r="R220" s="49">
        <v>992093</v>
      </c>
      <c r="S220" s="49">
        <v>975169</v>
      </c>
      <c r="T220" s="49">
        <v>992703</v>
      </c>
      <c r="U220" s="49">
        <v>986390</v>
      </c>
      <c r="V220" s="49">
        <v>994068</v>
      </c>
      <c r="W220" s="49">
        <v>986555</v>
      </c>
      <c r="X220" s="49">
        <v>986250</v>
      </c>
    </row>
    <row r="221" spans="1:24" x14ac:dyDescent="0.3">
      <c r="A221" s="49">
        <v>992592</v>
      </c>
      <c r="B221" s="49">
        <v>982101</v>
      </c>
      <c r="D221" s="49">
        <v>977018</v>
      </c>
      <c r="F221" s="49">
        <v>991173</v>
      </c>
      <c r="H221" s="49">
        <v>988354</v>
      </c>
      <c r="K221" s="49">
        <v>985076</v>
      </c>
      <c r="Q221" s="49">
        <v>955007</v>
      </c>
      <c r="R221" s="49">
        <v>992583</v>
      </c>
      <c r="S221" s="49">
        <v>984006</v>
      </c>
      <c r="T221" s="49">
        <v>992283</v>
      </c>
      <c r="U221" s="49">
        <v>991093</v>
      </c>
      <c r="V221" s="49">
        <v>982121</v>
      </c>
      <c r="W221" s="49">
        <v>988156</v>
      </c>
      <c r="X221" s="49">
        <v>956029</v>
      </c>
    </row>
    <row r="222" spans="1:24" x14ac:dyDescent="0.3">
      <c r="A222" s="49">
        <v>972050</v>
      </c>
      <c r="B222" s="49">
        <v>992436</v>
      </c>
      <c r="D222" s="49">
        <v>992121</v>
      </c>
      <c r="F222" s="49">
        <v>975013</v>
      </c>
      <c r="H222" s="49">
        <v>995151</v>
      </c>
      <c r="K222" s="49">
        <v>996083</v>
      </c>
      <c r="Q222" s="49">
        <v>955191</v>
      </c>
      <c r="R222" s="49">
        <v>993109</v>
      </c>
      <c r="S222" s="49">
        <v>990062</v>
      </c>
      <c r="T222" s="49">
        <v>981062</v>
      </c>
      <c r="U222" s="49">
        <v>975092</v>
      </c>
      <c r="V222" s="49">
        <v>990029</v>
      </c>
      <c r="W222" s="49">
        <v>980172</v>
      </c>
      <c r="X222" s="49">
        <v>993020</v>
      </c>
    </row>
    <row r="223" spans="1:24" x14ac:dyDescent="0.3">
      <c r="A223" s="49">
        <v>968015</v>
      </c>
      <c r="B223" s="49">
        <v>992223</v>
      </c>
      <c r="D223" s="49">
        <v>988067</v>
      </c>
      <c r="F223" s="49">
        <v>975022</v>
      </c>
      <c r="H223" s="49">
        <v>996096</v>
      </c>
      <c r="K223" s="49">
        <v>986163</v>
      </c>
      <c r="Q223" s="49">
        <v>955099</v>
      </c>
      <c r="R223" s="49">
        <v>992548</v>
      </c>
      <c r="S223" s="49">
        <v>982268</v>
      </c>
      <c r="T223" s="49">
        <v>980185</v>
      </c>
      <c r="U223" s="49">
        <v>989349</v>
      </c>
      <c r="V223" s="49">
        <v>956017</v>
      </c>
      <c r="W223" s="49">
        <v>988717</v>
      </c>
      <c r="X223" s="49">
        <v>954266</v>
      </c>
    </row>
    <row r="224" spans="1:24" x14ac:dyDescent="0.3">
      <c r="A224" s="49">
        <v>940016</v>
      </c>
      <c r="B224" s="49">
        <v>992293</v>
      </c>
      <c r="D224" s="49">
        <v>986273</v>
      </c>
      <c r="F224" s="49">
        <v>989143</v>
      </c>
      <c r="H224" s="49">
        <v>988459</v>
      </c>
      <c r="K224" s="49">
        <v>992580</v>
      </c>
      <c r="Q224" s="49">
        <v>955203</v>
      </c>
      <c r="R224" s="49">
        <v>988818</v>
      </c>
      <c r="S224" s="49">
        <v>992786</v>
      </c>
      <c r="T224" s="49">
        <v>980099</v>
      </c>
      <c r="U224" s="49">
        <v>998032</v>
      </c>
      <c r="V224" s="49">
        <v>996151</v>
      </c>
      <c r="W224" s="49">
        <v>986512</v>
      </c>
      <c r="X224" s="49">
        <v>989064</v>
      </c>
    </row>
    <row r="225" spans="1:24" x14ac:dyDescent="0.3">
      <c r="A225" s="49">
        <v>988726</v>
      </c>
      <c r="B225" s="49">
        <v>998122</v>
      </c>
      <c r="D225" s="49">
        <v>995102</v>
      </c>
      <c r="F225" s="49">
        <v>995018</v>
      </c>
      <c r="H225" s="49">
        <v>988509</v>
      </c>
      <c r="K225" s="49">
        <v>982205</v>
      </c>
      <c r="Q225" s="49">
        <v>955044</v>
      </c>
      <c r="R225" s="49">
        <v>940093</v>
      </c>
      <c r="S225" s="49">
        <v>993085</v>
      </c>
      <c r="T225" s="49">
        <v>989182</v>
      </c>
      <c r="U225" s="49">
        <v>998177</v>
      </c>
      <c r="V225" s="49">
        <v>994060</v>
      </c>
      <c r="W225" s="49">
        <v>992483</v>
      </c>
      <c r="X225" s="49">
        <v>991130</v>
      </c>
    </row>
    <row r="226" spans="1:24" x14ac:dyDescent="0.3">
      <c r="A226" s="49">
        <v>988020</v>
      </c>
      <c r="B226" s="49">
        <v>975178</v>
      </c>
      <c r="D226" s="49">
        <v>989028</v>
      </c>
      <c r="F226" s="49">
        <v>982163</v>
      </c>
      <c r="H226" s="49">
        <v>986078</v>
      </c>
      <c r="K226" s="49">
        <v>984002</v>
      </c>
      <c r="Q226" s="49">
        <v>955195</v>
      </c>
      <c r="R226" s="49">
        <v>982079</v>
      </c>
      <c r="S226" s="49">
        <v>992723</v>
      </c>
      <c r="T226" s="49">
        <v>954243</v>
      </c>
      <c r="U226" s="49">
        <v>981076</v>
      </c>
      <c r="V226" s="49">
        <v>992699</v>
      </c>
      <c r="W226" s="49">
        <v>988515</v>
      </c>
      <c r="X226" s="49">
        <v>982196</v>
      </c>
    </row>
    <row r="227" spans="1:24" x14ac:dyDescent="0.3">
      <c r="A227" s="49">
        <v>980053</v>
      </c>
      <c r="B227" s="49">
        <v>954181</v>
      </c>
      <c r="D227" s="49">
        <v>986217</v>
      </c>
      <c r="F227" s="49">
        <v>995146</v>
      </c>
      <c r="H227" s="49">
        <v>992010</v>
      </c>
      <c r="K227" s="49">
        <v>988471</v>
      </c>
      <c r="Q227" s="49">
        <v>955041</v>
      </c>
      <c r="R227" s="49">
        <v>988845</v>
      </c>
      <c r="S227" s="49">
        <v>967036</v>
      </c>
      <c r="T227" s="49">
        <v>986483</v>
      </c>
      <c r="U227" s="49">
        <v>975134</v>
      </c>
      <c r="V227" s="49">
        <v>986391</v>
      </c>
      <c r="W227" s="49">
        <v>979014</v>
      </c>
      <c r="X227" s="49">
        <v>990042</v>
      </c>
    </row>
    <row r="228" spans="1:24" x14ac:dyDescent="0.3">
      <c r="A228" s="49">
        <v>975113</v>
      </c>
      <c r="B228" s="49">
        <v>988099</v>
      </c>
      <c r="D228" s="49">
        <v>992227</v>
      </c>
      <c r="F228" s="49">
        <v>992796</v>
      </c>
      <c r="H228" s="49">
        <v>992012</v>
      </c>
      <c r="K228" s="49">
        <v>954155</v>
      </c>
      <c r="Q228" s="49">
        <v>955207</v>
      </c>
      <c r="R228" s="49">
        <v>982078</v>
      </c>
      <c r="S228" s="49">
        <v>992784</v>
      </c>
      <c r="T228" s="49">
        <v>996299</v>
      </c>
      <c r="U228" s="49">
        <v>992571</v>
      </c>
      <c r="V228" s="49">
        <v>988795</v>
      </c>
      <c r="W228" s="49">
        <v>992034</v>
      </c>
      <c r="X228" s="49">
        <v>982195</v>
      </c>
    </row>
    <row r="229" spans="1:24" x14ac:dyDescent="0.3">
      <c r="A229" s="49">
        <v>992512</v>
      </c>
      <c r="B229" s="49">
        <v>955077</v>
      </c>
      <c r="D229" s="49">
        <v>986106</v>
      </c>
      <c r="F229" s="49">
        <v>982162</v>
      </c>
      <c r="H229" s="49">
        <v>992045</v>
      </c>
      <c r="K229" s="49">
        <v>996148</v>
      </c>
      <c r="Q229" s="49">
        <v>955082</v>
      </c>
      <c r="R229" s="49">
        <v>988708</v>
      </c>
      <c r="S229" s="49">
        <v>984111</v>
      </c>
      <c r="T229" s="49">
        <v>996202</v>
      </c>
      <c r="U229" s="49">
        <v>988215</v>
      </c>
      <c r="V229" s="49">
        <v>988564</v>
      </c>
      <c r="W229" s="49">
        <v>986509</v>
      </c>
      <c r="X229" s="49">
        <v>992439</v>
      </c>
    </row>
    <row r="230" spans="1:24" x14ac:dyDescent="0.3">
      <c r="A230" s="49">
        <v>988375</v>
      </c>
      <c r="B230" s="49">
        <v>954114</v>
      </c>
      <c r="D230" s="49">
        <v>990028</v>
      </c>
      <c r="F230" s="49">
        <v>992498</v>
      </c>
      <c r="H230" s="49">
        <v>992143</v>
      </c>
      <c r="K230" s="49">
        <v>986221</v>
      </c>
      <c r="Q230" s="49">
        <v>978046</v>
      </c>
      <c r="R230" s="49">
        <v>992264</v>
      </c>
      <c r="S230" s="49">
        <v>981023</v>
      </c>
      <c r="T230" s="49">
        <v>979033</v>
      </c>
      <c r="U230" s="49">
        <v>966212</v>
      </c>
      <c r="V230" s="49">
        <v>966059</v>
      </c>
      <c r="W230" s="49">
        <v>992033</v>
      </c>
      <c r="X230" s="49">
        <v>996198</v>
      </c>
    </row>
    <row r="231" spans="1:24" x14ac:dyDescent="0.3">
      <c r="A231" s="49">
        <v>954055</v>
      </c>
      <c r="B231" s="49">
        <v>955117</v>
      </c>
      <c r="D231" s="49">
        <v>986220</v>
      </c>
      <c r="F231" s="49">
        <v>992210</v>
      </c>
      <c r="H231" s="49">
        <v>992058</v>
      </c>
      <c r="K231" s="49">
        <v>992572</v>
      </c>
      <c r="Q231" s="49">
        <v>984019</v>
      </c>
      <c r="R231" s="49">
        <v>992547</v>
      </c>
      <c r="S231" s="49">
        <v>986362</v>
      </c>
      <c r="T231" s="49">
        <v>996293</v>
      </c>
      <c r="U231" s="49">
        <v>981054</v>
      </c>
      <c r="V231" s="49">
        <v>954169</v>
      </c>
      <c r="W231" s="49">
        <v>954039</v>
      </c>
      <c r="X231" s="49">
        <v>988141</v>
      </c>
    </row>
    <row r="232" spans="1:24" x14ac:dyDescent="0.3">
      <c r="A232" s="49">
        <v>995011</v>
      </c>
      <c r="B232" s="49">
        <v>995291</v>
      </c>
      <c r="D232" s="49">
        <v>988713</v>
      </c>
      <c r="F232" s="49">
        <v>960012</v>
      </c>
      <c r="H232" s="49">
        <v>966118</v>
      </c>
      <c r="K232" s="49">
        <v>988387</v>
      </c>
      <c r="Q232" s="49">
        <v>984069</v>
      </c>
      <c r="R232" s="49">
        <v>979017</v>
      </c>
      <c r="S232" s="49">
        <v>994025</v>
      </c>
      <c r="T232" s="49">
        <v>986433</v>
      </c>
      <c r="U232" s="49">
        <v>975035</v>
      </c>
      <c r="V232" s="49">
        <v>994084</v>
      </c>
      <c r="W232" s="49">
        <v>989065</v>
      </c>
      <c r="X232" s="49">
        <v>988181</v>
      </c>
    </row>
    <row r="233" spans="1:24" x14ac:dyDescent="0.3">
      <c r="A233" s="49">
        <v>991052</v>
      </c>
      <c r="B233" s="49">
        <v>972072</v>
      </c>
      <c r="D233" s="49">
        <v>995185</v>
      </c>
      <c r="F233" s="49">
        <v>992488</v>
      </c>
      <c r="H233" s="49">
        <v>994018</v>
      </c>
      <c r="K233" s="49">
        <v>996146</v>
      </c>
      <c r="Q233" s="49">
        <v>984082</v>
      </c>
      <c r="R233" s="49">
        <v>992241</v>
      </c>
      <c r="S233" s="49">
        <v>990012</v>
      </c>
      <c r="T233" s="49">
        <v>988167</v>
      </c>
      <c r="U233" s="49">
        <v>975046</v>
      </c>
      <c r="V233" s="49">
        <v>986011</v>
      </c>
      <c r="W233" s="49">
        <v>986545</v>
      </c>
      <c r="X233" s="49">
        <v>988526</v>
      </c>
    </row>
    <row r="234" spans="1:24" x14ac:dyDescent="0.3">
      <c r="A234" s="49">
        <v>988376</v>
      </c>
      <c r="B234" s="49">
        <v>972076</v>
      </c>
      <c r="D234" s="49">
        <v>972060</v>
      </c>
      <c r="F234" s="49">
        <v>975060</v>
      </c>
      <c r="H234" s="49">
        <v>991072</v>
      </c>
      <c r="K234" s="49">
        <v>982206</v>
      </c>
      <c r="Q234" s="49">
        <v>996408</v>
      </c>
      <c r="R234" s="49">
        <v>940052</v>
      </c>
      <c r="S234" s="49">
        <v>988341</v>
      </c>
      <c r="T234" s="49">
        <v>988173</v>
      </c>
      <c r="U234" s="49">
        <v>992238</v>
      </c>
      <c r="V234" s="49">
        <v>998063</v>
      </c>
      <c r="W234" s="49">
        <v>967015</v>
      </c>
      <c r="X234" s="49">
        <v>975072</v>
      </c>
    </row>
    <row r="235" spans="1:24" x14ac:dyDescent="0.3">
      <c r="B235" s="49">
        <v>967041</v>
      </c>
      <c r="D235" s="49">
        <v>972020</v>
      </c>
      <c r="F235" s="49">
        <v>980085</v>
      </c>
      <c r="H235" s="49">
        <v>989227</v>
      </c>
      <c r="K235" s="49">
        <v>994016</v>
      </c>
      <c r="Q235" s="49">
        <v>984117</v>
      </c>
      <c r="R235" s="49">
        <v>992252</v>
      </c>
      <c r="S235" s="49">
        <v>990070</v>
      </c>
      <c r="T235" s="49">
        <v>996186</v>
      </c>
      <c r="U235" s="49">
        <v>990027</v>
      </c>
      <c r="V235" s="49">
        <v>994097</v>
      </c>
      <c r="W235" s="49">
        <v>986510</v>
      </c>
      <c r="X235" s="49">
        <v>987003</v>
      </c>
    </row>
    <row r="236" spans="1:24" x14ac:dyDescent="0.3">
      <c r="B236" s="49">
        <v>940054</v>
      </c>
      <c r="D236" s="49">
        <v>982272</v>
      </c>
      <c r="F236" s="49">
        <v>984022</v>
      </c>
      <c r="H236" s="49">
        <v>992158</v>
      </c>
      <c r="K236" s="49">
        <v>954171</v>
      </c>
      <c r="Q236" s="49">
        <v>988938</v>
      </c>
      <c r="R236" s="49">
        <v>996256</v>
      </c>
      <c r="S236" s="49">
        <v>988348</v>
      </c>
      <c r="T236" s="49">
        <v>996311</v>
      </c>
      <c r="U236" s="49">
        <v>985010</v>
      </c>
      <c r="V236" s="49">
        <v>982113</v>
      </c>
      <c r="W236" s="49">
        <v>998058</v>
      </c>
      <c r="X236" s="49">
        <v>987008</v>
      </c>
    </row>
    <row r="237" spans="1:24" x14ac:dyDescent="0.3">
      <c r="B237" s="49">
        <v>992788</v>
      </c>
      <c r="F237" s="49">
        <v>988774</v>
      </c>
      <c r="H237" s="49">
        <v>988728</v>
      </c>
      <c r="K237" s="49">
        <v>988926</v>
      </c>
      <c r="Q237" s="49">
        <v>992666</v>
      </c>
      <c r="R237" s="49">
        <v>982089</v>
      </c>
      <c r="S237" s="49">
        <v>982145</v>
      </c>
      <c r="T237" s="49">
        <v>986432</v>
      </c>
      <c r="U237" s="49">
        <v>982056</v>
      </c>
      <c r="V237" s="49">
        <v>986049</v>
      </c>
      <c r="W237" s="49">
        <v>983062</v>
      </c>
      <c r="X237" s="49">
        <v>986541</v>
      </c>
    </row>
    <row r="238" spans="1:24" x14ac:dyDescent="0.3">
      <c r="B238" s="49">
        <v>984051</v>
      </c>
      <c r="F238" s="49">
        <v>991181</v>
      </c>
      <c r="H238" s="49">
        <v>988740</v>
      </c>
      <c r="K238" s="49">
        <v>992037</v>
      </c>
      <c r="Q238" s="49">
        <v>978030</v>
      </c>
      <c r="R238" s="49">
        <v>982088</v>
      </c>
      <c r="S238" s="49">
        <v>994065</v>
      </c>
      <c r="T238" s="49">
        <v>985011</v>
      </c>
      <c r="U238" s="49">
        <v>982055</v>
      </c>
      <c r="V238" s="49">
        <v>986404</v>
      </c>
      <c r="W238" s="49">
        <v>992322</v>
      </c>
      <c r="X238" s="49">
        <v>954063</v>
      </c>
    </row>
    <row r="239" spans="1:24" x14ac:dyDescent="0.3">
      <c r="B239" s="49">
        <v>986014</v>
      </c>
      <c r="F239" s="49">
        <v>960045</v>
      </c>
      <c r="H239" s="49">
        <v>988455</v>
      </c>
      <c r="K239" s="49">
        <v>986489</v>
      </c>
      <c r="Q239" s="49">
        <v>955222</v>
      </c>
      <c r="R239" s="49">
        <v>992023</v>
      </c>
      <c r="S239" s="49">
        <v>994067</v>
      </c>
      <c r="T239" s="49">
        <v>989011</v>
      </c>
      <c r="U239" s="49">
        <v>956011</v>
      </c>
      <c r="V239" s="49">
        <v>980043</v>
      </c>
      <c r="W239" s="49">
        <v>989244</v>
      </c>
      <c r="X239" s="49">
        <v>989226</v>
      </c>
    </row>
    <row r="240" spans="1:24" x14ac:dyDescent="0.3">
      <c r="B240" s="49">
        <v>992540</v>
      </c>
      <c r="F240" s="49">
        <v>972030</v>
      </c>
      <c r="H240" s="49">
        <v>991098</v>
      </c>
      <c r="K240" s="49">
        <v>988412</v>
      </c>
      <c r="Q240" s="49">
        <v>981100</v>
      </c>
      <c r="R240" s="49">
        <v>992690</v>
      </c>
      <c r="S240" s="49">
        <v>992190</v>
      </c>
      <c r="T240" s="49">
        <v>989180</v>
      </c>
      <c r="U240" s="49">
        <v>996176</v>
      </c>
      <c r="V240" s="49">
        <v>982116</v>
      </c>
      <c r="W240" s="49">
        <v>975194</v>
      </c>
      <c r="X240" s="49">
        <v>996264</v>
      </c>
    </row>
    <row r="241" spans="2:24" x14ac:dyDescent="0.3">
      <c r="B241" s="49">
        <v>988715</v>
      </c>
      <c r="F241" s="49">
        <v>972009</v>
      </c>
      <c r="H241" s="49">
        <v>992638</v>
      </c>
      <c r="K241" s="49">
        <v>992489</v>
      </c>
      <c r="Q241" s="49">
        <v>940033</v>
      </c>
      <c r="R241" s="49">
        <v>988865</v>
      </c>
      <c r="S241" s="49">
        <v>992219</v>
      </c>
      <c r="T241" s="49">
        <v>995074</v>
      </c>
      <c r="U241" s="49">
        <v>982057</v>
      </c>
      <c r="V241" s="49">
        <v>966206</v>
      </c>
      <c r="W241" s="49">
        <v>986518</v>
      </c>
      <c r="X241" s="49">
        <v>998105</v>
      </c>
    </row>
    <row r="242" spans="2:24" x14ac:dyDescent="0.3">
      <c r="B242" s="49">
        <v>980015</v>
      </c>
      <c r="F242" s="49">
        <v>972041</v>
      </c>
      <c r="H242" s="49">
        <v>992007</v>
      </c>
      <c r="K242" s="49">
        <v>988408</v>
      </c>
      <c r="Q242" s="49">
        <v>991115</v>
      </c>
      <c r="R242" s="49">
        <v>988883</v>
      </c>
      <c r="S242" s="49">
        <v>992797</v>
      </c>
      <c r="T242" s="49">
        <v>998132</v>
      </c>
      <c r="U242" s="49">
        <v>988804</v>
      </c>
      <c r="V242" s="49">
        <v>988582</v>
      </c>
      <c r="W242" s="49">
        <v>976044</v>
      </c>
      <c r="X242" s="49">
        <v>994033</v>
      </c>
    </row>
    <row r="243" spans="2:24" x14ac:dyDescent="0.3">
      <c r="B243" s="49">
        <v>988478</v>
      </c>
      <c r="F243" s="49">
        <v>995111</v>
      </c>
      <c r="H243" s="49">
        <v>989048</v>
      </c>
      <c r="K243" s="49">
        <v>993131</v>
      </c>
      <c r="Q243" s="49">
        <v>978051</v>
      </c>
      <c r="R243" s="49">
        <v>954248</v>
      </c>
      <c r="S243" s="49">
        <v>954047</v>
      </c>
      <c r="T243" s="49">
        <v>983063</v>
      </c>
      <c r="U243" s="49">
        <v>992296</v>
      </c>
      <c r="V243" s="49">
        <v>988802</v>
      </c>
      <c r="W243" s="49">
        <v>986586</v>
      </c>
      <c r="X243" s="49">
        <v>991059</v>
      </c>
    </row>
    <row r="244" spans="2:24" x14ac:dyDescent="0.3">
      <c r="B244" s="49">
        <v>981001</v>
      </c>
      <c r="F244" s="49">
        <v>989209</v>
      </c>
      <c r="H244" s="49">
        <v>995120</v>
      </c>
      <c r="K244" s="49">
        <v>982207</v>
      </c>
      <c r="Q244" s="49">
        <v>967019</v>
      </c>
      <c r="R244" s="49">
        <v>992274</v>
      </c>
      <c r="S244" s="49">
        <v>988914</v>
      </c>
      <c r="T244" s="49">
        <v>986507</v>
      </c>
      <c r="U244" s="49">
        <v>954048</v>
      </c>
      <c r="V244" s="49">
        <v>966106</v>
      </c>
      <c r="W244" s="49">
        <v>980118</v>
      </c>
      <c r="X244" s="49">
        <v>954290</v>
      </c>
    </row>
    <row r="245" spans="2:24" x14ac:dyDescent="0.3">
      <c r="B245" s="49">
        <v>954200</v>
      </c>
      <c r="F245" s="49">
        <v>960060</v>
      </c>
      <c r="H245" s="49">
        <v>988127</v>
      </c>
      <c r="K245" s="49">
        <v>992735</v>
      </c>
      <c r="Q245" s="49">
        <v>978054</v>
      </c>
      <c r="R245" s="49">
        <v>992092</v>
      </c>
      <c r="S245" s="49">
        <v>993071</v>
      </c>
      <c r="T245" s="49">
        <v>995156</v>
      </c>
      <c r="U245" s="49">
        <v>994081</v>
      </c>
      <c r="V245" s="49">
        <v>993044</v>
      </c>
      <c r="W245" s="49">
        <v>988139</v>
      </c>
      <c r="X245" s="49">
        <v>975002</v>
      </c>
    </row>
    <row r="246" spans="2:24" x14ac:dyDescent="0.3">
      <c r="B246" s="49">
        <v>992271</v>
      </c>
      <c r="F246" s="49">
        <v>982271</v>
      </c>
      <c r="H246" s="49">
        <v>981021</v>
      </c>
      <c r="K246" s="49">
        <v>986223</v>
      </c>
      <c r="Q246" s="49">
        <v>972078</v>
      </c>
      <c r="R246" s="49">
        <v>982175</v>
      </c>
      <c r="S246" s="49">
        <v>988853</v>
      </c>
      <c r="T246" s="49">
        <v>967010</v>
      </c>
      <c r="U246" s="49">
        <v>996057</v>
      </c>
      <c r="V246" s="49">
        <v>989169</v>
      </c>
      <c r="W246" s="49">
        <v>992161</v>
      </c>
      <c r="X246" s="49">
        <v>988182</v>
      </c>
    </row>
    <row r="247" spans="2:24" x14ac:dyDescent="0.3">
      <c r="B247" s="49">
        <v>982147</v>
      </c>
      <c r="F247" s="49">
        <v>990018</v>
      </c>
      <c r="H247" s="49">
        <v>992164</v>
      </c>
      <c r="K247" s="49">
        <v>954149</v>
      </c>
      <c r="Q247" s="49">
        <v>990021</v>
      </c>
      <c r="R247" s="49">
        <v>955188</v>
      </c>
      <c r="S247" s="49">
        <v>992581</v>
      </c>
      <c r="T247" s="49">
        <v>998110</v>
      </c>
      <c r="U247" s="49">
        <v>982077</v>
      </c>
      <c r="V247" s="49">
        <v>980151</v>
      </c>
      <c r="W247" s="49">
        <v>992371</v>
      </c>
      <c r="X247" s="49">
        <v>988532</v>
      </c>
    </row>
    <row r="248" spans="2:24" x14ac:dyDescent="0.3">
      <c r="B248" s="49">
        <v>982148</v>
      </c>
      <c r="F248" s="49">
        <v>986396</v>
      </c>
      <c r="H248" s="49">
        <v>996103</v>
      </c>
      <c r="K248" s="49">
        <v>978076</v>
      </c>
      <c r="Q248" s="49">
        <v>993080</v>
      </c>
      <c r="R248" s="49">
        <v>992764</v>
      </c>
      <c r="S248" s="49">
        <v>988670</v>
      </c>
      <c r="T248" s="49">
        <v>981039</v>
      </c>
      <c r="U248" s="49">
        <v>988919</v>
      </c>
      <c r="V248" s="49">
        <v>986407</v>
      </c>
      <c r="W248" s="49">
        <v>966101</v>
      </c>
      <c r="X248" s="49">
        <v>954032</v>
      </c>
    </row>
    <row r="249" spans="2:24" x14ac:dyDescent="0.3">
      <c r="B249" s="49">
        <v>986520</v>
      </c>
      <c r="F249" s="49">
        <v>980136</v>
      </c>
      <c r="H249" s="49">
        <v>954120</v>
      </c>
      <c r="K249" s="49">
        <v>982224</v>
      </c>
      <c r="Q249" s="49">
        <v>978067</v>
      </c>
      <c r="R249" s="49">
        <v>992048</v>
      </c>
      <c r="S249" s="49">
        <v>954192</v>
      </c>
      <c r="T249" s="49">
        <v>994037</v>
      </c>
      <c r="U249" s="49">
        <v>998111</v>
      </c>
      <c r="V249" s="49">
        <v>986405</v>
      </c>
      <c r="W249" s="49">
        <v>955097</v>
      </c>
      <c r="X249" s="49">
        <v>954069</v>
      </c>
    </row>
    <row r="250" spans="2:24" x14ac:dyDescent="0.3">
      <c r="B250" s="49">
        <v>989132</v>
      </c>
      <c r="F250" s="49">
        <v>955066</v>
      </c>
      <c r="H250" s="49">
        <v>988730</v>
      </c>
      <c r="K250" s="49">
        <v>992554</v>
      </c>
      <c r="Q250" s="49">
        <v>940022</v>
      </c>
      <c r="R250" s="49">
        <v>992052</v>
      </c>
      <c r="S250" s="49">
        <v>988872</v>
      </c>
      <c r="T250" s="49">
        <v>997009</v>
      </c>
      <c r="U250" s="49">
        <v>990067</v>
      </c>
      <c r="V250" s="49">
        <v>988198</v>
      </c>
      <c r="W250" s="49">
        <v>988778</v>
      </c>
      <c r="X250" s="49">
        <v>981035</v>
      </c>
    </row>
    <row r="251" spans="2:24" x14ac:dyDescent="0.3">
      <c r="B251" s="49">
        <v>989137</v>
      </c>
      <c r="F251" s="49">
        <v>986170</v>
      </c>
      <c r="H251" s="49">
        <v>988359</v>
      </c>
      <c r="K251" s="49">
        <v>955101</v>
      </c>
      <c r="Q251" s="49">
        <v>989277</v>
      </c>
      <c r="R251" s="49">
        <v>968007</v>
      </c>
      <c r="S251" s="49">
        <v>978014</v>
      </c>
      <c r="T251" s="49">
        <v>980142</v>
      </c>
      <c r="U251" s="49">
        <v>955181</v>
      </c>
      <c r="V251" s="49">
        <v>966135</v>
      </c>
      <c r="W251" s="49">
        <v>968006</v>
      </c>
      <c r="X251" s="49">
        <v>981029</v>
      </c>
    </row>
    <row r="252" spans="2:24" x14ac:dyDescent="0.3">
      <c r="B252" s="49">
        <v>989140</v>
      </c>
      <c r="F252" s="49">
        <v>974007</v>
      </c>
      <c r="H252" s="49">
        <v>975090</v>
      </c>
      <c r="K252" s="49">
        <v>993123</v>
      </c>
      <c r="Q252" s="49">
        <v>989281</v>
      </c>
      <c r="R252" s="49">
        <v>980199</v>
      </c>
      <c r="S252" s="49">
        <v>982143</v>
      </c>
      <c r="T252" s="49">
        <v>986465</v>
      </c>
      <c r="U252" s="49">
        <v>988894</v>
      </c>
      <c r="V252" s="49">
        <v>975044</v>
      </c>
      <c r="W252" s="49">
        <v>986528</v>
      </c>
      <c r="X252" s="49">
        <v>954212</v>
      </c>
    </row>
    <row r="253" spans="2:24" x14ac:dyDescent="0.3">
      <c r="B253" s="49">
        <v>982146</v>
      </c>
      <c r="F253" s="49">
        <v>988362</v>
      </c>
      <c r="H253" s="49">
        <v>989158</v>
      </c>
      <c r="K253" s="49">
        <v>998120</v>
      </c>
      <c r="Q253" s="49">
        <v>989282</v>
      </c>
      <c r="R253" s="49">
        <v>940039</v>
      </c>
      <c r="S253" s="49">
        <v>988710</v>
      </c>
      <c r="T253" s="49">
        <v>986466</v>
      </c>
      <c r="U253" s="49">
        <v>988796</v>
      </c>
      <c r="V253" s="49">
        <v>992216</v>
      </c>
      <c r="W253" s="49">
        <v>986529</v>
      </c>
      <c r="X253" s="49">
        <v>988788</v>
      </c>
    </row>
    <row r="254" spans="2:24" x14ac:dyDescent="0.3">
      <c r="B254" s="49">
        <v>992527</v>
      </c>
      <c r="F254" s="49">
        <v>986165</v>
      </c>
      <c r="H254" s="49">
        <v>992686</v>
      </c>
      <c r="K254" s="49">
        <v>984109</v>
      </c>
      <c r="Q254" s="49">
        <v>989283</v>
      </c>
      <c r="R254" s="49">
        <v>940037</v>
      </c>
      <c r="S254" s="49">
        <v>988342</v>
      </c>
      <c r="T254" s="49">
        <v>986467</v>
      </c>
      <c r="U254" s="49">
        <v>994061</v>
      </c>
      <c r="V254" s="49">
        <v>979023</v>
      </c>
      <c r="W254" s="49">
        <v>986531</v>
      </c>
      <c r="X254" s="49">
        <v>998190</v>
      </c>
    </row>
    <row r="255" spans="2:24" x14ac:dyDescent="0.3">
      <c r="B255" s="49">
        <v>988102</v>
      </c>
      <c r="F255" s="49">
        <v>976097</v>
      </c>
      <c r="H255" s="49">
        <v>992809</v>
      </c>
      <c r="K255" s="49">
        <v>978048</v>
      </c>
      <c r="Q255" s="49">
        <v>989284</v>
      </c>
      <c r="R255" s="49">
        <v>992755</v>
      </c>
      <c r="S255" s="49">
        <v>988299</v>
      </c>
      <c r="T255" s="49">
        <v>988912</v>
      </c>
      <c r="U255" s="49">
        <v>994100</v>
      </c>
      <c r="V255" s="49">
        <v>994080</v>
      </c>
      <c r="W255" s="49">
        <v>986559</v>
      </c>
      <c r="X255" s="49">
        <v>989242</v>
      </c>
    </row>
    <row r="256" spans="2:24" x14ac:dyDescent="0.3">
      <c r="B256" s="49">
        <v>995036</v>
      </c>
      <c r="F256" s="49">
        <v>976098</v>
      </c>
      <c r="H256" s="49">
        <v>989014</v>
      </c>
      <c r="K256" s="49">
        <v>992233</v>
      </c>
      <c r="Q256" s="49">
        <v>989294</v>
      </c>
      <c r="R256" s="49">
        <v>982177</v>
      </c>
      <c r="S256" s="49">
        <v>980010</v>
      </c>
      <c r="T256" s="49">
        <v>996304</v>
      </c>
      <c r="U256" s="49">
        <v>986388</v>
      </c>
      <c r="V256" s="49">
        <v>966021</v>
      </c>
      <c r="W256" s="49">
        <v>986524</v>
      </c>
      <c r="X256" s="49">
        <v>972064</v>
      </c>
    </row>
    <row r="257" spans="2:24" x14ac:dyDescent="0.3">
      <c r="B257" s="49">
        <v>988754</v>
      </c>
      <c r="F257" s="49">
        <v>992197</v>
      </c>
      <c r="H257" s="49">
        <v>986054</v>
      </c>
      <c r="K257" s="49">
        <v>989305</v>
      </c>
      <c r="Q257" s="49">
        <v>989295</v>
      </c>
      <c r="R257" s="49">
        <v>978028</v>
      </c>
      <c r="S257" s="49">
        <v>980089</v>
      </c>
      <c r="T257" s="49">
        <v>995327</v>
      </c>
      <c r="U257" s="49">
        <v>986402</v>
      </c>
      <c r="V257" s="49">
        <v>986050</v>
      </c>
      <c r="W257" s="49">
        <v>982061</v>
      </c>
      <c r="X257" s="49">
        <v>985087</v>
      </c>
    </row>
    <row r="258" spans="2:24" x14ac:dyDescent="0.3">
      <c r="B258" s="49">
        <v>992351</v>
      </c>
      <c r="F258" s="49">
        <v>984057</v>
      </c>
      <c r="H258" s="49">
        <v>986144</v>
      </c>
      <c r="K258" s="49">
        <v>976029</v>
      </c>
      <c r="Q258" s="49">
        <v>989301</v>
      </c>
      <c r="R258" s="49">
        <v>986309</v>
      </c>
      <c r="S258" s="49">
        <v>976065</v>
      </c>
      <c r="T258" s="49">
        <v>996309</v>
      </c>
      <c r="U258" s="49">
        <v>982232</v>
      </c>
      <c r="V258" s="49">
        <v>986053</v>
      </c>
      <c r="W258" s="49">
        <v>986547</v>
      </c>
      <c r="X258" s="49">
        <v>985084</v>
      </c>
    </row>
    <row r="259" spans="2:24" x14ac:dyDescent="0.3">
      <c r="B259" s="49">
        <v>996158</v>
      </c>
      <c r="F259" s="49">
        <v>989344</v>
      </c>
      <c r="H259" s="49">
        <v>986188</v>
      </c>
      <c r="K259" s="49">
        <v>984024</v>
      </c>
      <c r="Q259" s="49">
        <v>992044</v>
      </c>
      <c r="R259" s="49">
        <v>954084</v>
      </c>
      <c r="S259" s="49">
        <v>980132</v>
      </c>
      <c r="T259" s="49">
        <v>989002</v>
      </c>
      <c r="U259" s="49">
        <v>986394</v>
      </c>
      <c r="V259" s="49">
        <v>954196</v>
      </c>
      <c r="W259" s="49">
        <v>988143</v>
      </c>
      <c r="X259" s="49">
        <v>991184</v>
      </c>
    </row>
    <row r="260" spans="2:24" x14ac:dyDescent="0.3">
      <c r="B260" s="49">
        <v>967017</v>
      </c>
      <c r="F260" s="49">
        <v>988775</v>
      </c>
      <c r="H260" s="49">
        <v>995028</v>
      </c>
      <c r="K260" s="49">
        <v>955104</v>
      </c>
      <c r="Q260" s="49">
        <v>986358</v>
      </c>
      <c r="R260" s="49">
        <v>988686</v>
      </c>
      <c r="S260" s="49">
        <v>986030</v>
      </c>
      <c r="T260" s="49">
        <v>954209</v>
      </c>
      <c r="U260" s="49">
        <v>982138</v>
      </c>
      <c r="V260" s="49">
        <v>966097</v>
      </c>
      <c r="W260" s="49">
        <v>989189</v>
      </c>
      <c r="X260" s="49">
        <v>976032</v>
      </c>
    </row>
    <row r="261" spans="2:24" x14ac:dyDescent="0.3">
      <c r="B261" s="49">
        <v>977017</v>
      </c>
      <c r="F261" s="49">
        <v>992163</v>
      </c>
      <c r="H261" s="49">
        <v>995052</v>
      </c>
      <c r="K261" s="49">
        <v>958024</v>
      </c>
      <c r="Q261" s="49">
        <v>988266</v>
      </c>
      <c r="R261" s="49">
        <v>965011</v>
      </c>
      <c r="S261" s="49">
        <v>988844</v>
      </c>
      <c r="T261" s="49">
        <v>954210</v>
      </c>
      <c r="U261" s="49">
        <v>955059</v>
      </c>
      <c r="V261" s="49">
        <v>986020</v>
      </c>
      <c r="W261" s="49">
        <v>993135</v>
      </c>
      <c r="X261" s="49">
        <v>963003</v>
      </c>
    </row>
    <row r="262" spans="2:24" x14ac:dyDescent="0.3">
      <c r="B262" s="49">
        <v>992046</v>
      </c>
      <c r="F262" s="49">
        <v>986244</v>
      </c>
      <c r="H262" s="49">
        <v>992030</v>
      </c>
      <c r="K262" s="49">
        <v>998018</v>
      </c>
      <c r="Q262" s="49">
        <v>988274</v>
      </c>
      <c r="R262" s="49">
        <v>988646</v>
      </c>
      <c r="S262" s="49">
        <v>954061</v>
      </c>
      <c r="T262" s="49">
        <v>986460</v>
      </c>
      <c r="U262" s="49">
        <v>966149</v>
      </c>
      <c r="V262" s="49">
        <v>988239</v>
      </c>
      <c r="W262" s="49">
        <v>988464</v>
      </c>
      <c r="X262" s="49">
        <v>972014</v>
      </c>
    </row>
    <row r="263" spans="2:24" x14ac:dyDescent="0.3">
      <c r="B263" s="49">
        <v>988529</v>
      </c>
      <c r="F263" s="49">
        <v>989220</v>
      </c>
      <c r="H263" s="49">
        <v>998124</v>
      </c>
      <c r="K263" s="49">
        <v>955144</v>
      </c>
      <c r="Q263" s="49">
        <v>966048</v>
      </c>
      <c r="R263" s="49">
        <v>992738</v>
      </c>
      <c r="S263" s="49">
        <v>992221</v>
      </c>
      <c r="T263" s="49">
        <v>986463</v>
      </c>
      <c r="U263" s="49">
        <v>994063</v>
      </c>
      <c r="V263" s="49">
        <v>988250</v>
      </c>
      <c r="W263" s="49">
        <v>982062</v>
      </c>
      <c r="X263" s="49">
        <v>972032</v>
      </c>
    </row>
    <row r="264" spans="2:24" x14ac:dyDescent="0.3">
      <c r="B264" s="49">
        <v>977019</v>
      </c>
      <c r="F264" s="49">
        <v>995106</v>
      </c>
      <c r="H264" s="49">
        <v>986159</v>
      </c>
      <c r="K264" s="49">
        <v>992769</v>
      </c>
      <c r="Q264" s="49">
        <v>966061</v>
      </c>
      <c r="R264" s="49">
        <v>978015</v>
      </c>
      <c r="S264" s="49">
        <v>988442</v>
      </c>
      <c r="T264" s="49">
        <v>986553</v>
      </c>
      <c r="U264" s="49">
        <v>986385</v>
      </c>
      <c r="V264" s="49">
        <v>966132</v>
      </c>
      <c r="W264" s="49">
        <v>988974</v>
      </c>
      <c r="X264" s="49">
        <v>972044</v>
      </c>
    </row>
    <row r="265" spans="2:24" x14ac:dyDescent="0.3">
      <c r="B265" s="49">
        <v>992361</v>
      </c>
      <c r="F265" s="49">
        <v>989324</v>
      </c>
      <c r="H265" s="49">
        <v>988494</v>
      </c>
      <c r="K265" s="49">
        <v>992574</v>
      </c>
      <c r="Q265" s="49">
        <v>966120</v>
      </c>
      <c r="R265" s="49">
        <v>965013</v>
      </c>
      <c r="S265" s="49">
        <v>996261</v>
      </c>
      <c r="T265" s="49">
        <v>976078</v>
      </c>
      <c r="U265" s="49">
        <v>992185</v>
      </c>
      <c r="V265" s="49">
        <v>975045</v>
      </c>
      <c r="W265" s="49">
        <v>954235</v>
      </c>
      <c r="X265" s="49">
        <v>986497</v>
      </c>
    </row>
    <row r="266" spans="2:24" x14ac:dyDescent="0.3">
      <c r="B266" s="49">
        <v>988750</v>
      </c>
      <c r="F266" s="49">
        <v>960040</v>
      </c>
      <c r="H266" s="49">
        <v>992146</v>
      </c>
      <c r="K266" s="49">
        <v>992090</v>
      </c>
      <c r="Q266" s="49">
        <v>966183</v>
      </c>
      <c r="R266" s="49">
        <v>992199</v>
      </c>
      <c r="S266" s="49">
        <v>996272</v>
      </c>
      <c r="T266" s="49">
        <v>986473</v>
      </c>
      <c r="U266" s="49">
        <v>955062</v>
      </c>
      <c r="V266" s="49">
        <v>989200</v>
      </c>
      <c r="W266" s="49">
        <v>989195</v>
      </c>
      <c r="X266" s="49">
        <v>988150</v>
      </c>
    </row>
    <row r="267" spans="2:24" x14ac:dyDescent="0.3">
      <c r="B267" s="49">
        <v>993040</v>
      </c>
      <c r="F267" s="49">
        <v>954207</v>
      </c>
      <c r="H267" s="49">
        <v>992578</v>
      </c>
      <c r="K267" s="49">
        <v>954107</v>
      </c>
      <c r="Q267" s="49">
        <v>966209</v>
      </c>
      <c r="R267" s="49">
        <v>986334</v>
      </c>
      <c r="S267" s="49">
        <v>986354</v>
      </c>
      <c r="T267" s="49">
        <v>982166</v>
      </c>
      <c r="U267" s="49">
        <v>986384</v>
      </c>
      <c r="V267" s="49">
        <v>982118</v>
      </c>
      <c r="W267" s="49">
        <v>992393</v>
      </c>
      <c r="X267" s="49">
        <v>994047</v>
      </c>
    </row>
    <row r="268" spans="2:24" x14ac:dyDescent="0.3">
      <c r="B268" s="49">
        <v>998014</v>
      </c>
      <c r="F268" s="49">
        <v>996093</v>
      </c>
      <c r="H268" s="49">
        <v>986031</v>
      </c>
      <c r="K268" s="49">
        <v>995255</v>
      </c>
      <c r="Q268" s="49">
        <v>989233</v>
      </c>
      <c r="R268" s="49">
        <v>984021</v>
      </c>
      <c r="S268" s="49">
        <v>991035</v>
      </c>
      <c r="T268" s="49">
        <v>982165</v>
      </c>
      <c r="U268" s="49">
        <v>982174</v>
      </c>
      <c r="V268" s="49">
        <v>988223</v>
      </c>
      <c r="W268" s="49">
        <v>988160</v>
      </c>
      <c r="X268" s="49">
        <v>994048</v>
      </c>
    </row>
    <row r="269" spans="2:24" x14ac:dyDescent="0.3">
      <c r="B269" s="49">
        <v>966019</v>
      </c>
      <c r="F269" s="49">
        <v>988116</v>
      </c>
      <c r="H269" s="49">
        <v>988498</v>
      </c>
      <c r="K269" s="49">
        <v>967018</v>
      </c>
      <c r="Q269" s="49">
        <v>996128</v>
      </c>
      <c r="R269" s="49">
        <v>988843</v>
      </c>
      <c r="S269" s="49">
        <v>996268</v>
      </c>
      <c r="T269" s="49">
        <v>982263</v>
      </c>
      <c r="U269" s="49">
        <v>998199</v>
      </c>
      <c r="V269" s="49">
        <v>988585</v>
      </c>
      <c r="W269" s="49">
        <v>954090</v>
      </c>
      <c r="X269" s="49">
        <v>992246</v>
      </c>
    </row>
    <row r="270" spans="2:24" x14ac:dyDescent="0.3">
      <c r="B270" s="49">
        <v>991111</v>
      </c>
      <c r="F270" s="49">
        <v>988493</v>
      </c>
      <c r="H270" s="49">
        <v>954215</v>
      </c>
      <c r="K270" s="49">
        <v>986228</v>
      </c>
      <c r="Q270" s="49">
        <v>992257</v>
      </c>
      <c r="R270" s="49">
        <v>980121</v>
      </c>
      <c r="S270" s="49">
        <v>956004</v>
      </c>
      <c r="T270" s="49">
        <v>994043</v>
      </c>
      <c r="U270" s="49">
        <v>982217</v>
      </c>
      <c r="V270" s="49">
        <v>988785</v>
      </c>
      <c r="W270" s="49">
        <v>988945</v>
      </c>
      <c r="X270" s="49">
        <v>980049</v>
      </c>
    </row>
    <row r="271" spans="2:24" x14ac:dyDescent="0.3">
      <c r="B271" s="49">
        <v>989142</v>
      </c>
      <c r="F271" s="49">
        <v>986240</v>
      </c>
      <c r="H271" s="49">
        <v>986283</v>
      </c>
      <c r="K271" s="49">
        <v>966067</v>
      </c>
      <c r="Q271" s="49">
        <v>992137</v>
      </c>
      <c r="R271" s="49">
        <v>988675</v>
      </c>
      <c r="S271" s="49">
        <v>954083</v>
      </c>
      <c r="T271" s="49">
        <v>988960</v>
      </c>
      <c r="U271" s="49">
        <v>966117</v>
      </c>
      <c r="V271" s="49">
        <v>986462</v>
      </c>
      <c r="W271" s="49">
        <v>972077</v>
      </c>
      <c r="X271" s="49">
        <v>975025</v>
      </c>
    </row>
    <row r="272" spans="2:24" x14ac:dyDescent="0.3">
      <c r="B272" s="49">
        <v>992280</v>
      </c>
      <c r="F272" s="49">
        <v>991108</v>
      </c>
      <c r="H272" s="49">
        <v>986147</v>
      </c>
      <c r="K272" s="49">
        <v>969011</v>
      </c>
      <c r="Q272" s="49">
        <v>988674</v>
      </c>
      <c r="R272" s="49">
        <v>954101</v>
      </c>
      <c r="S272" s="49">
        <v>988850</v>
      </c>
      <c r="T272" s="49">
        <v>995063</v>
      </c>
      <c r="U272" s="49">
        <v>966072</v>
      </c>
      <c r="V272" s="49">
        <v>966107</v>
      </c>
      <c r="W272" s="49">
        <v>986090</v>
      </c>
      <c r="X272" s="49">
        <v>980205</v>
      </c>
    </row>
    <row r="273" spans="2:24" x14ac:dyDescent="0.3">
      <c r="B273" s="49">
        <v>992079</v>
      </c>
      <c r="F273" s="49">
        <v>983114</v>
      </c>
      <c r="H273" s="49">
        <v>988917</v>
      </c>
      <c r="K273" s="49">
        <v>998011</v>
      </c>
      <c r="Q273" s="49">
        <v>988253</v>
      </c>
      <c r="R273" s="49">
        <v>996254</v>
      </c>
      <c r="S273" s="49">
        <v>995254</v>
      </c>
      <c r="T273" s="49">
        <v>966191</v>
      </c>
      <c r="U273" s="49">
        <v>985007</v>
      </c>
      <c r="V273" s="49">
        <v>988222</v>
      </c>
      <c r="W273" s="49">
        <v>982063</v>
      </c>
      <c r="X273" s="49">
        <v>990036</v>
      </c>
    </row>
    <row r="274" spans="2:24" x14ac:dyDescent="0.3">
      <c r="B274" s="49">
        <v>980109</v>
      </c>
      <c r="F274" s="49">
        <v>998143</v>
      </c>
      <c r="H274" s="49">
        <v>998159</v>
      </c>
      <c r="K274" s="49">
        <v>992062</v>
      </c>
      <c r="Q274" s="49">
        <v>988264</v>
      </c>
      <c r="R274" s="49">
        <v>992362</v>
      </c>
      <c r="S274" s="49">
        <v>978007</v>
      </c>
      <c r="T274" s="49">
        <v>966194</v>
      </c>
      <c r="U274" s="49">
        <v>982169</v>
      </c>
      <c r="V274" s="49">
        <v>982119</v>
      </c>
      <c r="W274" s="49">
        <v>988961</v>
      </c>
      <c r="X274" s="49">
        <v>988474</v>
      </c>
    </row>
    <row r="275" spans="2:24" x14ac:dyDescent="0.3">
      <c r="B275" s="49">
        <v>988819</v>
      </c>
      <c r="F275" s="49">
        <v>991144</v>
      </c>
      <c r="H275" s="49">
        <v>988137</v>
      </c>
      <c r="K275" s="49">
        <v>954094</v>
      </c>
      <c r="Q275" s="49">
        <v>988272</v>
      </c>
      <c r="R275" s="49">
        <v>978008</v>
      </c>
      <c r="S275" s="49">
        <v>966142</v>
      </c>
      <c r="T275" s="49">
        <v>980029</v>
      </c>
      <c r="U275" s="49">
        <v>940031</v>
      </c>
      <c r="V275" s="49">
        <v>975130</v>
      </c>
      <c r="W275" s="49">
        <v>988922</v>
      </c>
      <c r="X275" s="49">
        <v>989243</v>
      </c>
    </row>
    <row r="276" spans="2:24" x14ac:dyDescent="0.3">
      <c r="B276" s="49">
        <v>966098</v>
      </c>
      <c r="F276" s="49">
        <v>968010</v>
      </c>
      <c r="H276" s="49">
        <v>988602</v>
      </c>
      <c r="K276" s="49">
        <v>984026</v>
      </c>
      <c r="Q276" s="49">
        <v>988280</v>
      </c>
      <c r="R276" s="49">
        <v>995166</v>
      </c>
      <c r="S276" s="49">
        <v>978005</v>
      </c>
      <c r="T276" s="49">
        <v>980183</v>
      </c>
      <c r="U276" s="49">
        <v>982171</v>
      </c>
      <c r="V276" s="49">
        <v>954188</v>
      </c>
      <c r="W276" s="49">
        <v>971044</v>
      </c>
      <c r="X276" s="49">
        <v>992105</v>
      </c>
    </row>
    <row r="277" spans="2:24" x14ac:dyDescent="0.3">
      <c r="B277" s="49">
        <v>992372</v>
      </c>
      <c r="F277" s="49">
        <v>955014</v>
      </c>
      <c r="H277" s="49">
        <v>992383</v>
      </c>
      <c r="K277" s="49">
        <v>998121</v>
      </c>
      <c r="Q277" s="49">
        <v>988285</v>
      </c>
      <c r="R277" s="49">
        <v>995170</v>
      </c>
      <c r="S277" s="49">
        <v>992207</v>
      </c>
      <c r="T277" s="49">
        <v>993061</v>
      </c>
      <c r="U277" s="49">
        <v>987017</v>
      </c>
      <c r="V277" s="49">
        <v>991177</v>
      </c>
      <c r="W277" s="49">
        <v>954152</v>
      </c>
      <c r="X277" s="49">
        <v>991086</v>
      </c>
    </row>
    <row r="278" spans="2:24" x14ac:dyDescent="0.3">
      <c r="B278" s="49">
        <v>992683</v>
      </c>
      <c r="F278" s="49">
        <v>982203</v>
      </c>
      <c r="H278" s="49">
        <v>988124</v>
      </c>
      <c r="K278" s="49">
        <v>954158</v>
      </c>
      <c r="Q278" s="49">
        <v>988293</v>
      </c>
      <c r="R278" s="49">
        <v>978004</v>
      </c>
      <c r="S278" s="49">
        <v>985025</v>
      </c>
      <c r="T278" s="49">
        <v>986577</v>
      </c>
      <c r="U278" s="49">
        <v>995078</v>
      </c>
      <c r="V278" s="49">
        <v>988208</v>
      </c>
      <c r="W278" s="49">
        <v>979018</v>
      </c>
      <c r="X278" s="49">
        <v>989071</v>
      </c>
    </row>
    <row r="279" spans="2:24" x14ac:dyDescent="0.3">
      <c r="B279" s="49">
        <v>996035</v>
      </c>
      <c r="F279" s="49">
        <v>975168</v>
      </c>
      <c r="H279" s="49">
        <v>979054</v>
      </c>
      <c r="K279" s="49">
        <v>972061</v>
      </c>
      <c r="Q279" s="49">
        <v>988834</v>
      </c>
      <c r="R279" s="49">
        <v>992138</v>
      </c>
      <c r="S279" s="49">
        <v>988613</v>
      </c>
      <c r="T279" s="49">
        <v>989299</v>
      </c>
      <c r="U279" s="49">
        <v>989204</v>
      </c>
      <c r="V279" s="49">
        <v>989319</v>
      </c>
      <c r="W279" s="49">
        <v>954234</v>
      </c>
      <c r="X279" s="49">
        <v>994054</v>
      </c>
    </row>
    <row r="280" spans="2:24" x14ac:dyDescent="0.3">
      <c r="B280" s="49">
        <v>988733</v>
      </c>
      <c r="F280" s="49">
        <v>995142</v>
      </c>
      <c r="H280" s="49">
        <v>989307</v>
      </c>
      <c r="K280" s="49">
        <v>972011</v>
      </c>
      <c r="Q280" s="49">
        <v>981024</v>
      </c>
      <c r="R280" s="49">
        <v>985080</v>
      </c>
      <c r="S280" s="49">
        <v>985019</v>
      </c>
      <c r="T280" s="49">
        <v>988937</v>
      </c>
      <c r="U280" s="49">
        <v>975095</v>
      </c>
      <c r="V280" s="49">
        <v>992226</v>
      </c>
      <c r="W280" s="49">
        <v>989083</v>
      </c>
      <c r="X280" s="49">
        <v>982202</v>
      </c>
    </row>
    <row r="281" spans="2:24" x14ac:dyDescent="0.3">
      <c r="B281" s="49">
        <v>988506</v>
      </c>
      <c r="F281" s="49">
        <v>995226</v>
      </c>
      <c r="H281" s="49">
        <v>955185</v>
      </c>
      <c r="K281" s="49">
        <v>966153</v>
      </c>
      <c r="Q281" s="49">
        <v>989175</v>
      </c>
      <c r="R281" s="49">
        <v>966184</v>
      </c>
      <c r="S281" s="49">
        <v>988688</v>
      </c>
      <c r="T281" s="49">
        <v>988965</v>
      </c>
      <c r="U281" s="49">
        <v>996227</v>
      </c>
      <c r="V281" s="49">
        <v>975182</v>
      </c>
      <c r="W281" s="49">
        <v>990047</v>
      </c>
      <c r="X281" s="49">
        <v>981085</v>
      </c>
    </row>
    <row r="282" spans="2:24" x14ac:dyDescent="0.3">
      <c r="B282" s="49">
        <v>992209</v>
      </c>
      <c r="F282" s="49">
        <v>986556</v>
      </c>
      <c r="H282" s="49">
        <v>980176</v>
      </c>
      <c r="Q282" s="49">
        <v>992329</v>
      </c>
      <c r="R282" s="49">
        <v>995214</v>
      </c>
      <c r="S282" s="49">
        <v>995168</v>
      </c>
      <c r="T282" s="49">
        <v>986445</v>
      </c>
      <c r="U282" s="49">
        <v>996031</v>
      </c>
      <c r="V282" s="49">
        <v>966082</v>
      </c>
      <c r="W282" s="49">
        <v>993025</v>
      </c>
      <c r="X282" s="49">
        <v>989336</v>
      </c>
    </row>
    <row r="283" spans="2:24" x14ac:dyDescent="0.3">
      <c r="B283" s="49">
        <v>998167</v>
      </c>
      <c r="F283" s="49">
        <v>995319</v>
      </c>
      <c r="H283" s="49">
        <v>986564</v>
      </c>
      <c r="Q283" s="49">
        <v>992590</v>
      </c>
      <c r="R283" s="49">
        <v>982179</v>
      </c>
      <c r="S283" s="49">
        <v>995169</v>
      </c>
      <c r="T283" s="49">
        <v>982242</v>
      </c>
      <c r="U283" s="49">
        <v>982170</v>
      </c>
      <c r="V283" s="49">
        <v>982251</v>
      </c>
      <c r="W283" s="49">
        <v>996196</v>
      </c>
      <c r="X283" s="49">
        <v>954020</v>
      </c>
    </row>
    <row r="284" spans="2:24" x14ac:dyDescent="0.3">
      <c r="B284" s="49">
        <v>972013</v>
      </c>
      <c r="F284" s="49">
        <v>998154</v>
      </c>
      <c r="H284" s="49">
        <v>992422</v>
      </c>
      <c r="Q284" s="49">
        <v>996121</v>
      </c>
      <c r="R284" s="49">
        <v>992806</v>
      </c>
      <c r="S284" s="49">
        <v>996118</v>
      </c>
      <c r="T284" s="49">
        <v>989302</v>
      </c>
      <c r="U284" s="49">
        <v>988211</v>
      </c>
      <c r="V284" s="49">
        <v>991132</v>
      </c>
      <c r="W284" s="49">
        <v>986532</v>
      </c>
      <c r="X284" s="49">
        <v>989074</v>
      </c>
    </row>
    <row r="285" spans="2:24" x14ac:dyDescent="0.3">
      <c r="B285" s="49">
        <v>998203</v>
      </c>
      <c r="F285" s="49">
        <v>992653</v>
      </c>
      <c r="H285" s="49">
        <v>989017</v>
      </c>
      <c r="Q285" s="49">
        <v>996127</v>
      </c>
      <c r="R285" s="49">
        <v>996251</v>
      </c>
      <c r="S285" s="49">
        <v>996120</v>
      </c>
      <c r="T285" s="49">
        <v>966185</v>
      </c>
      <c r="U285" s="49">
        <v>988549</v>
      </c>
      <c r="V285" s="49">
        <v>986286</v>
      </c>
      <c r="W285" s="49">
        <v>986521</v>
      </c>
    </row>
    <row r="286" spans="2:24" x14ac:dyDescent="0.3">
      <c r="B286" s="49">
        <v>975067</v>
      </c>
      <c r="F286" s="49">
        <v>995191</v>
      </c>
      <c r="H286" s="49">
        <v>982038</v>
      </c>
      <c r="Q286" s="49">
        <v>996130</v>
      </c>
      <c r="R286" s="49">
        <v>996252</v>
      </c>
      <c r="S286" s="49">
        <v>985078</v>
      </c>
      <c r="T286" s="49">
        <v>995300</v>
      </c>
      <c r="U286" s="49">
        <v>988920</v>
      </c>
      <c r="V286" s="49">
        <v>955017</v>
      </c>
      <c r="W286" s="49">
        <v>998043</v>
      </c>
    </row>
    <row r="287" spans="2:24" x14ac:dyDescent="0.3">
      <c r="B287" s="49">
        <v>975055</v>
      </c>
      <c r="F287" s="49">
        <v>992353</v>
      </c>
      <c r="H287" s="49">
        <v>992205</v>
      </c>
      <c r="Q287" s="49">
        <v>988591</v>
      </c>
      <c r="R287" s="49">
        <v>996253</v>
      </c>
      <c r="S287" s="49">
        <v>988301</v>
      </c>
      <c r="T287" s="49">
        <v>954029</v>
      </c>
      <c r="U287" s="49">
        <v>940106</v>
      </c>
      <c r="V287" s="49">
        <v>975175</v>
      </c>
      <c r="W287" s="49">
        <v>989260</v>
      </c>
    </row>
    <row r="288" spans="2:24" x14ac:dyDescent="0.3">
      <c r="B288" s="49">
        <v>975056</v>
      </c>
      <c r="F288" s="49">
        <v>988734</v>
      </c>
      <c r="H288" s="49">
        <v>991142</v>
      </c>
      <c r="Q288" s="49">
        <v>989116</v>
      </c>
      <c r="R288" s="49">
        <v>996255</v>
      </c>
      <c r="S288" s="49">
        <v>982142</v>
      </c>
      <c r="T288" s="49">
        <v>967040</v>
      </c>
      <c r="U288" s="49">
        <v>986576</v>
      </c>
      <c r="V288" s="49">
        <v>966168</v>
      </c>
      <c r="W288" s="49">
        <v>995084</v>
      </c>
    </row>
    <row r="289" spans="2:23" x14ac:dyDescent="0.3">
      <c r="B289" s="49">
        <v>966181</v>
      </c>
      <c r="F289" s="49">
        <v>988714</v>
      </c>
      <c r="H289" s="49">
        <v>968012</v>
      </c>
      <c r="Q289" s="49">
        <v>979013</v>
      </c>
      <c r="R289" s="49">
        <v>996258</v>
      </c>
      <c r="S289" s="49">
        <v>988871</v>
      </c>
      <c r="T289" s="49">
        <v>978068</v>
      </c>
      <c r="U289" s="49">
        <v>992772</v>
      </c>
      <c r="V289" s="49">
        <v>986430</v>
      </c>
      <c r="W289" s="49">
        <v>986513</v>
      </c>
    </row>
    <row r="290" spans="2:23" x14ac:dyDescent="0.3">
      <c r="B290" s="49">
        <v>975080</v>
      </c>
      <c r="F290" s="49">
        <v>954227</v>
      </c>
      <c r="H290" s="49">
        <v>992099</v>
      </c>
      <c r="Q290" s="49">
        <v>966084</v>
      </c>
      <c r="R290" s="49">
        <v>954102</v>
      </c>
      <c r="S290" s="49">
        <v>988683</v>
      </c>
      <c r="T290" s="49">
        <v>986440</v>
      </c>
      <c r="U290" s="49">
        <v>976026</v>
      </c>
      <c r="V290" s="49">
        <v>986542</v>
      </c>
      <c r="W290" s="49">
        <v>955216</v>
      </c>
    </row>
    <row r="291" spans="2:23" x14ac:dyDescent="0.3">
      <c r="B291" s="49">
        <v>955116</v>
      </c>
      <c r="F291" s="49">
        <v>989341</v>
      </c>
      <c r="H291" s="49">
        <v>986070</v>
      </c>
      <c r="Q291" s="49">
        <v>992259</v>
      </c>
      <c r="R291" s="49">
        <v>982178</v>
      </c>
      <c r="S291" s="49">
        <v>940075</v>
      </c>
      <c r="T291" s="49">
        <v>993125</v>
      </c>
      <c r="U291" s="49">
        <v>995277</v>
      </c>
      <c r="V291" s="49">
        <v>998135</v>
      </c>
      <c r="W291" s="49">
        <v>989186</v>
      </c>
    </row>
    <row r="292" spans="2:23" x14ac:dyDescent="0.3">
      <c r="B292" s="49">
        <v>956009</v>
      </c>
      <c r="F292" s="49">
        <v>996025</v>
      </c>
      <c r="H292" s="49">
        <v>954123</v>
      </c>
      <c r="Q292" s="49">
        <v>992255</v>
      </c>
      <c r="R292" s="49">
        <v>988333</v>
      </c>
      <c r="S292" s="49">
        <v>981046</v>
      </c>
      <c r="T292" s="49">
        <v>986435</v>
      </c>
      <c r="U292" s="49">
        <v>975149</v>
      </c>
      <c r="V292" s="49">
        <v>986048</v>
      </c>
      <c r="W292" s="49">
        <v>989008</v>
      </c>
    </row>
    <row r="293" spans="2:23" x14ac:dyDescent="0.3">
      <c r="B293" s="49">
        <v>975129</v>
      </c>
      <c r="F293" s="49">
        <v>988049</v>
      </c>
      <c r="H293" s="49">
        <v>954138</v>
      </c>
      <c r="Q293" s="49">
        <v>988607</v>
      </c>
      <c r="R293" s="49">
        <v>980194</v>
      </c>
      <c r="S293" s="49">
        <v>972002</v>
      </c>
      <c r="T293" s="49">
        <v>995244</v>
      </c>
      <c r="U293" s="49">
        <v>990057</v>
      </c>
      <c r="V293" s="49">
        <v>966015</v>
      </c>
      <c r="W293" s="49">
        <v>993116</v>
      </c>
    </row>
    <row r="294" spans="2:23" x14ac:dyDescent="0.3">
      <c r="B294" s="49">
        <v>958026</v>
      </c>
      <c r="F294" s="49">
        <v>995198</v>
      </c>
      <c r="H294" s="49">
        <v>940097</v>
      </c>
      <c r="Q294" s="49">
        <v>962008</v>
      </c>
      <c r="R294" s="49">
        <v>979038</v>
      </c>
      <c r="S294" s="49">
        <v>972003</v>
      </c>
      <c r="T294" s="49">
        <v>997006</v>
      </c>
      <c r="U294" s="49">
        <v>966165</v>
      </c>
      <c r="V294" s="49">
        <v>966031</v>
      </c>
      <c r="W294" s="49">
        <v>996391</v>
      </c>
    </row>
    <row r="295" spans="2:23" x14ac:dyDescent="0.3">
      <c r="B295" s="49">
        <v>975037</v>
      </c>
      <c r="F295" s="49">
        <v>954278</v>
      </c>
      <c r="H295" s="49">
        <v>992047</v>
      </c>
      <c r="Q295" s="49">
        <v>992260</v>
      </c>
      <c r="R295" s="49">
        <v>986307</v>
      </c>
      <c r="S295" s="49">
        <v>972025</v>
      </c>
      <c r="T295" s="49">
        <v>982262</v>
      </c>
      <c r="U295" s="49">
        <v>992762</v>
      </c>
      <c r="V295" s="49">
        <v>986413</v>
      </c>
      <c r="W295" s="49">
        <v>955080</v>
      </c>
    </row>
    <row r="296" spans="2:23" x14ac:dyDescent="0.3">
      <c r="B296" s="49">
        <v>956018</v>
      </c>
      <c r="F296" s="49">
        <v>995136</v>
      </c>
      <c r="H296" s="49">
        <v>995013</v>
      </c>
      <c r="Q296" s="49">
        <v>966053</v>
      </c>
      <c r="R296" s="49">
        <v>967026</v>
      </c>
      <c r="S296" s="49">
        <v>972021</v>
      </c>
      <c r="T296" s="49">
        <v>989300</v>
      </c>
      <c r="U296" s="49">
        <v>983109</v>
      </c>
      <c r="V296" s="49">
        <v>994031</v>
      </c>
      <c r="W296" s="49">
        <v>955058</v>
      </c>
    </row>
    <row r="297" spans="2:23" x14ac:dyDescent="0.3">
      <c r="B297" s="49">
        <v>966099</v>
      </c>
      <c r="F297" s="49">
        <v>995172</v>
      </c>
      <c r="H297" s="49">
        <v>988135</v>
      </c>
      <c r="Q297" s="49">
        <v>986366</v>
      </c>
      <c r="R297" s="49">
        <v>988334</v>
      </c>
      <c r="S297" s="49">
        <v>989346</v>
      </c>
      <c r="T297" s="49">
        <v>989310</v>
      </c>
      <c r="U297" s="49">
        <v>992236</v>
      </c>
      <c r="V297" s="49">
        <v>986431</v>
      </c>
      <c r="W297" s="49">
        <v>985056</v>
      </c>
    </row>
    <row r="298" spans="2:23" x14ac:dyDescent="0.3">
      <c r="B298" s="49">
        <v>966121</v>
      </c>
      <c r="F298" s="49">
        <v>995181</v>
      </c>
      <c r="H298" s="49">
        <v>991030</v>
      </c>
      <c r="Q298" s="49">
        <v>996124</v>
      </c>
      <c r="R298" s="49">
        <v>982176</v>
      </c>
      <c r="S298" s="49">
        <v>940084</v>
      </c>
      <c r="T298" s="49">
        <v>991152</v>
      </c>
      <c r="U298" s="49">
        <v>955011</v>
      </c>
      <c r="V298" s="49">
        <v>994085</v>
      </c>
      <c r="W298" s="49">
        <v>992460</v>
      </c>
    </row>
    <row r="299" spans="2:23" x14ac:dyDescent="0.3">
      <c r="B299" s="49">
        <v>958023</v>
      </c>
      <c r="F299" s="49">
        <v>995174</v>
      </c>
      <c r="H299" s="49">
        <v>985037</v>
      </c>
      <c r="Q299" s="49">
        <v>996126</v>
      </c>
      <c r="R299" s="49">
        <v>989322</v>
      </c>
      <c r="S299" s="49">
        <v>966093</v>
      </c>
      <c r="T299" s="49">
        <v>993094</v>
      </c>
      <c r="U299" s="49">
        <v>984033</v>
      </c>
      <c r="V299" s="49">
        <v>980143</v>
      </c>
      <c r="W299" s="49">
        <v>998107</v>
      </c>
    </row>
    <row r="300" spans="2:23" x14ac:dyDescent="0.3">
      <c r="B300" s="49">
        <v>998179</v>
      </c>
      <c r="F300" s="49">
        <v>976094</v>
      </c>
      <c r="H300" s="49">
        <v>991134</v>
      </c>
      <c r="Q300" s="49">
        <v>996129</v>
      </c>
      <c r="R300" s="49">
        <v>984010</v>
      </c>
      <c r="S300" s="49">
        <v>986355</v>
      </c>
      <c r="T300" s="49">
        <v>981094</v>
      </c>
      <c r="U300" s="49">
        <v>996224</v>
      </c>
      <c r="V300" s="49">
        <v>989166</v>
      </c>
      <c r="W300" s="49">
        <v>992471</v>
      </c>
    </row>
    <row r="301" spans="2:23" x14ac:dyDescent="0.3">
      <c r="B301" s="49">
        <v>988751</v>
      </c>
      <c r="F301" s="49">
        <v>995012</v>
      </c>
      <c r="H301" s="49">
        <v>992335</v>
      </c>
      <c r="Q301" s="49">
        <v>986313</v>
      </c>
      <c r="R301" s="49">
        <v>955189</v>
      </c>
      <c r="S301" s="49">
        <v>976055</v>
      </c>
      <c r="T301" s="49">
        <v>940088</v>
      </c>
      <c r="U301" s="49">
        <v>996225</v>
      </c>
      <c r="V301" s="49">
        <v>991105</v>
      </c>
      <c r="W301" s="49">
        <v>986548</v>
      </c>
    </row>
    <row r="302" spans="2:23" x14ac:dyDescent="0.3">
      <c r="B302" s="49">
        <v>988724</v>
      </c>
      <c r="F302" s="49">
        <v>980048</v>
      </c>
      <c r="H302" s="49">
        <v>975027</v>
      </c>
      <c r="Q302" s="49">
        <v>940072</v>
      </c>
      <c r="R302" s="49">
        <v>988879</v>
      </c>
      <c r="S302" s="49">
        <v>990059</v>
      </c>
      <c r="T302" s="49">
        <v>966151</v>
      </c>
      <c r="U302" s="49">
        <v>996228</v>
      </c>
      <c r="V302" s="49">
        <v>980037</v>
      </c>
      <c r="W302" s="49">
        <v>992192</v>
      </c>
    </row>
    <row r="303" spans="2:23" x14ac:dyDescent="0.3">
      <c r="B303" s="49">
        <v>955165</v>
      </c>
      <c r="F303" s="49">
        <v>992704</v>
      </c>
      <c r="H303" s="49">
        <v>975088</v>
      </c>
      <c r="Q303" s="49">
        <v>988262</v>
      </c>
      <c r="R303" s="49">
        <v>989081</v>
      </c>
      <c r="S303" s="49">
        <v>988335</v>
      </c>
      <c r="T303" s="49">
        <v>956027</v>
      </c>
      <c r="U303" s="49">
        <v>982168</v>
      </c>
      <c r="V303" s="49">
        <v>986403</v>
      </c>
      <c r="W303" s="49">
        <v>986501</v>
      </c>
    </row>
    <row r="304" spans="2:23" x14ac:dyDescent="0.3">
      <c r="B304" s="49">
        <v>979020</v>
      </c>
      <c r="F304" s="49">
        <v>985064</v>
      </c>
      <c r="H304" s="49">
        <v>998138</v>
      </c>
      <c r="Q304" s="49">
        <v>988265</v>
      </c>
      <c r="R304" s="49">
        <v>955172</v>
      </c>
      <c r="S304" s="49">
        <v>995165</v>
      </c>
      <c r="T304" s="49">
        <v>992813</v>
      </c>
      <c r="U304" s="49">
        <v>996226</v>
      </c>
      <c r="V304" s="49">
        <v>988584</v>
      </c>
      <c r="W304" s="49">
        <v>992598</v>
      </c>
    </row>
    <row r="305" spans="2:23" x14ac:dyDescent="0.3">
      <c r="B305" s="49">
        <v>940011</v>
      </c>
      <c r="F305" s="49">
        <v>995140</v>
      </c>
      <c r="H305" s="49">
        <v>940082</v>
      </c>
      <c r="Q305" s="49">
        <v>988270</v>
      </c>
      <c r="R305" s="49">
        <v>992434</v>
      </c>
      <c r="S305" s="49">
        <v>980066</v>
      </c>
      <c r="T305" s="49">
        <v>994104</v>
      </c>
      <c r="U305" s="49">
        <v>988237</v>
      </c>
      <c r="V305" s="49">
        <v>988230</v>
      </c>
      <c r="W305" s="49">
        <v>975065</v>
      </c>
    </row>
    <row r="306" spans="2:23" x14ac:dyDescent="0.3">
      <c r="B306" s="49">
        <v>982194</v>
      </c>
      <c r="F306" s="49">
        <v>996008</v>
      </c>
      <c r="H306" s="49">
        <v>954119</v>
      </c>
      <c r="Q306" s="49">
        <v>988283</v>
      </c>
      <c r="R306" s="49">
        <v>980102</v>
      </c>
      <c r="S306" s="49">
        <v>978006</v>
      </c>
      <c r="T306" s="49">
        <v>955210</v>
      </c>
      <c r="U306" s="49">
        <v>996174</v>
      </c>
      <c r="V306" s="49">
        <v>998142</v>
      </c>
      <c r="W306" s="49">
        <v>992644</v>
      </c>
    </row>
    <row r="307" spans="2:23" x14ac:dyDescent="0.3">
      <c r="B307" s="49">
        <v>998095</v>
      </c>
      <c r="F307" s="49">
        <v>956016</v>
      </c>
      <c r="H307" s="49">
        <v>988501</v>
      </c>
      <c r="Q307" s="49">
        <v>988289</v>
      </c>
      <c r="R307" s="49">
        <v>984115</v>
      </c>
      <c r="S307" s="49">
        <v>976074</v>
      </c>
      <c r="T307" s="49">
        <v>955060</v>
      </c>
      <c r="U307" s="49">
        <v>966075</v>
      </c>
      <c r="V307" s="49">
        <v>966063</v>
      </c>
      <c r="W307" s="49">
        <v>993026</v>
      </c>
    </row>
    <row r="308" spans="2:23" x14ac:dyDescent="0.3">
      <c r="B308" s="49">
        <v>998189</v>
      </c>
      <c r="F308" s="49">
        <v>995138</v>
      </c>
      <c r="H308" s="49">
        <v>986184</v>
      </c>
      <c r="Q308" s="49">
        <v>988290</v>
      </c>
      <c r="R308" s="49">
        <v>992792</v>
      </c>
      <c r="S308" s="49">
        <v>982223</v>
      </c>
      <c r="T308" s="49">
        <v>966208</v>
      </c>
      <c r="U308" s="49">
        <v>994014</v>
      </c>
      <c r="V308" s="49">
        <v>988808</v>
      </c>
      <c r="W308" s="49">
        <v>986500</v>
      </c>
    </row>
    <row r="309" spans="2:23" x14ac:dyDescent="0.3">
      <c r="B309" s="49">
        <v>979046</v>
      </c>
      <c r="F309" s="49">
        <v>996056</v>
      </c>
      <c r="H309" s="49">
        <v>992492</v>
      </c>
      <c r="Q309" s="49">
        <v>988603</v>
      </c>
      <c r="R309" s="49">
        <v>940020</v>
      </c>
      <c r="S309" s="49">
        <v>992741</v>
      </c>
      <c r="T309" s="49">
        <v>966134</v>
      </c>
      <c r="U309" s="49">
        <v>991163</v>
      </c>
      <c r="V309" s="49">
        <v>954214</v>
      </c>
      <c r="W309" s="49">
        <v>984007</v>
      </c>
    </row>
    <row r="310" spans="2:23" x14ac:dyDescent="0.3">
      <c r="B310" s="49">
        <v>996396</v>
      </c>
      <c r="H310" s="49">
        <v>954197</v>
      </c>
      <c r="Q310" s="49">
        <v>988625</v>
      </c>
      <c r="R310" s="49">
        <v>990033</v>
      </c>
      <c r="S310" s="49">
        <v>954091</v>
      </c>
      <c r="T310" s="49">
        <v>955211</v>
      </c>
      <c r="U310" s="49">
        <v>958016</v>
      </c>
      <c r="V310" s="49">
        <v>954204</v>
      </c>
      <c r="W310" s="49">
        <v>975019</v>
      </c>
    </row>
    <row r="311" spans="2:23" x14ac:dyDescent="0.3">
      <c r="B311" s="49">
        <v>940027</v>
      </c>
      <c r="H311" s="49">
        <v>996092</v>
      </c>
      <c r="Q311" s="49">
        <v>988628</v>
      </c>
      <c r="R311" s="49">
        <v>982185</v>
      </c>
      <c r="S311" s="49">
        <v>979028</v>
      </c>
      <c r="T311" s="49">
        <v>966009</v>
      </c>
      <c r="U311" s="49">
        <v>967025</v>
      </c>
      <c r="V311" s="49">
        <v>988976</v>
      </c>
      <c r="W311" s="49">
        <v>996406</v>
      </c>
    </row>
    <row r="312" spans="2:23" x14ac:dyDescent="0.3">
      <c r="B312" s="49">
        <v>977042</v>
      </c>
      <c r="H312" s="49">
        <v>998134</v>
      </c>
      <c r="Q312" s="49">
        <v>988832</v>
      </c>
      <c r="R312" s="49">
        <v>994013</v>
      </c>
      <c r="S312" s="49">
        <v>979059</v>
      </c>
      <c r="T312" s="49">
        <v>975094</v>
      </c>
      <c r="U312" s="49">
        <v>966050</v>
      </c>
      <c r="V312" s="49">
        <v>966083</v>
      </c>
      <c r="W312" s="49">
        <v>966092</v>
      </c>
    </row>
    <row r="313" spans="2:23" x14ac:dyDescent="0.3">
      <c r="B313" s="49">
        <v>992081</v>
      </c>
      <c r="H313" s="49">
        <v>954002</v>
      </c>
      <c r="Q313" s="49">
        <v>988924</v>
      </c>
      <c r="R313" s="49">
        <v>994011</v>
      </c>
      <c r="S313" s="49">
        <v>988662</v>
      </c>
      <c r="T313" s="49">
        <v>975076</v>
      </c>
      <c r="U313" s="49">
        <v>996223</v>
      </c>
      <c r="V313" s="49">
        <v>954216</v>
      </c>
      <c r="W313" s="49">
        <v>940045</v>
      </c>
    </row>
    <row r="314" spans="2:23" x14ac:dyDescent="0.3">
      <c r="B314" s="49">
        <v>954075</v>
      </c>
      <c r="H314" s="49">
        <v>960021</v>
      </c>
      <c r="Q314" s="49">
        <v>993027</v>
      </c>
      <c r="R314" s="49">
        <v>940017</v>
      </c>
      <c r="S314" s="49">
        <v>982144</v>
      </c>
      <c r="T314" s="49">
        <v>940102</v>
      </c>
      <c r="U314" s="49">
        <v>986052</v>
      </c>
      <c r="V314" s="49">
        <v>985012</v>
      </c>
      <c r="W314" s="49">
        <v>988480</v>
      </c>
    </row>
    <row r="315" spans="2:23" x14ac:dyDescent="0.3">
      <c r="B315" s="49">
        <v>992294</v>
      </c>
      <c r="H315" s="49">
        <v>988928</v>
      </c>
      <c r="Q315" s="49">
        <v>986377</v>
      </c>
      <c r="R315" s="49">
        <v>989308</v>
      </c>
      <c r="S315" s="49">
        <v>971048</v>
      </c>
      <c r="T315" s="49">
        <v>966006</v>
      </c>
      <c r="U315" s="49">
        <v>996221</v>
      </c>
      <c r="V315" s="49">
        <v>988203</v>
      </c>
      <c r="W315" s="49">
        <v>954154</v>
      </c>
    </row>
    <row r="316" spans="2:23" x14ac:dyDescent="0.3">
      <c r="B316" s="49">
        <v>984056</v>
      </c>
      <c r="H316" s="49">
        <v>996094</v>
      </c>
      <c r="Q316" s="49">
        <v>986380</v>
      </c>
      <c r="R316" s="49">
        <v>992619</v>
      </c>
      <c r="S316" s="49">
        <v>988852</v>
      </c>
      <c r="T316" s="49">
        <v>966141</v>
      </c>
      <c r="U316" s="49">
        <v>996222</v>
      </c>
      <c r="V316" s="49">
        <v>988217</v>
      </c>
      <c r="W316" s="49">
        <v>954072</v>
      </c>
    </row>
    <row r="317" spans="2:23" x14ac:dyDescent="0.3">
      <c r="B317" s="49">
        <v>992369</v>
      </c>
      <c r="H317" s="49">
        <v>955228</v>
      </c>
      <c r="Q317" s="49">
        <v>992341</v>
      </c>
      <c r="R317" s="49">
        <v>978052</v>
      </c>
      <c r="S317" s="49">
        <v>988868</v>
      </c>
      <c r="T317" s="49">
        <v>956008</v>
      </c>
      <c r="U317" s="49">
        <v>996232</v>
      </c>
      <c r="V317" s="49">
        <v>998041</v>
      </c>
      <c r="W317" s="49">
        <v>998205</v>
      </c>
    </row>
    <row r="318" spans="2:23" x14ac:dyDescent="0.3">
      <c r="B318" s="49">
        <v>983061</v>
      </c>
      <c r="H318" s="49">
        <v>989347</v>
      </c>
      <c r="Q318" s="49">
        <v>988287</v>
      </c>
      <c r="R318" s="49">
        <v>978060</v>
      </c>
      <c r="S318" s="49">
        <v>994012</v>
      </c>
      <c r="T318" s="49">
        <v>994093</v>
      </c>
      <c r="U318" s="49">
        <v>996233</v>
      </c>
      <c r="V318" s="49">
        <v>966137</v>
      </c>
      <c r="W318" s="49">
        <v>988158</v>
      </c>
    </row>
    <row r="319" spans="2:23" x14ac:dyDescent="0.3">
      <c r="B319" s="49">
        <v>992299</v>
      </c>
      <c r="H319" s="49">
        <v>980158</v>
      </c>
      <c r="Q319" s="49">
        <v>993140</v>
      </c>
      <c r="R319" s="49">
        <v>984100</v>
      </c>
      <c r="S319" s="49">
        <v>986346</v>
      </c>
      <c r="T319" s="49">
        <v>955128</v>
      </c>
      <c r="U319" s="49">
        <v>996234</v>
      </c>
      <c r="V319" s="49">
        <v>986397</v>
      </c>
      <c r="W319" s="49">
        <v>958029</v>
      </c>
    </row>
    <row r="320" spans="2:23" x14ac:dyDescent="0.3">
      <c r="B320" s="49">
        <v>982198</v>
      </c>
      <c r="H320" s="49">
        <v>986200</v>
      </c>
      <c r="Q320" s="49">
        <v>986368</v>
      </c>
      <c r="R320" s="49">
        <v>986292</v>
      </c>
      <c r="S320" s="49">
        <v>985017</v>
      </c>
      <c r="T320" s="49">
        <v>994092</v>
      </c>
      <c r="U320" s="49">
        <v>996235</v>
      </c>
      <c r="V320" s="49">
        <v>986411</v>
      </c>
      <c r="W320" s="49">
        <v>955177</v>
      </c>
    </row>
    <row r="321" spans="2:23" x14ac:dyDescent="0.3">
      <c r="B321" s="49">
        <v>982200</v>
      </c>
      <c r="H321" s="49">
        <v>986506</v>
      </c>
      <c r="Q321" s="49">
        <v>989115</v>
      </c>
      <c r="R321" s="49">
        <v>992577</v>
      </c>
      <c r="S321" s="49">
        <v>966129</v>
      </c>
      <c r="T321" s="49">
        <v>966008</v>
      </c>
      <c r="U321" s="49">
        <v>996271</v>
      </c>
      <c r="V321" s="49">
        <v>991094</v>
      </c>
      <c r="W321" s="49">
        <v>978037</v>
      </c>
    </row>
    <row r="322" spans="2:23" x14ac:dyDescent="0.3">
      <c r="B322" s="49">
        <v>989134</v>
      </c>
      <c r="H322" s="49">
        <v>995283</v>
      </c>
      <c r="Q322" s="49">
        <v>996217</v>
      </c>
      <c r="R322" s="49">
        <v>992721</v>
      </c>
      <c r="S322" s="49">
        <v>975049</v>
      </c>
      <c r="T322" s="49">
        <v>994094</v>
      </c>
      <c r="U322" s="49">
        <v>986075</v>
      </c>
      <c r="V322" s="49">
        <v>975121</v>
      </c>
      <c r="W322" s="49">
        <v>988944</v>
      </c>
    </row>
    <row r="323" spans="2:23" x14ac:dyDescent="0.3">
      <c r="B323" s="49">
        <v>989136</v>
      </c>
      <c r="H323" s="49">
        <v>976018</v>
      </c>
      <c r="Q323" s="49">
        <v>996218</v>
      </c>
      <c r="R323" s="49">
        <v>992253</v>
      </c>
      <c r="S323" s="49">
        <v>984071</v>
      </c>
      <c r="T323" s="49">
        <v>956012</v>
      </c>
      <c r="U323" s="49">
        <v>992376</v>
      </c>
      <c r="V323" s="49">
        <v>954024</v>
      </c>
      <c r="W323" s="49">
        <v>988984</v>
      </c>
    </row>
    <row r="324" spans="2:23" x14ac:dyDescent="0.3">
      <c r="B324" s="49">
        <v>989138</v>
      </c>
      <c r="H324" s="49">
        <v>989030</v>
      </c>
      <c r="Q324" s="49">
        <v>996219</v>
      </c>
      <c r="R324" s="49">
        <v>992622</v>
      </c>
      <c r="S324" s="49">
        <v>982141</v>
      </c>
      <c r="T324" s="49">
        <v>955170</v>
      </c>
      <c r="U324" s="49">
        <v>988216</v>
      </c>
      <c r="V324" s="49">
        <v>988583</v>
      </c>
      <c r="W324" s="49">
        <v>992752</v>
      </c>
    </row>
    <row r="325" spans="2:23" x14ac:dyDescent="0.3">
      <c r="B325" s="49">
        <v>992144</v>
      </c>
      <c r="H325" s="49">
        <v>982102</v>
      </c>
      <c r="Q325" s="49">
        <v>986055</v>
      </c>
      <c r="R325" s="49">
        <v>955166</v>
      </c>
      <c r="S325" s="49">
        <v>991139</v>
      </c>
      <c r="T325" s="49">
        <v>966004</v>
      </c>
      <c r="U325" s="49">
        <v>995042</v>
      </c>
      <c r="V325" s="49">
        <v>992166</v>
      </c>
      <c r="W325" s="49">
        <v>982122</v>
      </c>
    </row>
    <row r="326" spans="2:23" x14ac:dyDescent="0.3">
      <c r="B326" s="49">
        <v>993096</v>
      </c>
      <c r="H326" s="49">
        <v>940046</v>
      </c>
      <c r="Q326" s="49">
        <v>986029</v>
      </c>
      <c r="R326" s="49">
        <v>986310</v>
      </c>
      <c r="S326" s="49">
        <v>955118</v>
      </c>
      <c r="T326" s="49">
        <v>954274</v>
      </c>
      <c r="U326" s="49">
        <v>998099</v>
      </c>
      <c r="V326" s="49">
        <v>986033</v>
      </c>
      <c r="W326" s="49">
        <v>992213</v>
      </c>
    </row>
    <row r="327" spans="2:23" x14ac:dyDescent="0.3">
      <c r="B327" s="49">
        <v>982201</v>
      </c>
      <c r="H327" s="49">
        <v>998066</v>
      </c>
      <c r="Q327" s="49">
        <v>991063</v>
      </c>
      <c r="R327" s="49">
        <v>967035</v>
      </c>
      <c r="S327" s="49">
        <v>984113</v>
      </c>
      <c r="T327" s="49">
        <v>954030</v>
      </c>
      <c r="U327" s="49">
        <v>988555</v>
      </c>
      <c r="V327" s="49">
        <v>989096</v>
      </c>
      <c r="W327" s="49">
        <v>975081</v>
      </c>
    </row>
    <row r="328" spans="2:23" x14ac:dyDescent="0.3">
      <c r="B328" s="49">
        <v>992575</v>
      </c>
      <c r="H328" s="49">
        <v>972054</v>
      </c>
      <c r="Q328" s="49">
        <v>986367</v>
      </c>
      <c r="R328" s="49">
        <v>992684</v>
      </c>
      <c r="S328" s="49">
        <v>980129</v>
      </c>
      <c r="T328" s="49">
        <v>988172</v>
      </c>
      <c r="U328" s="49">
        <v>988576</v>
      </c>
      <c r="V328" s="49">
        <v>988231</v>
      </c>
      <c r="W328" s="49">
        <v>986534</v>
      </c>
    </row>
    <row r="329" spans="2:23" x14ac:dyDescent="0.3">
      <c r="B329" s="49">
        <v>988059</v>
      </c>
      <c r="H329" s="49">
        <v>988757</v>
      </c>
      <c r="Q329" s="49">
        <v>988597</v>
      </c>
      <c r="R329" s="49">
        <v>969007</v>
      </c>
      <c r="S329" s="49">
        <v>993029</v>
      </c>
      <c r="T329" s="49">
        <v>966065</v>
      </c>
      <c r="U329" s="49">
        <v>955215</v>
      </c>
      <c r="V329" s="49">
        <v>988229</v>
      </c>
      <c r="W329" s="49">
        <v>984066</v>
      </c>
    </row>
    <row r="330" spans="2:23" x14ac:dyDescent="0.3">
      <c r="B330" s="49">
        <v>990017</v>
      </c>
      <c r="Q330" s="49">
        <v>988599</v>
      </c>
      <c r="R330" s="49">
        <v>990068</v>
      </c>
      <c r="S330" s="49">
        <v>940036</v>
      </c>
      <c r="T330" s="49">
        <v>986444</v>
      </c>
      <c r="U330" s="49">
        <v>966037</v>
      </c>
      <c r="V330" s="49">
        <v>994095</v>
      </c>
      <c r="W330" s="49">
        <v>996134</v>
      </c>
    </row>
    <row r="331" spans="2:23" x14ac:dyDescent="0.3">
      <c r="B331" s="49">
        <v>967008</v>
      </c>
      <c r="Q331" s="49">
        <v>989219</v>
      </c>
      <c r="R331" s="49">
        <v>991168</v>
      </c>
      <c r="S331" s="49">
        <v>993103</v>
      </c>
      <c r="T331" s="49">
        <v>992719</v>
      </c>
      <c r="U331" s="49">
        <v>995116</v>
      </c>
      <c r="V331" s="49">
        <v>992603</v>
      </c>
      <c r="W331" s="49">
        <v>989231</v>
      </c>
    </row>
    <row r="332" spans="2:23" x14ac:dyDescent="0.3">
      <c r="B332" s="49">
        <v>982199</v>
      </c>
      <c r="Q332" s="49">
        <v>989221</v>
      </c>
      <c r="R332" s="49">
        <v>992526</v>
      </c>
      <c r="S332" s="49">
        <v>956026</v>
      </c>
      <c r="T332" s="49">
        <v>988525</v>
      </c>
      <c r="U332" s="49">
        <v>966147</v>
      </c>
      <c r="V332" s="49">
        <v>982132</v>
      </c>
      <c r="W332" s="49">
        <v>992325</v>
      </c>
    </row>
    <row r="333" spans="2:23" x14ac:dyDescent="0.3">
      <c r="B333" s="49">
        <v>982197</v>
      </c>
      <c r="Q333" s="49">
        <v>989104</v>
      </c>
      <c r="R333" s="49">
        <v>958011</v>
      </c>
      <c r="S333" s="49">
        <v>988877</v>
      </c>
      <c r="T333" s="49">
        <v>996317</v>
      </c>
      <c r="U333" s="49">
        <v>975096</v>
      </c>
      <c r="V333" s="49">
        <v>994066</v>
      </c>
      <c r="W333" s="49">
        <v>996135</v>
      </c>
    </row>
    <row r="334" spans="2:23" x14ac:dyDescent="0.3">
      <c r="B334" s="49">
        <v>988490</v>
      </c>
      <c r="Q334" s="49">
        <v>989107</v>
      </c>
      <c r="R334" s="49">
        <v>976034</v>
      </c>
      <c r="S334" s="49">
        <v>992654</v>
      </c>
      <c r="T334" s="49">
        <v>982167</v>
      </c>
      <c r="U334" s="49">
        <v>988236</v>
      </c>
      <c r="V334" s="49">
        <v>986373</v>
      </c>
      <c r="W334" s="49">
        <v>990007</v>
      </c>
    </row>
    <row r="335" spans="2:23" x14ac:dyDescent="0.3">
      <c r="B335" s="49">
        <v>992097</v>
      </c>
      <c r="Q335" s="49">
        <v>989121</v>
      </c>
      <c r="R335" s="49">
        <v>986037</v>
      </c>
      <c r="S335" s="49">
        <v>982270</v>
      </c>
      <c r="T335" s="49">
        <v>992088</v>
      </c>
      <c r="U335" s="49">
        <v>988232</v>
      </c>
      <c r="V335" s="49">
        <v>981057</v>
      </c>
      <c r="W335" s="49">
        <v>981028</v>
      </c>
    </row>
    <row r="336" spans="2:23" x14ac:dyDescent="0.3">
      <c r="B336" s="49">
        <v>988098</v>
      </c>
      <c r="Q336" s="49">
        <v>989122</v>
      </c>
      <c r="R336" s="49">
        <v>980208</v>
      </c>
      <c r="S336" s="49">
        <v>954011</v>
      </c>
      <c r="T336" s="49">
        <v>988798</v>
      </c>
      <c r="U336" s="49">
        <v>988577</v>
      </c>
      <c r="V336" s="49">
        <v>966017</v>
      </c>
      <c r="W336" s="49">
        <v>991180</v>
      </c>
    </row>
    <row r="337" spans="2:23" x14ac:dyDescent="0.3">
      <c r="B337" s="49">
        <v>988475</v>
      </c>
      <c r="Q337" s="49">
        <v>989124</v>
      </c>
      <c r="R337" s="49">
        <v>966182</v>
      </c>
      <c r="S337" s="49">
        <v>982016</v>
      </c>
      <c r="T337" s="49">
        <v>988908</v>
      </c>
      <c r="U337" s="49">
        <v>992799</v>
      </c>
      <c r="V337" s="49">
        <v>966024</v>
      </c>
      <c r="W337" s="49">
        <v>980173</v>
      </c>
    </row>
    <row r="338" spans="2:23" x14ac:dyDescent="0.3">
      <c r="B338" s="49">
        <v>986499</v>
      </c>
      <c r="Q338" s="49">
        <v>989202</v>
      </c>
      <c r="R338" s="49">
        <v>966143</v>
      </c>
      <c r="S338" s="49">
        <v>988649</v>
      </c>
      <c r="T338" s="49">
        <v>982240</v>
      </c>
      <c r="U338" s="49">
        <v>986429</v>
      </c>
      <c r="V338" s="49">
        <v>988801</v>
      </c>
      <c r="W338" s="49">
        <v>985013</v>
      </c>
    </row>
    <row r="339" spans="2:23" x14ac:dyDescent="0.3">
      <c r="B339" s="49">
        <v>998166</v>
      </c>
      <c r="Q339" s="49">
        <v>989223</v>
      </c>
      <c r="R339" s="49">
        <v>992182</v>
      </c>
      <c r="S339" s="49">
        <v>984046</v>
      </c>
      <c r="T339" s="49">
        <v>982248</v>
      </c>
      <c r="U339" s="49">
        <v>992128</v>
      </c>
      <c r="V339" s="49">
        <v>992228</v>
      </c>
      <c r="W339" s="49">
        <v>975040</v>
      </c>
    </row>
    <row r="340" spans="2:23" x14ac:dyDescent="0.3">
      <c r="B340" s="49">
        <v>992693</v>
      </c>
      <c r="Q340" s="49">
        <v>989289</v>
      </c>
      <c r="R340" s="49">
        <v>978026</v>
      </c>
      <c r="S340" s="49">
        <v>975104</v>
      </c>
      <c r="T340" s="49">
        <v>996316</v>
      </c>
      <c r="U340" s="49">
        <v>981005</v>
      </c>
      <c r="V340" s="49">
        <v>988571</v>
      </c>
      <c r="W340" s="49">
        <v>979025</v>
      </c>
    </row>
    <row r="341" spans="2:23" x14ac:dyDescent="0.3">
      <c r="B341" s="49">
        <v>991084</v>
      </c>
      <c r="Q341" s="49">
        <v>989201</v>
      </c>
      <c r="R341" s="49">
        <v>988633</v>
      </c>
      <c r="S341" s="49">
        <v>989254</v>
      </c>
      <c r="T341" s="49">
        <v>988176</v>
      </c>
      <c r="U341" s="49">
        <v>981064</v>
      </c>
      <c r="V341" s="49">
        <v>956030</v>
      </c>
      <c r="W341" s="49">
        <v>956007</v>
      </c>
    </row>
    <row r="342" spans="2:23" x14ac:dyDescent="0.3">
      <c r="B342" s="49">
        <v>967042</v>
      </c>
      <c r="Q342" s="49">
        <v>989335</v>
      </c>
      <c r="R342" s="49">
        <v>988295</v>
      </c>
      <c r="S342" s="49">
        <v>954195</v>
      </c>
      <c r="T342" s="49">
        <v>958022</v>
      </c>
      <c r="U342" s="49">
        <v>966199</v>
      </c>
      <c r="V342" s="49">
        <v>988540</v>
      </c>
      <c r="W342" s="49">
        <v>992506</v>
      </c>
    </row>
    <row r="343" spans="2:23" x14ac:dyDescent="0.3">
      <c r="B343" s="49">
        <v>955038</v>
      </c>
      <c r="Q343" s="49">
        <v>989108</v>
      </c>
      <c r="R343" s="49">
        <v>988304</v>
      </c>
      <c r="S343" s="49">
        <v>992301</v>
      </c>
      <c r="U343" s="49">
        <v>954284</v>
      </c>
      <c r="V343" s="49">
        <v>986398</v>
      </c>
      <c r="W343" s="49">
        <v>992640</v>
      </c>
    </row>
    <row r="344" spans="2:23" x14ac:dyDescent="0.3">
      <c r="B344" s="49">
        <v>975057</v>
      </c>
      <c r="Q344" s="49">
        <v>989120</v>
      </c>
      <c r="R344" s="49">
        <v>988340</v>
      </c>
      <c r="S344" s="49">
        <v>988881</v>
      </c>
      <c r="U344" s="49">
        <v>995114</v>
      </c>
      <c r="V344" s="49">
        <v>955227</v>
      </c>
      <c r="W344" s="49">
        <v>996177</v>
      </c>
    </row>
    <row r="345" spans="2:23" x14ac:dyDescent="0.3">
      <c r="B345" s="49">
        <v>955137</v>
      </c>
      <c r="Q345" s="49">
        <v>940080</v>
      </c>
      <c r="R345" s="49">
        <v>988635</v>
      </c>
      <c r="S345" s="49">
        <v>988849</v>
      </c>
      <c r="U345" s="49">
        <v>988550</v>
      </c>
      <c r="V345" s="49">
        <v>988547</v>
      </c>
      <c r="W345" s="49">
        <v>955050</v>
      </c>
    </row>
    <row r="346" spans="2:23" x14ac:dyDescent="0.3">
      <c r="B346" s="49">
        <v>990058</v>
      </c>
      <c r="Q346" s="49">
        <v>988263</v>
      </c>
      <c r="R346" s="49">
        <v>988659</v>
      </c>
      <c r="S346" s="49">
        <v>984028</v>
      </c>
      <c r="U346" s="49">
        <v>991087</v>
      </c>
      <c r="V346" s="49">
        <v>982218</v>
      </c>
      <c r="W346" s="49">
        <v>954156</v>
      </c>
    </row>
    <row r="347" spans="2:23" x14ac:dyDescent="0.3">
      <c r="B347" s="49">
        <v>966068</v>
      </c>
      <c r="Q347" s="49">
        <v>988269</v>
      </c>
      <c r="R347" s="49">
        <v>995210</v>
      </c>
      <c r="S347" s="49">
        <v>992066</v>
      </c>
      <c r="U347" s="49">
        <v>960046</v>
      </c>
      <c r="V347" s="49">
        <v>988800</v>
      </c>
      <c r="W347" s="49">
        <v>985083</v>
      </c>
    </row>
    <row r="348" spans="2:23" x14ac:dyDescent="0.3">
      <c r="B348" s="49">
        <v>954258</v>
      </c>
      <c r="Q348" s="49">
        <v>988279</v>
      </c>
      <c r="R348" s="49">
        <v>988634</v>
      </c>
      <c r="S348" s="49">
        <v>988873</v>
      </c>
      <c r="U348" s="49">
        <v>979034</v>
      </c>
      <c r="W348" s="49">
        <v>993138</v>
      </c>
    </row>
    <row r="349" spans="2:23" x14ac:dyDescent="0.3">
      <c r="B349" s="49">
        <v>996172</v>
      </c>
      <c r="Q349" s="49">
        <v>988609</v>
      </c>
      <c r="R349" s="49">
        <v>992050</v>
      </c>
      <c r="S349" s="49">
        <v>996262</v>
      </c>
      <c r="U349" s="49">
        <v>996229</v>
      </c>
      <c r="W349" s="49">
        <v>986533</v>
      </c>
    </row>
    <row r="350" spans="2:23" x14ac:dyDescent="0.3">
      <c r="B350" s="49">
        <v>992334</v>
      </c>
      <c r="Q350" s="49">
        <v>988616</v>
      </c>
      <c r="R350" s="49">
        <v>992022</v>
      </c>
      <c r="S350" s="49">
        <v>966145</v>
      </c>
      <c r="U350" s="49">
        <v>996230</v>
      </c>
      <c r="W350" s="49">
        <v>998072</v>
      </c>
    </row>
    <row r="351" spans="2:23" x14ac:dyDescent="0.3">
      <c r="B351" s="49">
        <v>992566</v>
      </c>
      <c r="Q351" s="49">
        <v>988622</v>
      </c>
      <c r="R351" s="49">
        <v>996243</v>
      </c>
      <c r="S351" s="49">
        <v>954253</v>
      </c>
      <c r="U351" s="49">
        <v>994096</v>
      </c>
      <c r="W351" s="49">
        <v>986516</v>
      </c>
    </row>
    <row r="352" spans="2:23" x14ac:dyDescent="0.3">
      <c r="B352" s="49">
        <v>980070</v>
      </c>
      <c r="Q352" s="49">
        <v>992290</v>
      </c>
      <c r="R352" s="49">
        <v>996247</v>
      </c>
      <c r="S352" s="49">
        <v>955145</v>
      </c>
      <c r="U352" s="49">
        <v>996404</v>
      </c>
      <c r="W352" s="49">
        <v>992404</v>
      </c>
    </row>
    <row r="353" spans="2:23" x14ac:dyDescent="0.3">
      <c r="B353" s="49">
        <v>975006</v>
      </c>
      <c r="Q353" s="49">
        <v>989106</v>
      </c>
      <c r="R353" s="49">
        <v>954241</v>
      </c>
      <c r="S353" s="49">
        <v>992069</v>
      </c>
      <c r="U353" s="49">
        <v>980011</v>
      </c>
      <c r="W353" s="49">
        <v>955053</v>
      </c>
    </row>
    <row r="354" spans="2:23" x14ac:dyDescent="0.3">
      <c r="B354" s="49">
        <v>955161</v>
      </c>
      <c r="Q354" s="49">
        <v>989113</v>
      </c>
      <c r="R354" s="49">
        <v>992528</v>
      </c>
      <c r="S354" s="49">
        <v>988343</v>
      </c>
      <c r="U354" s="49">
        <v>954236</v>
      </c>
      <c r="W354" s="49">
        <v>988504</v>
      </c>
    </row>
    <row r="355" spans="2:23" x14ac:dyDescent="0.3">
      <c r="B355" s="49">
        <v>992071</v>
      </c>
      <c r="Q355" s="49">
        <v>989114</v>
      </c>
      <c r="R355" s="49">
        <v>988854</v>
      </c>
      <c r="S355" s="49">
        <v>975151</v>
      </c>
      <c r="U355" s="49">
        <v>956024</v>
      </c>
      <c r="W355" s="49">
        <v>986567</v>
      </c>
    </row>
    <row r="356" spans="2:23" x14ac:dyDescent="0.3">
      <c r="B356" s="49">
        <v>975099</v>
      </c>
      <c r="Q356" s="49">
        <v>992803</v>
      </c>
      <c r="R356" s="49">
        <v>954201</v>
      </c>
      <c r="S356" s="49">
        <v>984027</v>
      </c>
      <c r="U356" s="49">
        <v>987014</v>
      </c>
      <c r="W356" s="49">
        <v>979041</v>
      </c>
    </row>
    <row r="357" spans="2:23" x14ac:dyDescent="0.3">
      <c r="B357" s="49">
        <v>954076</v>
      </c>
      <c r="Q357" s="49">
        <v>975192</v>
      </c>
      <c r="R357" s="49">
        <v>984011</v>
      </c>
      <c r="S357" s="49">
        <v>969005</v>
      </c>
      <c r="U357" s="49">
        <v>955187</v>
      </c>
      <c r="W357" s="49">
        <v>993099</v>
      </c>
    </row>
    <row r="358" spans="2:23" x14ac:dyDescent="0.3">
      <c r="B358" s="49">
        <v>966091</v>
      </c>
      <c r="Q358" s="49">
        <v>984121</v>
      </c>
      <c r="R358" s="49">
        <v>986323</v>
      </c>
      <c r="S358" s="49">
        <v>992748</v>
      </c>
      <c r="U358" s="49">
        <v>955086</v>
      </c>
      <c r="W358" s="49">
        <v>986549</v>
      </c>
    </row>
    <row r="359" spans="2:23" x14ac:dyDescent="0.3">
      <c r="B359" s="49">
        <v>988760</v>
      </c>
      <c r="Q359" s="49">
        <v>986003</v>
      </c>
      <c r="R359" s="49">
        <v>940091</v>
      </c>
      <c r="S359" s="49">
        <v>986594</v>
      </c>
      <c r="U359" s="49">
        <v>981104</v>
      </c>
      <c r="W359" s="49">
        <v>980077</v>
      </c>
    </row>
    <row r="360" spans="2:23" x14ac:dyDescent="0.3">
      <c r="B360" s="49">
        <v>992655</v>
      </c>
      <c r="Q360" s="49">
        <v>988833</v>
      </c>
      <c r="R360" s="49">
        <v>996248</v>
      </c>
      <c r="S360" s="49">
        <v>969010</v>
      </c>
      <c r="W360" s="49">
        <v>996138</v>
      </c>
    </row>
    <row r="361" spans="2:23" x14ac:dyDescent="0.3">
      <c r="B361" s="49">
        <v>975051</v>
      </c>
      <c r="Q361" s="49">
        <v>966130</v>
      </c>
      <c r="R361" s="49">
        <v>988317</v>
      </c>
      <c r="S361" s="49">
        <v>955146</v>
      </c>
    </row>
    <row r="362" spans="2:23" x14ac:dyDescent="0.3">
      <c r="B362" s="49">
        <v>955143</v>
      </c>
      <c r="Q362" s="49">
        <v>940050</v>
      </c>
      <c r="R362" s="49">
        <v>978002</v>
      </c>
      <c r="S362" s="49">
        <v>992140</v>
      </c>
    </row>
    <row r="363" spans="2:23" x14ac:dyDescent="0.3">
      <c r="B363" s="49">
        <v>975132</v>
      </c>
      <c r="Q363" s="49">
        <v>982017</v>
      </c>
      <c r="R363" s="49">
        <v>986311</v>
      </c>
      <c r="S363" s="49">
        <v>992746</v>
      </c>
    </row>
    <row r="364" spans="2:23" x14ac:dyDescent="0.3">
      <c r="B364" s="49">
        <v>966124</v>
      </c>
      <c r="Q364" s="49">
        <v>955223</v>
      </c>
      <c r="R364" s="49">
        <v>980041</v>
      </c>
      <c r="S364" s="49">
        <v>992747</v>
      </c>
    </row>
    <row r="365" spans="2:23" x14ac:dyDescent="0.3">
      <c r="B365" s="49">
        <v>996160</v>
      </c>
      <c r="Q365" s="49">
        <v>988829</v>
      </c>
      <c r="R365" s="49">
        <v>954249</v>
      </c>
      <c r="S365" s="49">
        <v>986598</v>
      </c>
    </row>
    <row r="366" spans="2:23" x14ac:dyDescent="0.3">
      <c r="Q366" s="49">
        <v>966128</v>
      </c>
      <c r="R366" s="49">
        <v>988300</v>
      </c>
      <c r="S366" s="49">
        <v>986583</v>
      </c>
    </row>
    <row r="367" spans="2:23" x14ac:dyDescent="0.3">
      <c r="Q367" s="49">
        <v>992565</v>
      </c>
      <c r="R367" s="49">
        <v>988878</v>
      </c>
      <c r="S367" s="49">
        <v>996237</v>
      </c>
    </row>
    <row r="368" spans="2:23" x14ac:dyDescent="0.3">
      <c r="Q368" s="49">
        <v>988814</v>
      </c>
      <c r="R368" s="49">
        <v>988658</v>
      </c>
      <c r="S368" s="49">
        <v>975004</v>
      </c>
    </row>
    <row r="369" spans="17:19" x14ac:dyDescent="0.3">
      <c r="Q369" s="49">
        <v>996132</v>
      </c>
      <c r="R369" s="49">
        <v>982180</v>
      </c>
      <c r="S369" s="49">
        <v>982049</v>
      </c>
    </row>
    <row r="370" spans="17:19" x14ac:dyDescent="0.3">
      <c r="Q370" s="49">
        <v>986353</v>
      </c>
      <c r="R370" s="49">
        <v>988297</v>
      </c>
      <c r="S370" s="49">
        <v>992407</v>
      </c>
    </row>
    <row r="371" spans="17:19" x14ac:dyDescent="0.3">
      <c r="Q371" s="49">
        <v>966148</v>
      </c>
      <c r="R371" s="49">
        <v>990060</v>
      </c>
      <c r="S371" s="49">
        <v>982053</v>
      </c>
    </row>
    <row r="372" spans="17:19" x14ac:dyDescent="0.3">
      <c r="Q372" s="49">
        <v>986348</v>
      </c>
      <c r="R372" s="49">
        <v>992544</v>
      </c>
      <c r="S372" s="49">
        <v>954124</v>
      </c>
    </row>
    <row r="373" spans="17:19" x14ac:dyDescent="0.3">
      <c r="Q373" s="49">
        <v>988822</v>
      </c>
      <c r="R373" s="49">
        <v>982184</v>
      </c>
      <c r="S373" s="49">
        <v>978013</v>
      </c>
    </row>
    <row r="374" spans="17:19" x14ac:dyDescent="0.3">
      <c r="Q374" s="49">
        <v>988256</v>
      </c>
      <c r="R374" s="49">
        <v>996250</v>
      </c>
      <c r="S374" s="49">
        <v>988840</v>
      </c>
    </row>
    <row r="375" spans="17:19" x14ac:dyDescent="0.3">
      <c r="Q375" s="49">
        <v>966054</v>
      </c>
      <c r="R375" s="49">
        <v>996257</v>
      </c>
      <c r="S375" s="49">
        <v>984065</v>
      </c>
    </row>
    <row r="376" spans="17:19" x14ac:dyDescent="0.3">
      <c r="Q376" s="49">
        <v>982018</v>
      </c>
      <c r="R376" s="49">
        <v>992379</v>
      </c>
      <c r="S376" s="49">
        <v>992345</v>
      </c>
    </row>
    <row r="377" spans="17:19" x14ac:dyDescent="0.3">
      <c r="Q377" s="49">
        <v>993014</v>
      </c>
      <c r="R377" s="49">
        <v>988294</v>
      </c>
      <c r="S377" s="49">
        <v>991162</v>
      </c>
    </row>
    <row r="378" spans="17:19" x14ac:dyDescent="0.3">
      <c r="Q378" s="49">
        <v>966138</v>
      </c>
      <c r="R378" s="49">
        <v>975100</v>
      </c>
      <c r="S378" s="49">
        <v>996245</v>
      </c>
    </row>
    <row r="379" spans="17:19" x14ac:dyDescent="0.3">
      <c r="Q379" s="49">
        <v>986349</v>
      </c>
      <c r="R379" s="49">
        <v>996117</v>
      </c>
      <c r="S379" s="49">
        <v>985021</v>
      </c>
    </row>
    <row r="380" spans="17:19" x14ac:dyDescent="0.3">
      <c r="Q380" s="49">
        <v>988606</v>
      </c>
      <c r="R380" s="49">
        <v>989103</v>
      </c>
      <c r="S380" s="49">
        <v>988684</v>
      </c>
    </row>
    <row r="381" spans="17:19" x14ac:dyDescent="0.3">
      <c r="Q381" s="49">
        <v>988794</v>
      </c>
      <c r="R381" s="49">
        <v>992626</v>
      </c>
      <c r="S381" s="49">
        <v>993057</v>
      </c>
    </row>
    <row r="382" spans="17:19" x14ac:dyDescent="0.3">
      <c r="Q382" s="49">
        <v>966039</v>
      </c>
      <c r="R382" s="49">
        <v>988303</v>
      </c>
      <c r="S382" s="49">
        <v>992546</v>
      </c>
    </row>
    <row r="383" spans="17:19" x14ac:dyDescent="0.3">
      <c r="Q383" s="49">
        <v>966047</v>
      </c>
      <c r="R383" s="49">
        <v>988842</v>
      </c>
      <c r="S383" s="49">
        <v>992125</v>
      </c>
    </row>
    <row r="384" spans="17:19" x14ac:dyDescent="0.3">
      <c r="Q384" s="49">
        <v>984097</v>
      </c>
      <c r="R384" s="49">
        <v>966087</v>
      </c>
      <c r="S384" s="49">
        <v>988638</v>
      </c>
    </row>
    <row r="385" spans="17:19" x14ac:dyDescent="0.3">
      <c r="Q385" s="49">
        <v>992532</v>
      </c>
      <c r="R385" s="49">
        <v>984013</v>
      </c>
      <c r="S385" s="49">
        <v>992084</v>
      </c>
    </row>
    <row r="386" spans="17:19" x14ac:dyDescent="0.3">
      <c r="Q386" s="49">
        <v>977038</v>
      </c>
      <c r="R386" s="49">
        <v>984068</v>
      </c>
      <c r="S386" s="49">
        <v>984003</v>
      </c>
    </row>
    <row r="387" spans="17:19" x14ac:dyDescent="0.3">
      <c r="Q387" s="49">
        <v>992768</v>
      </c>
      <c r="R387" s="49">
        <v>977010</v>
      </c>
      <c r="S387" s="49">
        <v>982051</v>
      </c>
    </row>
    <row r="388" spans="17:19" x14ac:dyDescent="0.3">
      <c r="Q388" s="49">
        <v>978064</v>
      </c>
      <c r="R388" s="49">
        <v>988663</v>
      </c>
      <c r="S388" s="49">
        <v>978023</v>
      </c>
    </row>
    <row r="389" spans="17:19" x14ac:dyDescent="0.3">
      <c r="Q389" s="49">
        <v>989317</v>
      </c>
      <c r="R389" s="49">
        <v>954081</v>
      </c>
      <c r="S389" s="49">
        <v>986299</v>
      </c>
    </row>
    <row r="390" spans="17:19" x14ac:dyDescent="0.3">
      <c r="Q390" s="49">
        <v>972055</v>
      </c>
      <c r="R390" s="49">
        <v>988643</v>
      </c>
      <c r="S390" s="49">
        <v>992503</v>
      </c>
    </row>
    <row r="391" spans="17:19" x14ac:dyDescent="0.3">
      <c r="Q391" s="49">
        <v>982040</v>
      </c>
      <c r="R391" s="49">
        <v>992437</v>
      </c>
      <c r="S391" s="49">
        <v>988839</v>
      </c>
    </row>
    <row r="392" spans="17:19" x14ac:dyDescent="0.3">
      <c r="Q392" s="49">
        <v>985060</v>
      </c>
      <c r="R392" s="49">
        <v>991061</v>
      </c>
      <c r="S392" s="49">
        <v>988344</v>
      </c>
    </row>
    <row r="393" spans="17:19" x14ac:dyDescent="0.3">
      <c r="Q393" s="49">
        <v>985061</v>
      </c>
      <c r="R393" s="49">
        <v>991081</v>
      </c>
      <c r="S393" s="49">
        <v>980180</v>
      </c>
    </row>
    <row r="394" spans="17:19" x14ac:dyDescent="0.3">
      <c r="Q394" s="49">
        <v>986579</v>
      </c>
      <c r="R394" s="49">
        <v>996240</v>
      </c>
      <c r="S394" s="49">
        <v>966018</v>
      </c>
    </row>
    <row r="395" spans="17:19" x14ac:dyDescent="0.3">
      <c r="Q395" s="49">
        <v>992760</v>
      </c>
      <c r="R395" s="49">
        <v>996259</v>
      </c>
      <c r="S395" s="49">
        <v>988698</v>
      </c>
    </row>
    <row r="396" spans="17:19" x14ac:dyDescent="0.3">
      <c r="Q396" s="49">
        <v>984084</v>
      </c>
      <c r="R396" s="49">
        <v>992525</v>
      </c>
      <c r="S396" s="49">
        <v>988644</v>
      </c>
    </row>
    <row r="397" spans="17:19" x14ac:dyDescent="0.3">
      <c r="Q397" s="49">
        <v>986344</v>
      </c>
      <c r="R397" s="49">
        <v>988325</v>
      </c>
      <c r="S397" s="49">
        <v>992432</v>
      </c>
    </row>
    <row r="398" spans="17:19" x14ac:dyDescent="0.3">
      <c r="Q398" s="49">
        <v>972047</v>
      </c>
      <c r="R398" s="49">
        <v>980090</v>
      </c>
      <c r="S398" s="49">
        <v>988642</v>
      </c>
    </row>
    <row r="399" spans="17:19" x14ac:dyDescent="0.3">
      <c r="Q399" s="49">
        <v>971040</v>
      </c>
      <c r="R399" s="49">
        <v>992811</v>
      </c>
      <c r="S399" s="49">
        <v>982052</v>
      </c>
    </row>
    <row r="400" spans="17:19" x14ac:dyDescent="0.3">
      <c r="Q400" s="49">
        <v>989258</v>
      </c>
      <c r="R400" s="49">
        <v>984004</v>
      </c>
      <c r="S400" s="49">
        <v>997010</v>
      </c>
    </row>
    <row r="401" spans="17:19" x14ac:dyDescent="0.3">
      <c r="Q401" s="49">
        <v>990071</v>
      </c>
      <c r="R401" s="49">
        <v>982186</v>
      </c>
      <c r="S401" s="49">
        <v>988867</v>
      </c>
    </row>
    <row r="402" spans="17:19" x14ac:dyDescent="0.3">
      <c r="Q402" s="49">
        <v>979010</v>
      </c>
      <c r="R402" s="49">
        <v>982182</v>
      </c>
      <c r="S402" s="49">
        <v>988302</v>
      </c>
    </row>
    <row r="403" spans="17:19" x14ac:dyDescent="0.3">
      <c r="Q403" s="49">
        <v>988255</v>
      </c>
      <c r="R403" s="49">
        <v>992800</v>
      </c>
      <c r="S403" s="49">
        <v>982050</v>
      </c>
    </row>
    <row r="404" spans="17:19" x14ac:dyDescent="0.3">
      <c r="Q404" s="49">
        <v>988824</v>
      </c>
      <c r="R404" s="49">
        <v>996244</v>
      </c>
      <c r="S404" s="49">
        <v>988864</v>
      </c>
    </row>
    <row r="405" spans="17:19" x14ac:dyDescent="0.3">
      <c r="Q405" s="49">
        <v>986365</v>
      </c>
      <c r="R405" s="49">
        <v>988323</v>
      </c>
      <c r="S405" s="49">
        <v>996239</v>
      </c>
    </row>
    <row r="406" spans="17:19" x14ac:dyDescent="0.3">
      <c r="Q406" s="49">
        <v>990024</v>
      </c>
      <c r="R406" s="49">
        <v>954104</v>
      </c>
      <c r="S406" s="49">
        <v>956028</v>
      </c>
    </row>
    <row r="407" spans="17:19" x14ac:dyDescent="0.3">
      <c r="Q407" s="49">
        <v>954247</v>
      </c>
      <c r="R407" s="49">
        <v>954126</v>
      </c>
      <c r="S407" s="49">
        <v>980091</v>
      </c>
    </row>
    <row r="408" spans="17:19" x14ac:dyDescent="0.3">
      <c r="Q408" s="49">
        <v>954233</v>
      </c>
      <c r="R408" s="49">
        <v>991107</v>
      </c>
      <c r="S408" s="49">
        <v>988880</v>
      </c>
    </row>
    <row r="409" spans="17:19" x14ac:dyDescent="0.3">
      <c r="Q409" s="49">
        <v>954238</v>
      </c>
      <c r="R409" s="49">
        <v>992481</v>
      </c>
      <c r="S409" s="49">
        <v>992665</v>
      </c>
    </row>
    <row r="410" spans="17:19" x14ac:dyDescent="0.3">
      <c r="Q410" s="49">
        <v>986379</v>
      </c>
      <c r="R410" s="49">
        <v>989059</v>
      </c>
      <c r="S410" s="49">
        <v>986333</v>
      </c>
    </row>
    <row r="411" spans="17:19" x14ac:dyDescent="0.3">
      <c r="Q411" s="49">
        <v>988825</v>
      </c>
      <c r="R411" s="49">
        <v>954286</v>
      </c>
      <c r="S411" s="49">
        <v>955171</v>
      </c>
    </row>
    <row r="412" spans="17:19" x14ac:dyDescent="0.3">
      <c r="Q412" s="49">
        <v>978017</v>
      </c>
      <c r="R412" s="49">
        <v>992660</v>
      </c>
      <c r="S412" s="49">
        <v>975162</v>
      </c>
    </row>
    <row r="413" spans="17:19" x14ac:dyDescent="0.3">
      <c r="Q413" s="49">
        <v>982039</v>
      </c>
      <c r="R413" s="49">
        <v>984043</v>
      </c>
      <c r="S413" s="49">
        <v>975157</v>
      </c>
    </row>
    <row r="414" spans="17:19" x14ac:dyDescent="0.3">
      <c r="Q414" s="49">
        <v>992409</v>
      </c>
      <c r="R414" s="49">
        <v>988636</v>
      </c>
      <c r="S414" s="49">
        <v>975160</v>
      </c>
    </row>
    <row r="415" spans="17:19" x14ac:dyDescent="0.3">
      <c r="Q415" s="49">
        <v>997005</v>
      </c>
      <c r="R415" s="49">
        <v>994078</v>
      </c>
      <c r="S415" s="49">
        <v>984094</v>
      </c>
    </row>
    <row r="416" spans="17:19" x14ac:dyDescent="0.3">
      <c r="Q416" s="49">
        <v>954019</v>
      </c>
      <c r="R416" s="49">
        <v>988631</v>
      </c>
      <c r="S416" s="49">
        <v>981081</v>
      </c>
    </row>
    <row r="417" spans="17:19" x14ac:dyDescent="0.3">
      <c r="Q417" s="49">
        <v>996131</v>
      </c>
      <c r="R417" s="49">
        <v>980115</v>
      </c>
      <c r="S417" s="49">
        <v>995294</v>
      </c>
    </row>
    <row r="418" spans="17:19" x14ac:dyDescent="0.3">
      <c r="Q418" s="49">
        <v>986363</v>
      </c>
      <c r="R418" s="49">
        <v>991182</v>
      </c>
      <c r="S418" s="49">
        <v>980082</v>
      </c>
    </row>
    <row r="419" spans="17:19" x14ac:dyDescent="0.3">
      <c r="Q419" s="49">
        <v>992649</v>
      </c>
      <c r="R419" s="49">
        <v>992443</v>
      </c>
      <c r="S419" s="49">
        <v>971046</v>
      </c>
    </row>
    <row r="420" spans="17:19" x14ac:dyDescent="0.3">
      <c r="Q420" s="49">
        <v>986350</v>
      </c>
      <c r="R420" s="49">
        <v>978027</v>
      </c>
      <c r="S420" s="49">
        <v>990019</v>
      </c>
    </row>
    <row r="421" spans="17:19" x14ac:dyDescent="0.3">
      <c r="Q421" s="49">
        <v>992615</v>
      </c>
      <c r="R421" s="49">
        <v>985027</v>
      </c>
      <c r="S421" s="49">
        <v>978009</v>
      </c>
    </row>
    <row r="422" spans="17:19" x14ac:dyDescent="0.3">
      <c r="Q422" s="49">
        <v>982041</v>
      </c>
      <c r="R422" s="49">
        <v>984018</v>
      </c>
      <c r="S422" s="49">
        <v>966089</v>
      </c>
    </row>
    <row r="423" spans="17:19" x14ac:dyDescent="0.3">
      <c r="Q423" s="49">
        <v>995167</v>
      </c>
      <c r="R423" s="49">
        <v>988921</v>
      </c>
      <c r="S423" s="49">
        <v>986318</v>
      </c>
    </row>
    <row r="424" spans="17:19" x14ac:dyDescent="0.3">
      <c r="Q424" s="49">
        <v>980126</v>
      </c>
      <c r="R424" s="49">
        <v>954144</v>
      </c>
      <c r="S424" s="49">
        <v>988671</v>
      </c>
    </row>
    <row r="425" spans="17:19" x14ac:dyDescent="0.3">
      <c r="Q425" s="49">
        <v>992570</v>
      </c>
      <c r="R425" s="49">
        <v>940071</v>
      </c>
      <c r="S425" s="49">
        <v>975039</v>
      </c>
    </row>
    <row r="426" spans="17:19" x14ac:dyDescent="0.3">
      <c r="Q426" s="49">
        <v>988826</v>
      </c>
      <c r="R426" s="49">
        <v>988689</v>
      </c>
      <c r="S426" s="49">
        <v>989199</v>
      </c>
    </row>
    <row r="427" spans="17:19" x14ac:dyDescent="0.3">
      <c r="Q427" s="49">
        <v>991131</v>
      </c>
      <c r="R427" s="49">
        <v>995022</v>
      </c>
      <c r="S427" s="49">
        <v>975105</v>
      </c>
    </row>
    <row r="428" spans="17:19" x14ac:dyDescent="0.3">
      <c r="Q428" s="49">
        <v>989105</v>
      </c>
      <c r="R428" s="49">
        <v>954129</v>
      </c>
      <c r="S428" s="49">
        <v>989253</v>
      </c>
    </row>
    <row r="429" spans="17:19" x14ac:dyDescent="0.3">
      <c r="Q429" s="49">
        <v>993003</v>
      </c>
      <c r="R429" s="49">
        <v>992458</v>
      </c>
      <c r="S429" s="49">
        <v>992200</v>
      </c>
    </row>
    <row r="430" spans="17:19" x14ac:dyDescent="0.3">
      <c r="Q430" s="49">
        <v>954017</v>
      </c>
      <c r="R430" s="49">
        <v>965015</v>
      </c>
      <c r="S430" s="49">
        <v>992178</v>
      </c>
    </row>
    <row r="431" spans="17:19" x14ac:dyDescent="0.3">
      <c r="Q431" s="49">
        <v>972037</v>
      </c>
      <c r="R431" s="49">
        <v>965010</v>
      </c>
      <c r="S431" s="49">
        <v>985022</v>
      </c>
    </row>
    <row r="432" spans="17:19" x14ac:dyDescent="0.3">
      <c r="Q432" s="49">
        <v>978039</v>
      </c>
      <c r="R432" s="49">
        <v>975054</v>
      </c>
      <c r="S432" s="49">
        <v>985023</v>
      </c>
    </row>
    <row r="433" spans="17:19" x14ac:dyDescent="0.3">
      <c r="Q433" s="49">
        <v>986376</v>
      </c>
      <c r="R433" s="49">
        <v>988682</v>
      </c>
      <c r="S433" s="49">
        <v>985024</v>
      </c>
    </row>
    <row r="434" spans="17:19" x14ac:dyDescent="0.3">
      <c r="Q434" s="49">
        <v>988277</v>
      </c>
      <c r="R434" s="49">
        <v>954125</v>
      </c>
      <c r="S434" s="49">
        <v>986317</v>
      </c>
    </row>
    <row r="435" spans="17:19" x14ac:dyDescent="0.3">
      <c r="Q435" s="49">
        <v>988624</v>
      </c>
      <c r="R435" s="49">
        <v>984009</v>
      </c>
      <c r="S435" s="49">
        <v>988441</v>
      </c>
    </row>
    <row r="436" spans="17:19" x14ac:dyDescent="0.3">
      <c r="Q436" s="49">
        <v>988617</v>
      </c>
      <c r="R436" s="49">
        <v>989229</v>
      </c>
      <c r="S436" s="49">
        <v>988347</v>
      </c>
    </row>
    <row r="437" spans="17:19" x14ac:dyDescent="0.3">
      <c r="Q437" s="49">
        <v>982047</v>
      </c>
      <c r="R437" s="49">
        <v>992807</v>
      </c>
      <c r="S437" s="49">
        <v>989311</v>
      </c>
    </row>
    <row r="438" spans="17:19" x14ac:dyDescent="0.3">
      <c r="Q438" s="49">
        <v>988837</v>
      </c>
      <c r="R438" s="49">
        <v>966162</v>
      </c>
      <c r="S438" s="49">
        <v>966122</v>
      </c>
    </row>
    <row r="439" spans="17:19" x14ac:dyDescent="0.3">
      <c r="Q439" s="49">
        <v>989123</v>
      </c>
      <c r="R439" s="49">
        <v>992505</v>
      </c>
      <c r="S439" s="49">
        <v>984099</v>
      </c>
    </row>
    <row r="440" spans="17:19" x14ac:dyDescent="0.3">
      <c r="Q440" s="49">
        <v>988848</v>
      </c>
      <c r="R440" s="49">
        <v>979006</v>
      </c>
      <c r="S440" s="49">
        <v>992303</v>
      </c>
    </row>
    <row r="441" spans="17:19" x14ac:dyDescent="0.3">
      <c r="Q441" s="49">
        <v>980127</v>
      </c>
      <c r="R441" s="49">
        <v>992582</v>
      </c>
      <c r="S441" s="49">
        <v>992232</v>
      </c>
    </row>
    <row r="442" spans="17:19" x14ac:dyDescent="0.3">
      <c r="Q442" s="49">
        <v>988968</v>
      </c>
      <c r="R442" s="49">
        <v>989290</v>
      </c>
      <c r="S442" s="49">
        <v>984023</v>
      </c>
    </row>
    <row r="443" spans="17:19" x14ac:dyDescent="0.3">
      <c r="Q443" s="49">
        <v>989285</v>
      </c>
      <c r="R443" s="49">
        <v>992595</v>
      </c>
      <c r="S443" s="49">
        <v>992308</v>
      </c>
    </row>
    <row r="444" spans="17:19" x14ac:dyDescent="0.3">
      <c r="Q444" s="49">
        <v>988813</v>
      </c>
      <c r="R444" s="49">
        <v>992714</v>
      </c>
      <c r="S444" s="49">
        <v>992731</v>
      </c>
    </row>
    <row r="445" spans="17:19" x14ac:dyDescent="0.3">
      <c r="Q445" s="49">
        <v>966139</v>
      </c>
      <c r="R445" s="49">
        <v>992673</v>
      </c>
      <c r="S445" s="49">
        <v>940007</v>
      </c>
    </row>
    <row r="446" spans="17:19" x14ac:dyDescent="0.3">
      <c r="Q446" s="49">
        <v>988257</v>
      </c>
      <c r="R446" s="49">
        <v>984072</v>
      </c>
      <c r="S446" s="49">
        <v>992307</v>
      </c>
    </row>
    <row r="447" spans="17:19" x14ac:dyDescent="0.3">
      <c r="Q447" s="49">
        <v>966071</v>
      </c>
      <c r="R447" s="49">
        <v>954141</v>
      </c>
      <c r="S447" s="49">
        <v>954103</v>
      </c>
    </row>
    <row r="448" spans="17:19" x14ac:dyDescent="0.3">
      <c r="Q448" s="49">
        <v>940015</v>
      </c>
      <c r="R448" s="49">
        <v>988911</v>
      </c>
      <c r="S448" s="49">
        <v>992754</v>
      </c>
    </row>
    <row r="449" spans="17:19" x14ac:dyDescent="0.3">
      <c r="Q449" s="49">
        <v>995090</v>
      </c>
      <c r="R449" s="49">
        <v>988980</v>
      </c>
      <c r="S449" s="49">
        <v>940024</v>
      </c>
    </row>
    <row r="450" spans="17:19" x14ac:dyDescent="0.3">
      <c r="Q450" s="49">
        <v>978031</v>
      </c>
      <c r="R450" s="49">
        <v>992157</v>
      </c>
      <c r="S450" s="49">
        <v>954105</v>
      </c>
    </row>
    <row r="451" spans="17:19" x14ac:dyDescent="0.3">
      <c r="Q451" s="49">
        <v>986095</v>
      </c>
      <c r="R451" s="49">
        <v>988309</v>
      </c>
      <c r="S451" s="49">
        <v>992810</v>
      </c>
    </row>
    <row r="452" spans="17:19" x14ac:dyDescent="0.3">
      <c r="Q452" s="49">
        <v>988627</v>
      </c>
      <c r="R452" s="49">
        <v>988705</v>
      </c>
      <c r="S452" s="49">
        <v>992464</v>
      </c>
    </row>
    <row r="453" spans="17:19" x14ac:dyDescent="0.3">
      <c r="Q453" s="49">
        <v>988273</v>
      </c>
      <c r="R453" s="49">
        <v>988637</v>
      </c>
      <c r="S453" s="49">
        <v>980128</v>
      </c>
    </row>
    <row r="454" spans="17:19" x14ac:dyDescent="0.3">
      <c r="Q454" s="49">
        <v>988948</v>
      </c>
      <c r="R454" s="49">
        <v>980084</v>
      </c>
      <c r="S454" s="49">
        <v>940078</v>
      </c>
    </row>
    <row r="455" spans="17:19" x14ac:dyDescent="0.3">
      <c r="Q455" s="49">
        <v>990064</v>
      </c>
      <c r="R455" s="49">
        <v>975177</v>
      </c>
      <c r="S455" s="49">
        <v>984075</v>
      </c>
    </row>
    <row r="456" spans="17:19" x14ac:dyDescent="0.3">
      <c r="Q456" s="49">
        <v>982123</v>
      </c>
      <c r="R456" s="49">
        <v>966029</v>
      </c>
      <c r="S456" s="49">
        <v>988882</v>
      </c>
    </row>
    <row r="457" spans="17:19" x14ac:dyDescent="0.3">
      <c r="Q457" s="49">
        <v>991135</v>
      </c>
      <c r="R457" s="49">
        <v>972057</v>
      </c>
      <c r="S457" s="49">
        <v>992089</v>
      </c>
    </row>
    <row r="458" spans="17:19" x14ac:dyDescent="0.3">
      <c r="Q458" s="49">
        <v>982124</v>
      </c>
      <c r="R458" s="49">
        <v>992645</v>
      </c>
      <c r="S458" s="49">
        <v>975005</v>
      </c>
    </row>
    <row r="459" spans="17:19" x14ac:dyDescent="0.3">
      <c r="Q459" s="49">
        <v>980186</v>
      </c>
      <c r="R459" s="49">
        <v>992024</v>
      </c>
      <c r="S459" s="49">
        <v>989131</v>
      </c>
    </row>
    <row r="460" spans="17:19" x14ac:dyDescent="0.3">
      <c r="Q460" s="49">
        <v>981002</v>
      </c>
      <c r="R460" s="49">
        <v>955193</v>
      </c>
      <c r="S460" s="49">
        <v>992346</v>
      </c>
    </row>
    <row r="461" spans="17:19" x14ac:dyDescent="0.3">
      <c r="Q461" s="49">
        <v>988589</v>
      </c>
      <c r="R461" s="49">
        <v>982216</v>
      </c>
      <c r="S461" s="49">
        <v>991183</v>
      </c>
    </row>
    <row r="462" spans="17:19" x14ac:dyDescent="0.3">
      <c r="Q462" s="49">
        <v>988254</v>
      </c>
      <c r="R462" s="49">
        <v>996119</v>
      </c>
      <c r="S462" s="49">
        <v>988863</v>
      </c>
    </row>
    <row r="463" spans="17:19" x14ac:dyDescent="0.3">
      <c r="Q463" s="49">
        <v>988896</v>
      </c>
      <c r="R463" s="49">
        <v>955194</v>
      </c>
      <c r="S463" s="49">
        <v>988975</v>
      </c>
    </row>
    <row r="464" spans="17:19" x14ac:dyDescent="0.3">
      <c r="Q464" s="49">
        <v>988933</v>
      </c>
      <c r="R464" s="49">
        <v>988846</v>
      </c>
      <c r="S464" s="49">
        <v>954213</v>
      </c>
    </row>
    <row r="465" spans="17:19" x14ac:dyDescent="0.3">
      <c r="Q465" s="49">
        <v>988588</v>
      </c>
      <c r="R465" s="49">
        <v>992074</v>
      </c>
      <c r="S465" s="49">
        <v>984016</v>
      </c>
    </row>
    <row r="466" spans="17:19" x14ac:dyDescent="0.3">
      <c r="Q466" s="49">
        <v>966057</v>
      </c>
      <c r="R466" s="49">
        <v>954058</v>
      </c>
      <c r="S466" s="49">
        <v>992320</v>
      </c>
    </row>
    <row r="467" spans="17:19" x14ac:dyDescent="0.3">
      <c r="Q467" s="49">
        <v>995088</v>
      </c>
      <c r="R467" s="49">
        <v>955087</v>
      </c>
      <c r="S467" s="49">
        <v>979042</v>
      </c>
    </row>
    <row r="468" spans="17:19" x14ac:dyDescent="0.3">
      <c r="Q468" s="49">
        <v>995270</v>
      </c>
      <c r="R468" s="49">
        <v>992609</v>
      </c>
      <c r="S468" s="49">
        <v>988691</v>
      </c>
    </row>
    <row r="469" spans="17:19" x14ac:dyDescent="0.3">
      <c r="Q469" s="49">
        <v>985043</v>
      </c>
      <c r="R469" s="49">
        <v>988847</v>
      </c>
      <c r="S469" s="49">
        <v>980123</v>
      </c>
    </row>
    <row r="470" spans="17:19" x14ac:dyDescent="0.3">
      <c r="Q470" s="49">
        <v>993115</v>
      </c>
    </row>
    <row r="471" spans="17:19" x14ac:dyDescent="0.3">
      <c r="Q471" s="49">
        <v>968003</v>
      </c>
    </row>
    <row r="472" spans="17:19" x14ac:dyDescent="0.3">
      <c r="Q472" s="49">
        <v>955182</v>
      </c>
    </row>
    <row r="473" spans="17:19" x14ac:dyDescent="0.3">
      <c r="Q473" s="49">
        <v>988836</v>
      </c>
    </row>
    <row r="474" spans="17:19" x14ac:dyDescent="0.3">
      <c r="Q474" s="49">
        <v>940090</v>
      </c>
    </row>
    <row r="475" spans="17:19" x14ac:dyDescent="0.3">
      <c r="Q475" s="49">
        <v>992753</v>
      </c>
    </row>
    <row r="476" spans="17:19" x14ac:dyDescent="0.3">
      <c r="Q476" s="49">
        <v>955042</v>
      </c>
    </row>
    <row r="477" spans="17:19" x14ac:dyDescent="0.3">
      <c r="Q477" s="49">
        <v>966034</v>
      </c>
    </row>
    <row r="478" spans="17:19" x14ac:dyDescent="0.3">
      <c r="Q478" s="49">
        <v>988275</v>
      </c>
    </row>
    <row r="479" spans="17:19" x14ac:dyDescent="0.3">
      <c r="Q479" s="49">
        <v>982136</v>
      </c>
    </row>
    <row r="480" spans="17:19" x14ac:dyDescent="0.3">
      <c r="Q480" s="49">
        <v>982137</v>
      </c>
    </row>
    <row r="481" spans="17:17" x14ac:dyDescent="0.3">
      <c r="Q481" s="49">
        <v>966200</v>
      </c>
    </row>
    <row r="482" spans="17:17" x14ac:dyDescent="0.3">
      <c r="Q482" s="49">
        <v>988815</v>
      </c>
    </row>
    <row r="483" spans="17:17" x14ac:dyDescent="0.3">
      <c r="Q483" s="49">
        <v>966115</v>
      </c>
    </row>
    <row r="484" spans="17:17" x14ac:dyDescent="0.3">
      <c r="Q484" s="49">
        <v>978070</v>
      </c>
    </row>
    <row r="485" spans="17:17" x14ac:dyDescent="0.3">
      <c r="Q485" s="49">
        <v>993139</v>
      </c>
    </row>
    <row r="486" spans="17:17" x14ac:dyDescent="0.3">
      <c r="Q486" s="49">
        <v>955043</v>
      </c>
    </row>
    <row r="487" spans="17:17" x14ac:dyDescent="0.3">
      <c r="Q487" s="49">
        <v>989112</v>
      </c>
    </row>
    <row r="488" spans="17:17" x14ac:dyDescent="0.3">
      <c r="Q488" s="49">
        <v>993114</v>
      </c>
    </row>
    <row r="489" spans="17:17" x14ac:dyDescent="0.3">
      <c r="Q489" s="49">
        <v>955155</v>
      </c>
    </row>
    <row r="490" spans="17:17" x14ac:dyDescent="0.3">
      <c r="Q490" s="49">
        <v>966044</v>
      </c>
    </row>
    <row r="491" spans="17:17" x14ac:dyDescent="0.3">
      <c r="Q491" s="49">
        <v>981038</v>
      </c>
    </row>
    <row r="492" spans="17:17" x14ac:dyDescent="0.3">
      <c r="Q492" s="49">
        <v>988838</v>
      </c>
    </row>
    <row r="493" spans="17:17" x14ac:dyDescent="0.3">
      <c r="Q493" s="49">
        <v>989272</v>
      </c>
    </row>
    <row r="494" spans="17:17" x14ac:dyDescent="0.3">
      <c r="Q494" s="49">
        <v>966166</v>
      </c>
    </row>
    <row r="495" spans="17:17" x14ac:dyDescent="0.3">
      <c r="Q495" s="49">
        <v>984077</v>
      </c>
    </row>
    <row r="496" spans="17:17" x14ac:dyDescent="0.3">
      <c r="Q496" s="49">
        <v>993079</v>
      </c>
    </row>
    <row r="497" spans="17:17" x14ac:dyDescent="0.3">
      <c r="Q497" s="49">
        <v>988943</v>
      </c>
    </row>
    <row r="498" spans="17:17" x14ac:dyDescent="0.3">
      <c r="Q498" s="49">
        <v>989306</v>
      </c>
    </row>
    <row r="499" spans="17:17" x14ac:dyDescent="0.3">
      <c r="Q499" s="49">
        <v>992177</v>
      </c>
    </row>
    <row r="500" spans="17:17" x14ac:dyDescent="0.3">
      <c r="Q500" s="49">
        <v>992559</v>
      </c>
    </row>
    <row r="501" spans="17:17" x14ac:dyDescent="0.3">
      <c r="Q501" s="49">
        <v>992552</v>
      </c>
    </row>
    <row r="502" spans="17:17" x14ac:dyDescent="0.3">
      <c r="Q502" s="49">
        <v>995305</v>
      </c>
    </row>
    <row r="503" spans="17:17" x14ac:dyDescent="0.3">
      <c r="Q503" s="49">
        <v>980147</v>
      </c>
    </row>
    <row r="504" spans="17:17" x14ac:dyDescent="0.3">
      <c r="Q504" s="49">
        <v>954143</v>
      </c>
    </row>
    <row r="505" spans="17:17" x14ac:dyDescent="0.3">
      <c r="Q505" s="49">
        <v>986596</v>
      </c>
    </row>
    <row r="506" spans="17:17" x14ac:dyDescent="0.3">
      <c r="Q506" s="49">
        <v>991158</v>
      </c>
    </row>
    <row r="507" spans="17:17" x14ac:dyDescent="0.3">
      <c r="Q507" s="49">
        <v>996123</v>
      </c>
    </row>
    <row r="508" spans="17:17" x14ac:dyDescent="0.3">
      <c r="Q508" s="49">
        <v>955046</v>
      </c>
    </row>
    <row r="509" spans="17:17" x14ac:dyDescent="0.3">
      <c r="Q509" s="49">
        <v>955045</v>
      </c>
    </row>
    <row r="510" spans="17:17" x14ac:dyDescent="0.3">
      <c r="Q510" s="49">
        <v>985016</v>
      </c>
    </row>
    <row r="511" spans="17:17" x14ac:dyDescent="0.3">
      <c r="Q511" s="49">
        <v>997007</v>
      </c>
    </row>
    <row r="512" spans="17:17" x14ac:dyDescent="0.3">
      <c r="Q512" s="49">
        <v>940040</v>
      </c>
    </row>
    <row r="513" spans="17:17" x14ac:dyDescent="0.3">
      <c r="Q513" s="49">
        <v>993008</v>
      </c>
    </row>
    <row r="514" spans="17:17" x14ac:dyDescent="0.3">
      <c r="Q514" s="49">
        <v>975036</v>
      </c>
    </row>
    <row r="515" spans="17:17" x14ac:dyDescent="0.3">
      <c r="Q515" s="49">
        <v>993016</v>
      </c>
    </row>
    <row r="516" spans="17:17" x14ac:dyDescent="0.3">
      <c r="Q516" s="49">
        <v>988816</v>
      </c>
    </row>
    <row r="517" spans="17:17" x14ac:dyDescent="0.3">
      <c r="Q517" s="49">
        <v>988821</v>
      </c>
    </row>
    <row r="518" spans="17:17" x14ac:dyDescent="0.3">
      <c r="Q518" s="49">
        <v>989110</v>
      </c>
    </row>
    <row r="519" spans="17:17" x14ac:dyDescent="0.3">
      <c r="Q519" s="49">
        <v>989117</v>
      </c>
    </row>
    <row r="520" spans="17:17" x14ac:dyDescent="0.3">
      <c r="Q520" s="49">
        <v>967009</v>
      </c>
    </row>
    <row r="521" spans="17:17" x14ac:dyDescent="0.3">
      <c r="Q521" s="49">
        <v>982211</v>
      </c>
    </row>
    <row r="522" spans="17:17" x14ac:dyDescent="0.3">
      <c r="Q522" s="49">
        <v>989101</v>
      </c>
    </row>
    <row r="523" spans="17:17" x14ac:dyDescent="0.3">
      <c r="Q523" s="49">
        <v>989031</v>
      </c>
    </row>
    <row r="524" spans="17:17" x14ac:dyDescent="0.3">
      <c r="Q524" s="49">
        <v>980103</v>
      </c>
    </row>
    <row r="525" spans="17:17" x14ac:dyDescent="0.3">
      <c r="Q525" s="49">
        <v>982214</v>
      </c>
    </row>
    <row r="526" spans="17:17" x14ac:dyDescent="0.3">
      <c r="Q526" s="49">
        <v>992115</v>
      </c>
    </row>
    <row r="527" spans="17:17" x14ac:dyDescent="0.3">
      <c r="Q527" s="49">
        <v>996201</v>
      </c>
    </row>
    <row r="528" spans="17:17" x14ac:dyDescent="0.3">
      <c r="Q528" s="49">
        <v>982213</v>
      </c>
    </row>
    <row r="529" spans="17:17" x14ac:dyDescent="0.3">
      <c r="Q529" s="49">
        <v>980112</v>
      </c>
    </row>
    <row r="530" spans="17:17" x14ac:dyDescent="0.3">
      <c r="Q530" s="49">
        <v>988820</v>
      </c>
    </row>
    <row r="531" spans="17:17" x14ac:dyDescent="0.3">
      <c r="Q531" s="49">
        <v>986347</v>
      </c>
    </row>
    <row r="532" spans="17:17" x14ac:dyDescent="0.3">
      <c r="Q532" s="49">
        <v>989119</v>
      </c>
    </row>
    <row r="533" spans="17:17" x14ac:dyDescent="0.3">
      <c r="Q533" s="49">
        <v>978020</v>
      </c>
    </row>
    <row r="534" spans="17:17" x14ac:dyDescent="0.3">
      <c r="Q534" s="49">
        <v>993004</v>
      </c>
    </row>
    <row r="535" spans="17:17" x14ac:dyDescent="0.3">
      <c r="Q535" s="49">
        <v>993012</v>
      </c>
    </row>
    <row r="536" spans="17:17" x14ac:dyDescent="0.3">
      <c r="Q536" s="49">
        <v>993015</v>
      </c>
    </row>
    <row r="537" spans="17:17" x14ac:dyDescent="0.3">
      <c r="Q537" s="49">
        <v>991079</v>
      </c>
    </row>
    <row r="538" spans="17:17" x14ac:dyDescent="0.3">
      <c r="Q538" s="49">
        <v>988292</v>
      </c>
    </row>
    <row r="539" spans="17:17" x14ac:dyDescent="0.3">
      <c r="Q539" s="49">
        <v>988823</v>
      </c>
    </row>
    <row r="540" spans="17:17" x14ac:dyDescent="0.3">
      <c r="Q540" s="49">
        <v>966027</v>
      </c>
    </row>
    <row r="541" spans="17:17" x14ac:dyDescent="0.3">
      <c r="Q541" s="49">
        <v>996125</v>
      </c>
    </row>
    <row r="542" spans="17:17" x14ac:dyDescent="0.3">
      <c r="Q542" s="49">
        <v>988619</v>
      </c>
    </row>
    <row r="543" spans="17:17" x14ac:dyDescent="0.3">
      <c r="Q543" s="49">
        <v>988612</v>
      </c>
    </row>
    <row r="544" spans="17:17" x14ac:dyDescent="0.3">
      <c r="Q544" s="49">
        <v>988610</v>
      </c>
    </row>
    <row r="545" spans="17:17" x14ac:dyDescent="0.3">
      <c r="Q545" s="49">
        <v>966052</v>
      </c>
    </row>
    <row r="546" spans="17:17" x14ac:dyDescent="0.3">
      <c r="Q546" s="49">
        <v>996122</v>
      </c>
    </row>
    <row r="547" spans="17:17" x14ac:dyDescent="0.3">
      <c r="Q547" s="49">
        <v>986325</v>
      </c>
    </row>
    <row r="548" spans="17:17" x14ac:dyDescent="0.3">
      <c r="Q548" s="49">
        <v>986370</v>
      </c>
    </row>
    <row r="549" spans="17:17" x14ac:dyDescent="0.3">
      <c r="Q549" s="49">
        <v>954205</v>
      </c>
    </row>
    <row r="550" spans="17:17" x14ac:dyDescent="0.3">
      <c r="Q550" s="49">
        <v>940098</v>
      </c>
    </row>
    <row r="551" spans="17:17" x14ac:dyDescent="0.3">
      <c r="Q551" s="49">
        <v>988831</v>
      </c>
    </row>
    <row r="552" spans="17:17" x14ac:dyDescent="0.3">
      <c r="Q552" s="49">
        <v>996116</v>
      </c>
    </row>
    <row r="553" spans="17:17" x14ac:dyDescent="0.3">
      <c r="Q553" s="49">
        <v>966016</v>
      </c>
    </row>
    <row r="554" spans="17:17" x14ac:dyDescent="0.3">
      <c r="Q554" s="49">
        <v>979044</v>
      </c>
    </row>
    <row r="555" spans="17:17" x14ac:dyDescent="0.3">
      <c r="Q555" s="49">
        <v>992479</v>
      </c>
    </row>
    <row r="556" spans="17:17" x14ac:dyDescent="0.3">
      <c r="Q556" s="49">
        <v>982209</v>
      </c>
    </row>
    <row r="557" spans="17:17" x14ac:dyDescent="0.3">
      <c r="Q557" s="49">
        <v>986374</v>
      </c>
    </row>
    <row r="558" spans="17:17" x14ac:dyDescent="0.3">
      <c r="Q558" s="49">
        <v>982215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1AE84-670F-407F-B5E3-C1C308E267FC}">
  <dimension ref="A1:B24"/>
  <sheetViews>
    <sheetView workbookViewId="0">
      <selection activeCell="A15" sqref="A15"/>
    </sheetView>
  </sheetViews>
  <sheetFormatPr defaultRowHeight="16.5" x14ac:dyDescent="0.3"/>
  <cols>
    <col min="1" max="1" width="77.25" bestFit="1" customWidth="1"/>
  </cols>
  <sheetData>
    <row r="1" spans="1:2" x14ac:dyDescent="0.3">
      <c r="A1" t="s">
        <v>314</v>
      </c>
      <c r="B1" t="s">
        <v>319</v>
      </c>
    </row>
    <row r="2" spans="1:2" x14ac:dyDescent="0.3">
      <c r="A2" t="s">
        <v>291</v>
      </c>
      <c r="B2" t="s">
        <v>315</v>
      </c>
    </row>
    <row r="3" spans="1:2" x14ac:dyDescent="0.3">
      <c r="A3" t="s">
        <v>300</v>
      </c>
      <c r="B3" t="s">
        <v>316</v>
      </c>
    </row>
    <row r="4" spans="1:2" x14ac:dyDescent="0.3">
      <c r="A4" t="s">
        <v>301</v>
      </c>
      <c r="B4" t="s">
        <v>316</v>
      </c>
    </row>
    <row r="5" spans="1:2" x14ac:dyDescent="0.3">
      <c r="A5" t="s">
        <v>295</v>
      </c>
      <c r="B5" t="s">
        <v>316</v>
      </c>
    </row>
    <row r="6" spans="1:2" x14ac:dyDescent="0.3">
      <c r="A6" t="s">
        <v>292</v>
      </c>
      <c r="B6" t="s">
        <v>317</v>
      </c>
    </row>
    <row r="7" spans="1:2" x14ac:dyDescent="0.3">
      <c r="A7" t="s">
        <v>293</v>
      </c>
      <c r="B7" t="s">
        <v>317</v>
      </c>
    </row>
    <row r="8" spans="1:2" x14ac:dyDescent="0.3">
      <c r="A8" t="s">
        <v>298</v>
      </c>
      <c r="B8" t="s">
        <v>317</v>
      </c>
    </row>
    <row r="9" spans="1:2" x14ac:dyDescent="0.3">
      <c r="A9" t="s">
        <v>297</v>
      </c>
      <c r="B9" t="s">
        <v>317</v>
      </c>
    </row>
    <row r="10" spans="1:2" x14ac:dyDescent="0.3">
      <c r="A10" t="s">
        <v>296</v>
      </c>
      <c r="B10" t="s">
        <v>318</v>
      </c>
    </row>
    <row r="11" spans="1:2" x14ac:dyDescent="0.3">
      <c r="A11" t="s">
        <v>302</v>
      </c>
      <c r="B11" t="s">
        <v>318</v>
      </c>
    </row>
    <row r="12" spans="1:2" x14ac:dyDescent="0.3">
      <c r="A12" t="s">
        <v>303</v>
      </c>
      <c r="B12" t="s">
        <v>318</v>
      </c>
    </row>
    <row r="13" spans="1:2" x14ac:dyDescent="0.3">
      <c r="A13" t="s">
        <v>304</v>
      </c>
      <c r="B13" t="s">
        <v>318</v>
      </c>
    </row>
    <row r="14" spans="1:2" x14ac:dyDescent="0.3">
      <c r="A14" t="s">
        <v>305</v>
      </c>
      <c r="B14" t="s">
        <v>318</v>
      </c>
    </row>
    <row r="15" spans="1:2" x14ac:dyDescent="0.3">
      <c r="A15" t="s">
        <v>294</v>
      </c>
      <c r="B15" t="s">
        <v>318</v>
      </c>
    </row>
    <row r="16" spans="1:2" x14ac:dyDescent="0.3">
      <c r="A16" t="s">
        <v>306</v>
      </c>
      <c r="B16" t="s">
        <v>318</v>
      </c>
    </row>
    <row r="17" spans="1:2" x14ac:dyDescent="0.3">
      <c r="A17" t="s">
        <v>307</v>
      </c>
      <c r="B17" t="s">
        <v>318</v>
      </c>
    </row>
    <row r="18" spans="1:2" x14ac:dyDescent="0.3">
      <c r="A18" t="s">
        <v>308</v>
      </c>
      <c r="B18" t="s">
        <v>318</v>
      </c>
    </row>
    <row r="19" spans="1:2" x14ac:dyDescent="0.3">
      <c r="A19" t="s">
        <v>309</v>
      </c>
      <c r="B19" t="s">
        <v>318</v>
      </c>
    </row>
    <row r="20" spans="1:2" x14ac:dyDescent="0.3">
      <c r="A20" t="s">
        <v>310</v>
      </c>
      <c r="B20" t="s">
        <v>318</v>
      </c>
    </row>
    <row r="21" spans="1:2" x14ac:dyDescent="0.3">
      <c r="A21" t="s">
        <v>311</v>
      </c>
      <c r="B21" t="s">
        <v>318</v>
      </c>
    </row>
    <row r="22" spans="1:2" x14ac:dyDescent="0.3">
      <c r="A22" t="s">
        <v>312</v>
      </c>
      <c r="B22" t="s">
        <v>318</v>
      </c>
    </row>
    <row r="23" spans="1:2" x14ac:dyDescent="0.3">
      <c r="A23" t="s">
        <v>299</v>
      </c>
      <c r="B23" t="s">
        <v>318</v>
      </c>
    </row>
    <row r="24" spans="1:2" x14ac:dyDescent="0.3">
      <c r="A24" t="s">
        <v>313</v>
      </c>
      <c r="B24" t="s">
        <v>318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5:AM270"/>
  <sheetViews>
    <sheetView workbookViewId="0">
      <selection activeCell="F1" sqref="F1"/>
    </sheetView>
  </sheetViews>
  <sheetFormatPr defaultRowHeight="12" x14ac:dyDescent="0.3"/>
  <cols>
    <col min="1" max="1" width="7.25" style="12" customWidth="1"/>
    <col min="2" max="2" width="7.25" style="12" hidden="1" customWidth="1"/>
    <col min="3" max="4" width="7.25" style="12" customWidth="1"/>
    <col min="5" max="5" width="11.25" style="12" bestFit="1" customWidth="1"/>
    <col min="6" max="7" width="7.25" style="48" customWidth="1"/>
    <col min="8" max="11" width="7.25" style="6" customWidth="1"/>
    <col min="12" max="12" width="7.25" style="48" customWidth="1"/>
    <col min="13" max="16" width="7.25" style="6" customWidth="1"/>
    <col min="17" max="17" width="7.25" style="48" customWidth="1"/>
    <col min="18" max="21" width="7.25" style="6" customWidth="1"/>
    <col min="22" max="22" width="7.25" style="48" customWidth="1"/>
    <col min="23" max="26" width="7.25" style="6" customWidth="1"/>
    <col min="27" max="27" width="7.25" style="48" customWidth="1"/>
    <col min="28" max="29" width="7.25" style="6" customWidth="1"/>
    <col min="30" max="30" width="7.25" style="48" customWidth="1"/>
    <col min="31" max="34" width="7.25" style="6" customWidth="1"/>
    <col min="35" max="35" width="7.25" style="48" customWidth="1"/>
    <col min="36" max="39" width="7.25" style="6" customWidth="1"/>
    <col min="40" max="16384" width="9" style="6"/>
  </cols>
  <sheetData>
    <row r="5" spans="1:39" x14ac:dyDescent="0.3">
      <c r="A5" s="52" t="s">
        <v>277</v>
      </c>
      <c r="B5" s="54" t="s">
        <v>278</v>
      </c>
      <c r="C5" s="54" t="s">
        <v>279</v>
      </c>
      <c r="D5" s="54" t="s">
        <v>280</v>
      </c>
      <c r="E5" s="56" t="s">
        <v>281</v>
      </c>
      <c r="F5" s="50" t="s">
        <v>276</v>
      </c>
      <c r="G5" s="1" t="s">
        <v>288</v>
      </c>
      <c r="H5" s="2"/>
      <c r="I5" s="2"/>
      <c r="J5" s="2"/>
      <c r="K5" s="3"/>
      <c r="L5" s="4" t="s">
        <v>283</v>
      </c>
      <c r="M5" s="2"/>
      <c r="N5" s="2"/>
      <c r="O5" s="2"/>
      <c r="P5" s="3"/>
      <c r="Q5" s="4" t="s">
        <v>284</v>
      </c>
      <c r="R5" s="2"/>
      <c r="S5" s="2"/>
      <c r="T5" s="2"/>
      <c r="U5" s="3"/>
      <c r="V5" s="4" t="s">
        <v>285</v>
      </c>
      <c r="W5" s="2"/>
      <c r="X5" s="2"/>
      <c r="Y5" s="2"/>
      <c r="Z5" s="3"/>
      <c r="AA5" s="4" t="s">
        <v>286</v>
      </c>
      <c r="AB5" s="2"/>
      <c r="AC5" s="3"/>
      <c r="AD5" s="4" t="s">
        <v>287</v>
      </c>
      <c r="AE5" s="2"/>
      <c r="AF5" s="2"/>
      <c r="AG5" s="2"/>
      <c r="AH5" s="3"/>
      <c r="AI5" s="4" t="s">
        <v>289</v>
      </c>
      <c r="AJ5" s="2"/>
      <c r="AK5" s="2"/>
      <c r="AL5" s="2"/>
      <c r="AM5" s="5"/>
    </row>
    <row r="6" spans="1:39" s="12" customFormat="1" x14ac:dyDescent="0.3">
      <c r="A6" s="53"/>
      <c r="B6" s="55"/>
      <c r="C6" s="55"/>
      <c r="D6" s="55"/>
      <c r="E6" s="57"/>
      <c r="F6" s="51"/>
      <c r="G6" s="7" t="s">
        <v>282</v>
      </c>
      <c r="H6" s="8">
        <v>202510</v>
      </c>
      <c r="I6" s="8">
        <v>202511</v>
      </c>
      <c r="J6" s="8">
        <v>202601</v>
      </c>
      <c r="K6" s="9">
        <v>202602</v>
      </c>
      <c r="L6" s="10" t="s">
        <v>282</v>
      </c>
      <c r="M6" s="8">
        <v>202510</v>
      </c>
      <c r="N6" s="8">
        <v>202511</v>
      </c>
      <c r="O6" s="8">
        <v>202601</v>
      </c>
      <c r="P6" s="9">
        <v>202602</v>
      </c>
      <c r="Q6" s="10" t="s">
        <v>282</v>
      </c>
      <c r="R6" s="8">
        <v>202510</v>
      </c>
      <c r="S6" s="8">
        <v>202511</v>
      </c>
      <c r="T6" s="8">
        <v>202601</v>
      </c>
      <c r="U6" s="9">
        <v>202602</v>
      </c>
      <c r="V6" s="10" t="s">
        <v>282</v>
      </c>
      <c r="W6" s="8">
        <v>202510</v>
      </c>
      <c r="X6" s="8">
        <v>202511</v>
      </c>
      <c r="Y6" s="8">
        <v>202601</v>
      </c>
      <c r="Z6" s="9">
        <v>202602</v>
      </c>
      <c r="AA6" s="10" t="s">
        <v>290</v>
      </c>
      <c r="AB6" s="8">
        <v>202510</v>
      </c>
      <c r="AC6" s="9">
        <v>202511</v>
      </c>
      <c r="AD6" s="10" t="s">
        <v>282</v>
      </c>
      <c r="AE6" s="8">
        <v>202510</v>
      </c>
      <c r="AF6" s="8">
        <v>202511</v>
      </c>
      <c r="AG6" s="8">
        <v>202601</v>
      </c>
      <c r="AH6" s="9">
        <v>202602</v>
      </c>
      <c r="AI6" s="10" t="s">
        <v>282</v>
      </c>
      <c r="AJ6" s="8">
        <v>202510</v>
      </c>
      <c r="AK6" s="8">
        <v>202511</v>
      </c>
      <c r="AL6" s="8">
        <v>202601</v>
      </c>
      <c r="AM6" s="11">
        <v>202602</v>
      </c>
    </row>
    <row r="7" spans="1:39" x14ac:dyDescent="0.3">
      <c r="A7" s="13" t="s">
        <v>274</v>
      </c>
      <c r="B7" s="14" t="s">
        <v>23</v>
      </c>
      <c r="C7" s="14" t="s">
        <v>36</v>
      </c>
      <c r="D7" s="14" t="s">
        <v>6</v>
      </c>
      <c r="E7" s="15" t="s">
        <v>77</v>
      </c>
      <c r="F7" s="16">
        <v>26</v>
      </c>
      <c r="G7" s="17">
        <f>SUM(H7:K7)/4</f>
        <v>25.5</v>
      </c>
      <c r="H7" s="18">
        <v>7</v>
      </c>
      <c r="I7" s="18">
        <v>9</v>
      </c>
      <c r="J7" s="18">
        <v>40</v>
      </c>
      <c r="K7" s="19">
        <v>46</v>
      </c>
      <c r="L7" s="20">
        <f>Q7+V7+AA7+AD7+AI7</f>
        <v>18.150511999999999</v>
      </c>
      <c r="M7" s="21">
        <v>2.2301489999999999</v>
      </c>
      <c r="N7" s="21">
        <v>1.6008869999999997</v>
      </c>
      <c r="O7" s="21">
        <v>40.915493999999995</v>
      </c>
      <c r="P7" s="22">
        <v>27.106560999999999</v>
      </c>
      <c r="Q7" s="20">
        <f>SUM(R7:U7)/4</f>
        <v>1.8742099999999999</v>
      </c>
      <c r="R7" s="21">
        <v>1.2520099999999998</v>
      </c>
      <c r="S7" s="21">
        <v>0.81456000000000006</v>
      </c>
      <c r="T7" s="21">
        <v>2.1048</v>
      </c>
      <c r="U7" s="22">
        <v>3.3254700000000001</v>
      </c>
      <c r="V7" s="20">
        <f>SUM(W7:Z7)/4</f>
        <v>14.07845</v>
      </c>
      <c r="W7" s="21">
        <v>0</v>
      </c>
      <c r="X7" s="21">
        <v>0.50007999999999997</v>
      </c>
      <c r="Y7" s="21">
        <v>35.533760000000001</v>
      </c>
      <c r="Z7" s="22">
        <v>20.279959999999999</v>
      </c>
      <c r="AA7" s="20">
        <f>SUM(AB7:AC7)/2</f>
        <v>0.37447850000000005</v>
      </c>
      <c r="AB7" s="21">
        <v>0.52463000000000004</v>
      </c>
      <c r="AC7" s="22">
        <v>0.224327</v>
      </c>
      <c r="AD7" s="20">
        <f>SUM(AE7:AH7)/4</f>
        <v>1.3233735000000002</v>
      </c>
      <c r="AE7" s="21">
        <v>0.453509</v>
      </c>
      <c r="AF7" s="21">
        <v>6.1919999999999996E-2</v>
      </c>
      <c r="AG7" s="21">
        <v>1.7769340000000002</v>
      </c>
      <c r="AH7" s="22">
        <v>3.001131</v>
      </c>
      <c r="AI7" s="20">
        <f>SUM(AJ7:AM7)/4</f>
        <v>0.49999999999999944</v>
      </c>
      <c r="AJ7" s="21">
        <v>0</v>
      </c>
      <c r="AK7" s="21">
        <v>0</v>
      </c>
      <c r="AL7" s="21">
        <v>1.4999999999999969</v>
      </c>
      <c r="AM7" s="23">
        <v>0.50000000000000089</v>
      </c>
    </row>
    <row r="8" spans="1:39" x14ac:dyDescent="0.3">
      <c r="A8" s="24" t="s">
        <v>274</v>
      </c>
      <c r="B8" s="25" t="s">
        <v>23</v>
      </c>
      <c r="C8" s="25" t="s">
        <v>36</v>
      </c>
      <c r="D8" s="25" t="s">
        <v>6</v>
      </c>
      <c r="E8" s="26" t="s">
        <v>116</v>
      </c>
      <c r="F8" s="27">
        <v>111</v>
      </c>
      <c r="G8" s="28">
        <f t="shared" ref="G8:G71" si="0">SUM(H8:K8)/4</f>
        <v>108</v>
      </c>
      <c r="H8" s="29">
        <v>137</v>
      </c>
      <c r="I8" s="29">
        <v>96</v>
      </c>
      <c r="J8" s="29">
        <v>95</v>
      </c>
      <c r="K8" s="30">
        <v>104</v>
      </c>
      <c r="L8" s="31">
        <f t="shared" ref="L8:L71" si="1">Q8+V8+AA8+AD8+AI8</f>
        <v>57.537817249999996</v>
      </c>
      <c r="M8" s="32">
        <v>69.251423999999986</v>
      </c>
      <c r="N8" s="32">
        <v>64.932286999999988</v>
      </c>
      <c r="O8" s="32">
        <v>42.487492000000003</v>
      </c>
      <c r="P8" s="33">
        <v>39.787699999999994</v>
      </c>
      <c r="Q8" s="31">
        <f t="shared" ref="Q8:Q71" si="2">SUM(R8:U8)/4</f>
        <v>14.083565999999999</v>
      </c>
      <c r="R8" s="32">
        <v>17.691824999999998</v>
      </c>
      <c r="S8" s="32">
        <v>8.2920160000000003</v>
      </c>
      <c r="T8" s="32">
        <v>17.357544999999998</v>
      </c>
      <c r="U8" s="33">
        <v>12.992877999999999</v>
      </c>
      <c r="V8" s="31">
        <f t="shared" ref="V8:V71" si="3">SUM(W8:Z8)/4</f>
        <v>15.168525000000001</v>
      </c>
      <c r="W8" s="32">
        <v>11.428965</v>
      </c>
      <c r="X8" s="32">
        <v>37.580919000000002</v>
      </c>
      <c r="Y8" s="32">
        <v>5.7298460000000002</v>
      </c>
      <c r="Z8" s="33">
        <v>5.9343699999999995</v>
      </c>
      <c r="AA8" s="31">
        <f t="shared" ref="AA8:AA71" si="4">SUM(AB8:AC8)/2</f>
        <v>6.8461829999999999</v>
      </c>
      <c r="AB8" s="32">
        <v>10.346147999999999</v>
      </c>
      <c r="AC8" s="33">
        <v>3.3462180000000004</v>
      </c>
      <c r="AD8" s="31">
        <f t="shared" ref="AD8:AD71" si="5">SUM(AE8:AH8)/4</f>
        <v>4.8708132499999994</v>
      </c>
      <c r="AE8" s="32">
        <v>2.7244859999999997</v>
      </c>
      <c r="AF8" s="32">
        <v>1.9631339999999999</v>
      </c>
      <c r="AG8" s="32">
        <v>5.5351810000000006</v>
      </c>
      <c r="AH8" s="33">
        <v>9.260451999999999</v>
      </c>
      <c r="AI8" s="31">
        <f t="shared" ref="AI8:AI71" si="6">SUM(AJ8:AM8)/4</f>
        <v>16.568729999999995</v>
      </c>
      <c r="AJ8" s="32">
        <v>27.059999999999995</v>
      </c>
      <c r="AK8" s="32">
        <v>13.749999999999982</v>
      </c>
      <c r="AL8" s="32">
        <v>13.864920000000005</v>
      </c>
      <c r="AM8" s="34">
        <v>11.599999999999996</v>
      </c>
    </row>
    <row r="9" spans="1:39" x14ac:dyDescent="0.3">
      <c r="A9" s="24" t="s">
        <v>274</v>
      </c>
      <c r="B9" s="25" t="s">
        <v>23</v>
      </c>
      <c r="C9" s="25" t="s">
        <v>36</v>
      </c>
      <c r="D9" s="25" t="s">
        <v>6</v>
      </c>
      <c r="E9" s="26" t="s">
        <v>165</v>
      </c>
      <c r="F9" s="27">
        <v>97</v>
      </c>
      <c r="G9" s="28">
        <f t="shared" si="0"/>
        <v>75.5</v>
      </c>
      <c r="H9" s="29">
        <v>75</v>
      </c>
      <c r="I9" s="29">
        <v>65</v>
      </c>
      <c r="J9" s="29">
        <v>77</v>
      </c>
      <c r="K9" s="30">
        <v>85</v>
      </c>
      <c r="L9" s="31">
        <f t="shared" si="1"/>
        <v>38.905713249999998</v>
      </c>
      <c r="M9" s="32">
        <v>40.369595999999994</v>
      </c>
      <c r="N9" s="32">
        <v>39.033026999999997</v>
      </c>
      <c r="O9" s="32">
        <v>36.227751000000012</v>
      </c>
      <c r="P9" s="33">
        <v>34.03548</v>
      </c>
      <c r="Q9" s="31">
        <f t="shared" si="2"/>
        <v>9.8994579999999992</v>
      </c>
      <c r="R9" s="32">
        <v>12.527130999999999</v>
      </c>
      <c r="S9" s="32">
        <v>10.783093000000001</v>
      </c>
      <c r="T9" s="32">
        <v>8.0258009999999995</v>
      </c>
      <c r="U9" s="33">
        <v>8.2618069999999992</v>
      </c>
      <c r="V9" s="31">
        <f t="shared" si="3"/>
        <v>10.504282000000002</v>
      </c>
      <c r="W9" s="32">
        <v>8.773670000000001</v>
      </c>
      <c r="X9" s="32">
        <v>17.174787999999999</v>
      </c>
      <c r="Y9" s="32">
        <v>8.3477500000000013</v>
      </c>
      <c r="Z9" s="33">
        <v>7.7209199999999996</v>
      </c>
      <c r="AA9" s="31">
        <f t="shared" si="4"/>
        <v>2.9784994999999999</v>
      </c>
      <c r="AB9" s="32">
        <v>4.3349859999999998</v>
      </c>
      <c r="AC9" s="33">
        <v>1.6220129999999999</v>
      </c>
      <c r="AD9" s="31">
        <f t="shared" si="5"/>
        <v>5.05303375</v>
      </c>
      <c r="AE9" s="32">
        <v>0.35800900000000002</v>
      </c>
      <c r="AF9" s="32">
        <v>1.953133</v>
      </c>
      <c r="AG9" s="32">
        <v>8.0541999999999998</v>
      </c>
      <c r="AH9" s="33">
        <v>9.8467929999999999</v>
      </c>
      <c r="AI9" s="31">
        <f t="shared" si="6"/>
        <v>10.470440000000002</v>
      </c>
      <c r="AJ9" s="32">
        <v>14.375799999999995</v>
      </c>
      <c r="AK9" s="32">
        <v>7.4999999999999973</v>
      </c>
      <c r="AL9" s="32">
        <v>11.80000000000001</v>
      </c>
      <c r="AM9" s="34">
        <v>8.2059600000000028</v>
      </c>
    </row>
    <row r="10" spans="1:39" x14ac:dyDescent="0.3">
      <c r="A10" s="24" t="s">
        <v>274</v>
      </c>
      <c r="B10" s="25" t="s">
        <v>33</v>
      </c>
      <c r="C10" s="25" t="s">
        <v>38</v>
      </c>
      <c r="D10" s="25" t="s">
        <v>16</v>
      </c>
      <c r="E10" s="26" t="s">
        <v>64</v>
      </c>
      <c r="F10" s="27">
        <v>110</v>
      </c>
      <c r="G10" s="28">
        <f t="shared" si="0"/>
        <v>124.5</v>
      </c>
      <c r="H10" s="29">
        <v>119</v>
      </c>
      <c r="I10" s="29">
        <v>136</v>
      </c>
      <c r="J10" s="29">
        <v>130</v>
      </c>
      <c r="K10" s="30">
        <v>113</v>
      </c>
      <c r="L10" s="31">
        <f t="shared" si="1"/>
        <v>78.52157425</v>
      </c>
      <c r="M10" s="32">
        <v>83.836837999999986</v>
      </c>
      <c r="N10" s="32">
        <v>90.212276000000017</v>
      </c>
      <c r="O10" s="32">
        <v>68.340356</v>
      </c>
      <c r="P10" s="33">
        <v>57.864837000000009</v>
      </c>
      <c r="Q10" s="31">
        <f t="shared" si="2"/>
        <v>45.180365500000001</v>
      </c>
      <c r="R10" s="32">
        <v>52.890937999999998</v>
      </c>
      <c r="S10" s="32">
        <v>58.782136000000001</v>
      </c>
      <c r="T10" s="32">
        <v>37.423636999999999</v>
      </c>
      <c r="U10" s="33">
        <v>31.624751000000003</v>
      </c>
      <c r="V10" s="31">
        <f t="shared" si="3"/>
        <v>15.824996249999998</v>
      </c>
      <c r="W10" s="32">
        <v>18.116207999999997</v>
      </c>
      <c r="X10" s="32">
        <v>17.119586999999999</v>
      </c>
      <c r="Y10" s="32">
        <v>16.146170000000001</v>
      </c>
      <c r="Z10" s="33">
        <v>11.91802</v>
      </c>
      <c r="AA10" s="31">
        <f t="shared" si="4"/>
        <v>6.9159950000000006</v>
      </c>
      <c r="AB10" s="32">
        <v>9.0639020000000006</v>
      </c>
      <c r="AC10" s="33">
        <v>4.7680880000000005</v>
      </c>
      <c r="AD10" s="31">
        <f t="shared" si="5"/>
        <v>6.4501299999999997</v>
      </c>
      <c r="AE10" s="32">
        <v>1.8657899999999998</v>
      </c>
      <c r="AF10" s="32">
        <v>4.8116149999999998</v>
      </c>
      <c r="AG10" s="32">
        <v>9.4705490000000001</v>
      </c>
      <c r="AH10" s="33">
        <v>9.6525660000000002</v>
      </c>
      <c r="AI10" s="31">
        <f t="shared" si="6"/>
        <v>4.1500875000000033</v>
      </c>
      <c r="AJ10" s="32">
        <v>1.8999999999999904</v>
      </c>
      <c r="AK10" s="32">
        <v>4.7308500000000162</v>
      </c>
      <c r="AL10" s="32">
        <v>5.2999999999999989</v>
      </c>
      <c r="AM10" s="34">
        <v>4.6695000000000046</v>
      </c>
    </row>
    <row r="11" spans="1:39" x14ac:dyDescent="0.3">
      <c r="A11" s="24" t="s">
        <v>274</v>
      </c>
      <c r="B11" s="25" t="s">
        <v>33</v>
      </c>
      <c r="C11" s="25" t="s">
        <v>38</v>
      </c>
      <c r="D11" s="25" t="s">
        <v>16</v>
      </c>
      <c r="E11" s="26" t="s">
        <v>162</v>
      </c>
      <c r="F11" s="27">
        <v>68</v>
      </c>
      <c r="G11" s="28">
        <f t="shared" si="0"/>
        <v>58.25</v>
      </c>
      <c r="H11" s="29">
        <v>65</v>
      </c>
      <c r="I11" s="29">
        <v>50</v>
      </c>
      <c r="J11" s="29">
        <v>67</v>
      </c>
      <c r="K11" s="30">
        <v>51</v>
      </c>
      <c r="L11" s="31">
        <f t="shared" si="1"/>
        <v>39.374822999999999</v>
      </c>
      <c r="M11" s="32">
        <v>39.064086999999994</v>
      </c>
      <c r="N11" s="32">
        <v>28.961226999999997</v>
      </c>
      <c r="O11" s="32">
        <v>43.683055000000003</v>
      </c>
      <c r="P11" s="33">
        <v>39.159241000000002</v>
      </c>
      <c r="Q11" s="31">
        <f t="shared" si="2"/>
        <v>20.243731</v>
      </c>
      <c r="R11" s="32">
        <v>18.244319999999998</v>
      </c>
      <c r="S11" s="32">
        <v>16.432130000000001</v>
      </c>
      <c r="T11" s="32">
        <v>23.35257</v>
      </c>
      <c r="U11" s="33">
        <v>22.945903999999999</v>
      </c>
      <c r="V11" s="31">
        <f t="shared" si="3"/>
        <v>8.0058989999999994</v>
      </c>
      <c r="W11" s="32">
        <v>11.407093</v>
      </c>
      <c r="X11" s="32">
        <v>8.0829000000000004</v>
      </c>
      <c r="Y11" s="32">
        <v>9.0062720000000009</v>
      </c>
      <c r="Z11" s="33">
        <v>3.5273309999999998</v>
      </c>
      <c r="AA11" s="31">
        <f t="shared" si="4"/>
        <v>3.3158410000000003</v>
      </c>
      <c r="AB11" s="32">
        <v>5.2118160000000007</v>
      </c>
      <c r="AC11" s="33">
        <v>1.4198659999999999</v>
      </c>
      <c r="AD11" s="31">
        <f t="shared" si="5"/>
        <v>2.9093520000000002</v>
      </c>
      <c r="AE11" s="32">
        <v>1.9008579999999997</v>
      </c>
      <c r="AF11" s="32">
        <v>3.0263309999999999</v>
      </c>
      <c r="AG11" s="32">
        <v>4.1242130000000001</v>
      </c>
      <c r="AH11" s="33">
        <v>2.5860060000000002</v>
      </c>
      <c r="AI11" s="31">
        <f t="shared" si="6"/>
        <v>4.8999999999999995</v>
      </c>
      <c r="AJ11" s="32">
        <v>2.2999999999999954</v>
      </c>
      <c r="AK11" s="32">
        <v>0</v>
      </c>
      <c r="AL11" s="32">
        <v>7.200000000000002</v>
      </c>
      <c r="AM11" s="34">
        <v>10.100000000000001</v>
      </c>
    </row>
    <row r="12" spans="1:39" x14ac:dyDescent="0.3">
      <c r="A12" s="24" t="s">
        <v>274</v>
      </c>
      <c r="B12" s="25" t="s">
        <v>33</v>
      </c>
      <c r="C12" s="25" t="s">
        <v>38</v>
      </c>
      <c r="D12" s="25" t="s">
        <v>6</v>
      </c>
      <c r="E12" s="26" t="s">
        <v>192</v>
      </c>
      <c r="F12" s="27">
        <v>4</v>
      </c>
      <c r="G12" s="28">
        <f t="shared" si="0"/>
        <v>2.25</v>
      </c>
      <c r="H12" s="29">
        <v>2</v>
      </c>
      <c r="I12" s="29">
        <v>1</v>
      </c>
      <c r="J12" s="29">
        <v>2</v>
      </c>
      <c r="K12" s="30">
        <v>4</v>
      </c>
      <c r="L12" s="31">
        <f t="shared" si="1"/>
        <v>0.94344474999999994</v>
      </c>
      <c r="M12" s="32">
        <v>0.75294899999999998</v>
      </c>
      <c r="N12" s="32">
        <v>1.00708</v>
      </c>
      <c r="O12" s="32">
        <v>0.30319000000000002</v>
      </c>
      <c r="P12" s="33">
        <v>1.7105600000000001</v>
      </c>
      <c r="Q12" s="31">
        <f t="shared" si="2"/>
        <v>0.86764724999999998</v>
      </c>
      <c r="R12" s="32">
        <v>0.75294899999999998</v>
      </c>
      <c r="S12" s="32">
        <v>1.00708</v>
      </c>
      <c r="T12" s="32">
        <v>0</v>
      </c>
      <c r="U12" s="33">
        <v>1.7105600000000001</v>
      </c>
      <c r="V12" s="31">
        <f t="shared" si="3"/>
        <v>0</v>
      </c>
      <c r="W12" s="32">
        <v>0</v>
      </c>
      <c r="X12" s="32">
        <v>0</v>
      </c>
      <c r="Y12" s="32">
        <v>0</v>
      </c>
      <c r="Z12" s="33">
        <v>0</v>
      </c>
      <c r="AA12" s="31">
        <f t="shared" si="4"/>
        <v>0</v>
      </c>
      <c r="AB12" s="32">
        <v>0</v>
      </c>
      <c r="AC12" s="33">
        <v>0</v>
      </c>
      <c r="AD12" s="31">
        <f t="shared" si="5"/>
        <v>1.32975E-2</v>
      </c>
      <c r="AE12" s="32">
        <v>0</v>
      </c>
      <c r="AF12" s="32">
        <v>0</v>
      </c>
      <c r="AG12" s="32">
        <v>5.3190000000000001E-2</v>
      </c>
      <c r="AH12" s="33">
        <v>0</v>
      </c>
      <c r="AI12" s="31">
        <f t="shared" si="6"/>
        <v>6.25E-2</v>
      </c>
      <c r="AJ12" s="32">
        <v>0</v>
      </c>
      <c r="AK12" s="32">
        <v>0</v>
      </c>
      <c r="AL12" s="32">
        <v>0.25</v>
      </c>
      <c r="AM12" s="34">
        <v>0</v>
      </c>
    </row>
    <row r="13" spans="1:39" x14ac:dyDescent="0.3">
      <c r="A13" s="24" t="s">
        <v>274</v>
      </c>
      <c r="B13" s="25" t="s">
        <v>10</v>
      </c>
      <c r="C13" s="25" t="s">
        <v>37</v>
      </c>
      <c r="D13" s="25" t="s">
        <v>16</v>
      </c>
      <c r="E13" s="26" t="s">
        <v>86</v>
      </c>
      <c r="F13" s="27">
        <v>42</v>
      </c>
      <c r="G13" s="28">
        <f t="shared" si="0"/>
        <v>21</v>
      </c>
      <c r="H13" s="29">
        <v>12</v>
      </c>
      <c r="I13" s="29">
        <v>27</v>
      </c>
      <c r="J13" s="29">
        <v>18</v>
      </c>
      <c r="K13" s="30">
        <v>27</v>
      </c>
      <c r="L13" s="31">
        <f t="shared" si="1"/>
        <v>14.515541000000001</v>
      </c>
      <c r="M13" s="32">
        <v>11.988034000000001</v>
      </c>
      <c r="N13" s="32">
        <v>21.50855</v>
      </c>
      <c r="O13" s="32">
        <v>8.8007439999999999</v>
      </c>
      <c r="P13" s="33">
        <v>14.881634</v>
      </c>
      <c r="Q13" s="31">
        <f t="shared" si="2"/>
        <v>5.2571449999999995</v>
      </c>
      <c r="R13" s="32">
        <v>3.2185760000000001</v>
      </c>
      <c r="S13" s="32">
        <v>10.059759</v>
      </c>
      <c r="T13" s="32">
        <v>2.1910810000000001</v>
      </c>
      <c r="U13" s="33">
        <v>5.5591639999999991</v>
      </c>
      <c r="V13" s="31">
        <f t="shared" si="3"/>
        <v>7.8995525000000004</v>
      </c>
      <c r="W13" s="32">
        <v>8.2375499999999988</v>
      </c>
      <c r="X13" s="32">
        <v>10.680630000000001</v>
      </c>
      <c r="Y13" s="32">
        <v>4.9387700000000008</v>
      </c>
      <c r="Z13" s="33">
        <v>7.7412599999999987</v>
      </c>
      <c r="AA13" s="31">
        <f t="shared" si="4"/>
        <v>0.44160099999999997</v>
      </c>
      <c r="AB13" s="32">
        <v>0.46786399999999995</v>
      </c>
      <c r="AC13" s="33">
        <v>0.41533799999999998</v>
      </c>
      <c r="AD13" s="31">
        <f t="shared" si="5"/>
        <v>0.58912750000000003</v>
      </c>
      <c r="AE13" s="32">
        <v>6.4044000000000004E-2</v>
      </c>
      <c r="AF13" s="32">
        <v>0.352823</v>
      </c>
      <c r="AG13" s="32">
        <v>0.65843300000000005</v>
      </c>
      <c r="AH13" s="33">
        <v>1.28121</v>
      </c>
      <c r="AI13" s="31">
        <f t="shared" si="6"/>
        <v>0.32811500000000055</v>
      </c>
      <c r="AJ13" s="32">
        <v>1.429412144204889E-15</v>
      </c>
      <c r="AK13" s="32">
        <v>0</v>
      </c>
      <c r="AL13" s="32">
        <v>1.0124599999999986</v>
      </c>
      <c r="AM13" s="34">
        <v>0.30000000000000226</v>
      </c>
    </row>
    <row r="14" spans="1:39" x14ac:dyDescent="0.3">
      <c r="A14" s="24" t="s">
        <v>274</v>
      </c>
      <c r="B14" s="25" t="s">
        <v>10</v>
      </c>
      <c r="C14" s="25" t="s">
        <v>37</v>
      </c>
      <c r="D14" s="25" t="s">
        <v>6</v>
      </c>
      <c r="E14" s="26" t="s">
        <v>95</v>
      </c>
      <c r="F14" s="27">
        <v>92</v>
      </c>
      <c r="G14" s="28">
        <f t="shared" si="0"/>
        <v>85.5</v>
      </c>
      <c r="H14" s="29">
        <v>104</v>
      </c>
      <c r="I14" s="29">
        <v>93</v>
      </c>
      <c r="J14" s="29">
        <v>74</v>
      </c>
      <c r="K14" s="30">
        <v>71</v>
      </c>
      <c r="L14" s="31">
        <f t="shared" si="1"/>
        <v>44.913426500000007</v>
      </c>
      <c r="M14" s="32">
        <v>52.755542000000013</v>
      </c>
      <c r="N14" s="32">
        <v>37.08618100000001</v>
      </c>
      <c r="O14" s="32">
        <v>49.616260000000004</v>
      </c>
      <c r="P14" s="33">
        <v>31.010372999999994</v>
      </c>
      <c r="Q14" s="31">
        <f t="shared" si="2"/>
        <v>8.9658102500000005</v>
      </c>
      <c r="R14" s="32">
        <v>20.500326999999999</v>
      </c>
      <c r="S14" s="32">
        <v>5.3148920000000004</v>
      </c>
      <c r="T14" s="32">
        <v>5.5321060000000006</v>
      </c>
      <c r="U14" s="33">
        <v>4.5159160000000007</v>
      </c>
      <c r="V14" s="31">
        <f t="shared" si="3"/>
        <v>26.205099750000002</v>
      </c>
      <c r="W14" s="32">
        <v>20.905199000000003</v>
      </c>
      <c r="X14" s="32">
        <v>22.43627</v>
      </c>
      <c r="Y14" s="32">
        <v>40.355020000000003</v>
      </c>
      <c r="Z14" s="33">
        <v>21.123909999999999</v>
      </c>
      <c r="AA14" s="31">
        <f t="shared" si="4"/>
        <v>4.5926749999999998</v>
      </c>
      <c r="AB14" s="32">
        <v>5.2593749999999995</v>
      </c>
      <c r="AC14" s="33">
        <v>3.9259750000000002</v>
      </c>
      <c r="AD14" s="31">
        <f t="shared" si="5"/>
        <v>2.5498415000000003</v>
      </c>
      <c r="AE14" s="32">
        <v>1.6906409999999998</v>
      </c>
      <c r="AF14" s="32">
        <v>2.5090440000000003</v>
      </c>
      <c r="AG14" s="32">
        <v>2.1291340000000001</v>
      </c>
      <c r="AH14" s="33">
        <v>3.8705469999999997</v>
      </c>
      <c r="AI14" s="31">
        <f t="shared" si="6"/>
        <v>2.6000000000000041</v>
      </c>
      <c r="AJ14" s="32">
        <v>4.400000000000011</v>
      </c>
      <c r="AK14" s="32">
        <v>2.9000000000000092</v>
      </c>
      <c r="AL14" s="32">
        <v>1.6000000000000019</v>
      </c>
      <c r="AM14" s="34">
        <v>1.4999999999999951</v>
      </c>
    </row>
    <row r="15" spans="1:39" x14ac:dyDescent="0.3">
      <c r="A15" s="24" t="s">
        <v>274</v>
      </c>
      <c r="B15" s="25" t="s">
        <v>10</v>
      </c>
      <c r="C15" s="25" t="s">
        <v>37</v>
      </c>
      <c r="D15" s="25" t="s">
        <v>24</v>
      </c>
      <c r="E15" s="26" t="s">
        <v>124</v>
      </c>
      <c r="F15" s="27">
        <v>49</v>
      </c>
      <c r="G15" s="28">
        <f t="shared" si="0"/>
        <v>10.75</v>
      </c>
      <c r="H15" s="29">
        <v>13</v>
      </c>
      <c r="I15" s="29">
        <v>7</v>
      </c>
      <c r="J15" s="29">
        <v>12</v>
      </c>
      <c r="K15" s="30">
        <v>11</v>
      </c>
      <c r="L15" s="31">
        <f t="shared" si="1"/>
        <v>7.4806152500000005</v>
      </c>
      <c r="M15" s="32">
        <v>7.737717</v>
      </c>
      <c r="N15" s="32">
        <v>6.6845140000000001</v>
      </c>
      <c r="O15" s="32">
        <v>8.9969310000000018</v>
      </c>
      <c r="P15" s="33">
        <v>5.5615170000000003</v>
      </c>
      <c r="Q15" s="31">
        <f t="shared" si="2"/>
        <v>2.4114364999999998</v>
      </c>
      <c r="R15" s="32">
        <v>1.5421339999999999</v>
      </c>
      <c r="S15" s="32">
        <v>0.30096000000000001</v>
      </c>
      <c r="T15" s="32">
        <v>5.1407209999999992</v>
      </c>
      <c r="U15" s="33">
        <v>2.661931</v>
      </c>
      <c r="V15" s="31">
        <f t="shared" si="3"/>
        <v>2.8882895000000004</v>
      </c>
      <c r="W15" s="32">
        <v>1.7114609999999999</v>
      </c>
      <c r="X15" s="32">
        <v>6.3193370000000009</v>
      </c>
      <c r="Y15" s="32">
        <v>3.3183600000000002</v>
      </c>
      <c r="Z15" s="33">
        <v>0.20399999999999999</v>
      </c>
      <c r="AA15" s="31">
        <f t="shared" si="4"/>
        <v>0.470891</v>
      </c>
      <c r="AB15" s="32">
        <v>0.87756500000000004</v>
      </c>
      <c r="AC15" s="33">
        <v>6.4216999999999996E-2</v>
      </c>
      <c r="AD15" s="31">
        <f t="shared" si="5"/>
        <v>0.44499824999999998</v>
      </c>
      <c r="AE15" s="32">
        <v>0.106557</v>
      </c>
      <c r="AF15" s="32">
        <v>0</v>
      </c>
      <c r="AG15" s="32">
        <v>0.53784999999999994</v>
      </c>
      <c r="AH15" s="33">
        <v>1.135586</v>
      </c>
      <c r="AI15" s="31">
        <f t="shared" si="6"/>
        <v>1.2650000000000006</v>
      </c>
      <c r="AJ15" s="32">
        <v>3.5</v>
      </c>
      <c r="AK15" s="32">
        <v>0</v>
      </c>
      <c r="AL15" s="32">
        <v>2.4424906541753444E-15</v>
      </c>
      <c r="AM15" s="34">
        <v>1.56</v>
      </c>
    </row>
    <row r="16" spans="1:39" x14ac:dyDescent="0.3">
      <c r="A16" s="24" t="s">
        <v>274</v>
      </c>
      <c r="B16" s="25" t="s">
        <v>10</v>
      </c>
      <c r="C16" s="25" t="s">
        <v>37</v>
      </c>
      <c r="D16" s="25" t="s">
        <v>24</v>
      </c>
      <c r="E16" s="26" t="s">
        <v>84</v>
      </c>
      <c r="F16" s="27">
        <v>1</v>
      </c>
      <c r="G16" s="28">
        <f t="shared" si="0"/>
        <v>0</v>
      </c>
      <c r="H16" s="29">
        <v>0</v>
      </c>
      <c r="I16" s="29">
        <v>0</v>
      </c>
      <c r="J16" s="29">
        <v>0</v>
      </c>
      <c r="K16" s="30">
        <v>0</v>
      </c>
      <c r="L16" s="31">
        <f t="shared" si="1"/>
        <v>0</v>
      </c>
      <c r="M16" s="32">
        <v>0</v>
      </c>
      <c r="N16" s="32">
        <v>0</v>
      </c>
      <c r="O16" s="32">
        <v>0</v>
      </c>
      <c r="P16" s="33">
        <v>0</v>
      </c>
      <c r="Q16" s="31">
        <f t="shared" si="2"/>
        <v>0</v>
      </c>
      <c r="R16" s="32">
        <v>0</v>
      </c>
      <c r="S16" s="32">
        <v>0</v>
      </c>
      <c r="T16" s="32">
        <v>0</v>
      </c>
      <c r="U16" s="33">
        <v>0</v>
      </c>
      <c r="V16" s="31">
        <f t="shared" si="3"/>
        <v>0</v>
      </c>
      <c r="W16" s="32">
        <v>0</v>
      </c>
      <c r="X16" s="32">
        <v>0</v>
      </c>
      <c r="Y16" s="32">
        <v>0</v>
      </c>
      <c r="Z16" s="33">
        <v>0</v>
      </c>
      <c r="AA16" s="31">
        <f t="shared" si="4"/>
        <v>0</v>
      </c>
      <c r="AB16" s="32">
        <v>0</v>
      </c>
      <c r="AC16" s="33">
        <v>0</v>
      </c>
      <c r="AD16" s="31">
        <f t="shared" si="5"/>
        <v>0</v>
      </c>
      <c r="AE16" s="32">
        <v>0</v>
      </c>
      <c r="AF16" s="32">
        <v>0</v>
      </c>
      <c r="AG16" s="32">
        <v>0</v>
      </c>
      <c r="AH16" s="33">
        <v>0</v>
      </c>
      <c r="AI16" s="31">
        <f t="shared" si="6"/>
        <v>0</v>
      </c>
      <c r="AJ16" s="32">
        <v>0</v>
      </c>
      <c r="AK16" s="32">
        <v>0</v>
      </c>
      <c r="AL16" s="32">
        <v>0</v>
      </c>
      <c r="AM16" s="34">
        <v>0</v>
      </c>
    </row>
    <row r="17" spans="1:39" x14ac:dyDescent="0.3">
      <c r="A17" s="24" t="s">
        <v>274</v>
      </c>
      <c r="B17" s="25" t="s">
        <v>10</v>
      </c>
      <c r="C17" s="25" t="s">
        <v>37</v>
      </c>
      <c r="D17" s="25" t="s">
        <v>24</v>
      </c>
      <c r="E17" s="26" t="s">
        <v>231</v>
      </c>
      <c r="F17" s="27">
        <v>14</v>
      </c>
      <c r="G17" s="28">
        <f t="shared" si="0"/>
        <v>2.25</v>
      </c>
      <c r="H17" s="29">
        <v>4</v>
      </c>
      <c r="I17" s="29">
        <v>1</v>
      </c>
      <c r="J17" s="29">
        <v>4</v>
      </c>
      <c r="K17" s="30">
        <v>0</v>
      </c>
      <c r="L17" s="31">
        <f t="shared" si="1"/>
        <v>0.73464450000000003</v>
      </c>
      <c r="M17" s="32">
        <v>1.2375210000000001</v>
      </c>
      <c r="N17" s="32">
        <v>0.50088500000000002</v>
      </c>
      <c r="O17" s="32">
        <v>1.200172</v>
      </c>
      <c r="P17" s="33">
        <v>0</v>
      </c>
      <c r="Q17" s="31">
        <f t="shared" si="2"/>
        <v>0.63901350000000001</v>
      </c>
      <c r="R17" s="32">
        <v>1.143383</v>
      </c>
      <c r="S17" s="32">
        <v>0.50088500000000002</v>
      </c>
      <c r="T17" s="32">
        <v>0.91178599999999999</v>
      </c>
      <c r="U17" s="33">
        <v>0</v>
      </c>
      <c r="V17" s="31">
        <f t="shared" si="3"/>
        <v>0</v>
      </c>
      <c r="W17" s="32">
        <v>0</v>
      </c>
      <c r="X17" s="32">
        <v>0</v>
      </c>
      <c r="Y17" s="32">
        <v>0</v>
      </c>
      <c r="Z17" s="33">
        <v>0</v>
      </c>
      <c r="AA17" s="31">
        <f t="shared" si="4"/>
        <v>0</v>
      </c>
      <c r="AB17" s="32">
        <v>0</v>
      </c>
      <c r="AC17" s="33">
        <v>0</v>
      </c>
      <c r="AD17" s="31">
        <f t="shared" si="5"/>
        <v>4.5631000000000005E-2</v>
      </c>
      <c r="AE17" s="32">
        <v>9.4137999999999999E-2</v>
      </c>
      <c r="AF17" s="32">
        <v>0</v>
      </c>
      <c r="AG17" s="32">
        <v>8.8386000000000006E-2</v>
      </c>
      <c r="AH17" s="33">
        <v>0</v>
      </c>
      <c r="AI17" s="31">
        <f t="shared" si="6"/>
        <v>0.05</v>
      </c>
      <c r="AJ17" s="32">
        <v>0</v>
      </c>
      <c r="AK17" s="32">
        <v>0</v>
      </c>
      <c r="AL17" s="32">
        <v>0.2</v>
      </c>
      <c r="AM17" s="34">
        <v>0</v>
      </c>
    </row>
    <row r="18" spans="1:39" x14ac:dyDescent="0.3">
      <c r="A18" s="24" t="s">
        <v>274</v>
      </c>
      <c r="B18" s="25" t="s">
        <v>10</v>
      </c>
      <c r="C18" s="25" t="s">
        <v>37</v>
      </c>
      <c r="D18" s="25" t="s">
        <v>24</v>
      </c>
      <c r="E18" s="26" t="s">
        <v>122</v>
      </c>
      <c r="F18" s="27">
        <v>10</v>
      </c>
      <c r="G18" s="28">
        <f t="shared" si="0"/>
        <v>0.75</v>
      </c>
      <c r="H18" s="29">
        <v>0</v>
      </c>
      <c r="I18" s="29">
        <v>2</v>
      </c>
      <c r="J18" s="29">
        <v>1</v>
      </c>
      <c r="K18" s="30">
        <v>0</v>
      </c>
      <c r="L18" s="31">
        <f t="shared" si="1"/>
        <v>0.97084324999999994</v>
      </c>
      <c r="M18" s="32">
        <v>0</v>
      </c>
      <c r="N18" s="32">
        <v>2.8796029999999999</v>
      </c>
      <c r="O18" s="32">
        <v>1.0037700000000001</v>
      </c>
      <c r="P18" s="33">
        <v>0</v>
      </c>
      <c r="Q18" s="31">
        <f t="shared" si="2"/>
        <v>0.97084324999999994</v>
      </c>
      <c r="R18" s="32">
        <v>0</v>
      </c>
      <c r="S18" s="32">
        <v>2.8796029999999999</v>
      </c>
      <c r="T18" s="32">
        <v>1.0037700000000001</v>
      </c>
      <c r="U18" s="33">
        <v>0</v>
      </c>
      <c r="V18" s="31">
        <f t="shared" si="3"/>
        <v>0</v>
      </c>
      <c r="W18" s="32">
        <v>0</v>
      </c>
      <c r="X18" s="32">
        <v>0</v>
      </c>
      <c r="Y18" s="32">
        <v>0</v>
      </c>
      <c r="Z18" s="33">
        <v>0</v>
      </c>
      <c r="AA18" s="31">
        <f t="shared" si="4"/>
        <v>0</v>
      </c>
      <c r="AB18" s="32">
        <v>0</v>
      </c>
      <c r="AC18" s="33">
        <v>0</v>
      </c>
      <c r="AD18" s="31">
        <f t="shared" si="5"/>
        <v>0</v>
      </c>
      <c r="AE18" s="32">
        <v>0</v>
      </c>
      <c r="AF18" s="32">
        <v>0</v>
      </c>
      <c r="AG18" s="32">
        <v>0</v>
      </c>
      <c r="AH18" s="33">
        <v>0</v>
      </c>
      <c r="AI18" s="31">
        <f t="shared" si="6"/>
        <v>0</v>
      </c>
      <c r="AJ18" s="32">
        <v>0</v>
      </c>
      <c r="AK18" s="32">
        <v>0</v>
      </c>
      <c r="AL18" s="32">
        <v>0</v>
      </c>
      <c r="AM18" s="34">
        <v>0</v>
      </c>
    </row>
    <row r="19" spans="1:39" x14ac:dyDescent="0.3">
      <c r="A19" s="24" t="s">
        <v>274</v>
      </c>
      <c r="B19" s="25" t="s">
        <v>10</v>
      </c>
      <c r="C19" s="25" t="s">
        <v>37</v>
      </c>
      <c r="D19" s="25" t="s">
        <v>24</v>
      </c>
      <c r="E19" s="26" t="s">
        <v>99</v>
      </c>
      <c r="F19" s="27">
        <v>16</v>
      </c>
      <c r="G19" s="28">
        <f t="shared" si="0"/>
        <v>6.25</v>
      </c>
      <c r="H19" s="29">
        <v>12</v>
      </c>
      <c r="I19" s="29">
        <v>5</v>
      </c>
      <c r="J19" s="29">
        <v>3</v>
      </c>
      <c r="K19" s="30">
        <v>5</v>
      </c>
      <c r="L19" s="31">
        <f t="shared" si="1"/>
        <v>2.9317974999999996</v>
      </c>
      <c r="M19" s="32">
        <v>5.0106380000000001</v>
      </c>
      <c r="N19" s="32">
        <v>2.0464000000000002</v>
      </c>
      <c r="O19" s="32">
        <v>0.62431999999999999</v>
      </c>
      <c r="P19" s="33">
        <v>4.0458319999999999</v>
      </c>
      <c r="Q19" s="31">
        <f t="shared" si="2"/>
        <v>0.93925799999999993</v>
      </c>
      <c r="R19" s="32">
        <v>0</v>
      </c>
      <c r="S19" s="32">
        <v>0</v>
      </c>
      <c r="T19" s="32">
        <v>0.2112</v>
      </c>
      <c r="U19" s="33">
        <v>3.5458319999999999</v>
      </c>
      <c r="V19" s="31">
        <f t="shared" si="3"/>
        <v>1.8075300000000001</v>
      </c>
      <c r="W19" s="32">
        <v>4.9706000000000001</v>
      </c>
      <c r="X19" s="32">
        <v>2.0464000000000002</v>
      </c>
      <c r="Y19" s="32">
        <v>0.21312</v>
      </c>
      <c r="Z19" s="33">
        <v>0</v>
      </c>
      <c r="AA19" s="31">
        <f t="shared" si="4"/>
        <v>0</v>
      </c>
      <c r="AB19" s="32">
        <v>0</v>
      </c>
      <c r="AC19" s="33">
        <v>0</v>
      </c>
      <c r="AD19" s="31">
        <f t="shared" si="5"/>
        <v>1.0009499999999999E-2</v>
      </c>
      <c r="AE19" s="32">
        <v>4.0037999999999997E-2</v>
      </c>
      <c r="AF19" s="32">
        <v>0</v>
      </c>
      <c r="AG19" s="32">
        <v>0</v>
      </c>
      <c r="AH19" s="33">
        <v>0</v>
      </c>
      <c r="AI19" s="31">
        <f t="shared" si="6"/>
        <v>0.17499999999999999</v>
      </c>
      <c r="AJ19" s="32">
        <v>0</v>
      </c>
      <c r="AK19" s="32">
        <v>0</v>
      </c>
      <c r="AL19" s="32">
        <v>0.19999999999999998</v>
      </c>
      <c r="AM19" s="34">
        <v>0.5</v>
      </c>
    </row>
    <row r="20" spans="1:39" x14ac:dyDescent="0.3">
      <c r="A20" s="24" t="s">
        <v>274</v>
      </c>
      <c r="B20" s="25" t="s">
        <v>10</v>
      </c>
      <c r="C20" s="25" t="s">
        <v>37</v>
      </c>
      <c r="D20" s="25" t="s">
        <v>24</v>
      </c>
      <c r="E20" s="26" t="s">
        <v>144</v>
      </c>
      <c r="F20" s="27">
        <v>3</v>
      </c>
      <c r="G20" s="28">
        <f t="shared" si="0"/>
        <v>0</v>
      </c>
      <c r="H20" s="29">
        <v>0</v>
      </c>
      <c r="I20" s="29">
        <v>0</v>
      </c>
      <c r="J20" s="29">
        <v>0</v>
      </c>
      <c r="K20" s="30">
        <v>0</v>
      </c>
      <c r="L20" s="31">
        <f t="shared" si="1"/>
        <v>0</v>
      </c>
      <c r="M20" s="32">
        <v>0</v>
      </c>
      <c r="N20" s="32">
        <v>0</v>
      </c>
      <c r="O20" s="32">
        <v>0</v>
      </c>
      <c r="P20" s="33">
        <v>0</v>
      </c>
      <c r="Q20" s="31">
        <f t="shared" si="2"/>
        <v>0</v>
      </c>
      <c r="R20" s="32">
        <v>0</v>
      </c>
      <c r="S20" s="32">
        <v>0</v>
      </c>
      <c r="T20" s="32">
        <v>0</v>
      </c>
      <c r="U20" s="33">
        <v>0</v>
      </c>
      <c r="V20" s="31">
        <f t="shared" si="3"/>
        <v>0</v>
      </c>
      <c r="W20" s="32">
        <v>0</v>
      </c>
      <c r="X20" s="32">
        <v>0</v>
      </c>
      <c r="Y20" s="32">
        <v>0</v>
      </c>
      <c r="Z20" s="33">
        <v>0</v>
      </c>
      <c r="AA20" s="31">
        <f t="shared" si="4"/>
        <v>0</v>
      </c>
      <c r="AB20" s="32">
        <v>0</v>
      </c>
      <c r="AC20" s="33">
        <v>0</v>
      </c>
      <c r="AD20" s="31">
        <f t="shared" si="5"/>
        <v>0</v>
      </c>
      <c r="AE20" s="32">
        <v>0</v>
      </c>
      <c r="AF20" s="32">
        <v>0</v>
      </c>
      <c r="AG20" s="32">
        <v>0</v>
      </c>
      <c r="AH20" s="33">
        <v>0</v>
      </c>
      <c r="AI20" s="31">
        <f t="shared" si="6"/>
        <v>0</v>
      </c>
      <c r="AJ20" s="32">
        <v>0</v>
      </c>
      <c r="AK20" s="32">
        <v>0</v>
      </c>
      <c r="AL20" s="32">
        <v>0</v>
      </c>
      <c r="AM20" s="34">
        <v>0</v>
      </c>
    </row>
    <row r="21" spans="1:39" x14ac:dyDescent="0.3">
      <c r="A21" s="24" t="s">
        <v>274</v>
      </c>
      <c r="B21" s="25" t="s">
        <v>10</v>
      </c>
      <c r="C21" s="25" t="s">
        <v>37</v>
      </c>
      <c r="D21" s="25" t="s">
        <v>24</v>
      </c>
      <c r="E21" s="26" t="s">
        <v>123</v>
      </c>
      <c r="F21" s="27">
        <v>1</v>
      </c>
      <c r="G21" s="28">
        <f t="shared" si="0"/>
        <v>0</v>
      </c>
      <c r="H21" s="29">
        <v>0</v>
      </c>
      <c r="I21" s="29">
        <v>0</v>
      </c>
      <c r="J21" s="29">
        <v>0</v>
      </c>
      <c r="K21" s="30">
        <v>0</v>
      </c>
      <c r="L21" s="31">
        <f t="shared" si="1"/>
        <v>0</v>
      </c>
      <c r="M21" s="32">
        <v>0</v>
      </c>
      <c r="N21" s="32">
        <v>0</v>
      </c>
      <c r="O21" s="32">
        <v>0</v>
      </c>
      <c r="P21" s="33">
        <v>0</v>
      </c>
      <c r="Q21" s="31">
        <f t="shared" si="2"/>
        <v>0</v>
      </c>
      <c r="R21" s="32">
        <v>0</v>
      </c>
      <c r="S21" s="32">
        <v>0</v>
      </c>
      <c r="T21" s="32">
        <v>0</v>
      </c>
      <c r="U21" s="33">
        <v>0</v>
      </c>
      <c r="V21" s="31">
        <f t="shared" si="3"/>
        <v>0</v>
      </c>
      <c r="W21" s="32">
        <v>0</v>
      </c>
      <c r="X21" s="32">
        <v>0</v>
      </c>
      <c r="Y21" s="32">
        <v>0</v>
      </c>
      <c r="Z21" s="33">
        <v>0</v>
      </c>
      <c r="AA21" s="31">
        <f t="shared" si="4"/>
        <v>0</v>
      </c>
      <c r="AB21" s="32">
        <v>0</v>
      </c>
      <c r="AC21" s="33">
        <v>0</v>
      </c>
      <c r="AD21" s="31">
        <f t="shared" si="5"/>
        <v>0</v>
      </c>
      <c r="AE21" s="32">
        <v>0</v>
      </c>
      <c r="AF21" s="32">
        <v>0</v>
      </c>
      <c r="AG21" s="32">
        <v>0</v>
      </c>
      <c r="AH21" s="33">
        <v>0</v>
      </c>
      <c r="AI21" s="31">
        <f t="shared" si="6"/>
        <v>0</v>
      </c>
      <c r="AJ21" s="32">
        <v>0</v>
      </c>
      <c r="AK21" s="32">
        <v>0</v>
      </c>
      <c r="AL21" s="32">
        <v>0</v>
      </c>
      <c r="AM21" s="34">
        <v>0</v>
      </c>
    </row>
    <row r="22" spans="1:39" x14ac:dyDescent="0.3">
      <c r="A22" s="24" t="s">
        <v>274</v>
      </c>
      <c r="B22" s="25" t="s">
        <v>10</v>
      </c>
      <c r="C22" s="25" t="s">
        <v>37</v>
      </c>
      <c r="D22" s="25" t="s">
        <v>24</v>
      </c>
      <c r="E22" s="26" t="s">
        <v>180</v>
      </c>
      <c r="F22" s="27">
        <v>1</v>
      </c>
      <c r="G22" s="28">
        <f t="shared" si="0"/>
        <v>0</v>
      </c>
      <c r="H22" s="29">
        <v>0</v>
      </c>
      <c r="I22" s="29">
        <v>0</v>
      </c>
      <c r="J22" s="29">
        <v>0</v>
      </c>
      <c r="K22" s="30">
        <v>0</v>
      </c>
      <c r="L22" s="31">
        <f t="shared" si="1"/>
        <v>0</v>
      </c>
      <c r="M22" s="32">
        <v>0</v>
      </c>
      <c r="N22" s="32">
        <v>0</v>
      </c>
      <c r="O22" s="32">
        <v>0</v>
      </c>
      <c r="P22" s="33">
        <v>0</v>
      </c>
      <c r="Q22" s="31">
        <f t="shared" si="2"/>
        <v>0</v>
      </c>
      <c r="R22" s="32">
        <v>0</v>
      </c>
      <c r="S22" s="32">
        <v>0</v>
      </c>
      <c r="T22" s="32">
        <v>0</v>
      </c>
      <c r="U22" s="33">
        <v>0</v>
      </c>
      <c r="V22" s="31">
        <f t="shared" si="3"/>
        <v>0</v>
      </c>
      <c r="W22" s="32">
        <v>0</v>
      </c>
      <c r="X22" s="32">
        <v>0</v>
      </c>
      <c r="Y22" s="32">
        <v>0</v>
      </c>
      <c r="Z22" s="33">
        <v>0</v>
      </c>
      <c r="AA22" s="31">
        <f t="shared" si="4"/>
        <v>0</v>
      </c>
      <c r="AB22" s="32">
        <v>0</v>
      </c>
      <c r="AC22" s="33">
        <v>0</v>
      </c>
      <c r="AD22" s="31">
        <f t="shared" si="5"/>
        <v>0</v>
      </c>
      <c r="AE22" s="32">
        <v>0</v>
      </c>
      <c r="AF22" s="32">
        <v>0</v>
      </c>
      <c r="AG22" s="32">
        <v>0</v>
      </c>
      <c r="AH22" s="33">
        <v>0</v>
      </c>
      <c r="AI22" s="31">
        <f t="shared" si="6"/>
        <v>0</v>
      </c>
      <c r="AJ22" s="32">
        <v>0</v>
      </c>
      <c r="AK22" s="32">
        <v>0</v>
      </c>
      <c r="AL22" s="32">
        <v>0</v>
      </c>
      <c r="AM22" s="34">
        <v>0</v>
      </c>
    </row>
    <row r="23" spans="1:39" x14ac:dyDescent="0.3">
      <c r="A23" s="24" t="s">
        <v>274</v>
      </c>
      <c r="B23" s="25" t="s">
        <v>10</v>
      </c>
      <c r="C23" s="25" t="s">
        <v>37</v>
      </c>
      <c r="D23" s="25" t="s">
        <v>24</v>
      </c>
      <c r="E23" s="26" t="s">
        <v>148</v>
      </c>
      <c r="F23" s="27">
        <v>69</v>
      </c>
      <c r="G23" s="28">
        <f t="shared" si="0"/>
        <v>28.75</v>
      </c>
      <c r="H23" s="29">
        <v>27</v>
      </c>
      <c r="I23" s="29">
        <v>28</v>
      </c>
      <c r="J23" s="29">
        <v>22</v>
      </c>
      <c r="K23" s="30">
        <v>38</v>
      </c>
      <c r="L23" s="31">
        <f t="shared" si="1"/>
        <v>12.043722250000002</v>
      </c>
      <c r="M23" s="32">
        <v>7.8241869999999993</v>
      </c>
      <c r="N23" s="32">
        <v>15.405980999999999</v>
      </c>
      <c r="O23" s="32">
        <v>6.6198639999999997</v>
      </c>
      <c r="P23" s="33">
        <v>14.785232000000001</v>
      </c>
      <c r="Q23" s="31">
        <f t="shared" si="2"/>
        <v>3.9655250000000004</v>
      </c>
      <c r="R23" s="32">
        <v>3.7600220000000002</v>
      </c>
      <c r="S23" s="32">
        <v>5.0072090000000005</v>
      </c>
      <c r="T23" s="32">
        <v>1.5013909999999999</v>
      </c>
      <c r="U23" s="33">
        <v>5.5934780000000002</v>
      </c>
      <c r="V23" s="31">
        <f t="shared" si="3"/>
        <v>3.7343225000000002</v>
      </c>
      <c r="W23" s="32">
        <v>0.65049000000000001</v>
      </c>
      <c r="X23" s="32">
        <v>8.4353800000000003</v>
      </c>
      <c r="Y23" s="32">
        <v>2.2092499999999999</v>
      </c>
      <c r="Z23" s="33">
        <v>3.6421700000000001</v>
      </c>
      <c r="AA23" s="31">
        <f t="shared" si="4"/>
        <v>1.7698124999999998</v>
      </c>
      <c r="AB23" s="32">
        <v>2.4038199999999996</v>
      </c>
      <c r="AC23" s="33">
        <v>1.135805</v>
      </c>
      <c r="AD23" s="31">
        <f t="shared" si="5"/>
        <v>1.5543772499999999</v>
      </c>
      <c r="AE23" s="32">
        <v>0.69955500000000004</v>
      </c>
      <c r="AF23" s="32">
        <v>0.82758700000000007</v>
      </c>
      <c r="AG23" s="32">
        <v>1.2692729999999999</v>
      </c>
      <c r="AH23" s="33">
        <v>3.4210939999999996</v>
      </c>
      <c r="AI23" s="31">
        <f t="shared" si="6"/>
        <v>1.019685</v>
      </c>
      <c r="AJ23" s="32">
        <v>0.31029999999999947</v>
      </c>
      <c r="AK23" s="32">
        <v>0</v>
      </c>
      <c r="AL23" s="32">
        <v>1.63995</v>
      </c>
      <c r="AM23" s="34">
        <v>2.1284899999999998</v>
      </c>
    </row>
    <row r="24" spans="1:39" x14ac:dyDescent="0.3">
      <c r="A24" s="24" t="s">
        <v>274</v>
      </c>
      <c r="B24" s="25" t="s">
        <v>10</v>
      </c>
      <c r="C24" s="25" t="s">
        <v>37</v>
      </c>
      <c r="D24" s="25" t="s">
        <v>24</v>
      </c>
      <c r="E24" s="26" t="s">
        <v>185</v>
      </c>
      <c r="F24" s="27">
        <v>3</v>
      </c>
      <c r="G24" s="28">
        <f t="shared" si="0"/>
        <v>0.75</v>
      </c>
      <c r="H24" s="29">
        <v>0</v>
      </c>
      <c r="I24" s="29">
        <v>0</v>
      </c>
      <c r="J24" s="29">
        <v>2</v>
      </c>
      <c r="K24" s="30">
        <v>1</v>
      </c>
      <c r="L24" s="31">
        <f t="shared" si="1"/>
        <v>0.11602499999999999</v>
      </c>
      <c r="M24" s="32">
        <v>0</v>
      </c>
      <c r="N24" s="32">
        <v>0</v>
      </c>
      <c r="O24" s="32">
        <v>0.33529999999999999</v>
      </c>
      <c r="P24" s="33">
        <v>0.1288</v>
      </c>
      <c r="Q24" s="31">
        <f t="shared" si="2"/>
        <v>0</v>
      </c>
      <c r="R24" s="32">
        <v>0</v>
      </c>
      <c r="S24" s="32">
        <v>0</v>
      </c>
      <c r="T24" s="32">
        <v>0</v>
      </c>
      <c r="U24" s="33">
        <v>0</v>
      </c>
      <c r="V24" s="31">
        <f t="shared" si="3"/>
        <v>0.11602499999999999</v>
      </c>
      <c r="W24" s="32">
        <v>0</v>
      </c>
      <c r="X24" s="32">
        <v>0</v>
      </c>
      <c r="Y24" s="32">
        <v>0.33529999999999999</v>
      </c>
      <c r="Z24" s="33">
        <v>0.1288</v>
      </c>
      <c r="AA24" s="31">
        <f t="shared" si="4"/>
        <v>0</v>
      </c>
      <c r="AB24" s="32">
        <v>0</v>
      </c>
      <c r="AC24" s="33">
        <v>0</v>
      </c>
      <c r="AD24" s="31">
        <f t="shared" si="5"/>
        <v>0</v>
      </c>
      <c r="AE24" s="32">
        <v>0</v>
      </c>
      <c r="AF24" s="32">
        <v>0</v>
      </c>
      <c r="AG24" s="32">
        <v>0</v>
      </c>
      <c r="AH24" s="33">
        <v>0</v>
      </c>
      <c r="AI24" s="31">
        <f t="shared" si="6"/>
        <v>0</v>
      </c>
      <c r="AJ24" s="32">
        <v>0</v>
      </c>
      <c r="AK24" s="32">
        <v>0</v>
      </c>
      <c r="AL24" s="32">
        <v>0</v>
      </c>
      <c r="AM24" s="34">
        <v>0</v>
      </c>
    </row>
    <row r="25" spans="1:39" x14ac:dyDescent="0.3">
      <c r="A25" s="24" t="s">
        <v>274</v>
      </c>
      <c r="B25" s="25" t="s">
        <v>10</v>
      </c>
      <c r="C25" s="25" t="s">
        <v>37</v>
      </c>
      <c r="D25" s="25" t="s">
        <v>24</v>
      </c>
      <c r="E25" s="26" t="s">
        <v>228</v>
      </c>
      <c r="F25" s="27">
        <v>1</v>
      </c>
      <c r="G25" s="28">
        <f t="shared" si="0"/>
        <v>1</v>
      </c>
      <c r="H25" s="29">
        <v>2</v>
      </c>
      <c r="I25" s="29">
        <v>1</v>
      </c>
      <c r="J25" s="29">
        <v>1</v>
      </c>
      <c r="K25" s="30">
        <v>0</v>
      </c>
      <c r="L25" s="31">
        <f t="shared" si="1"/>
        <v>0.22456625</v>
      </c>
      <c r="M25" s="32">
        <v>0.32165899999999997</v>
      </c>
      <c r="N25" s="32">
        <v>0.15478800000000001</v>
      </c>
      <c r="O25" s="32">
        <v>4.4729999999999999E-2</v>
      </c>
      <c r="P25" s="33">
        <v>0</v>
      </c>
      <c r="Q25" s="31">
        <f t="shared" si="2"/>
        <v>0</v>
      </c>
      <c r="R25" s="32">
        <v>0</v>
      </c>
      <c r="S25" s="32">
        <v>0</v>
      </c>
      <c r="T25" s="32">
        <v>0</v>
      </c>
      <c r="U25" s="33">
        <v>0</v>
      </c>
      <c r="V25" s="31">
        <f t="shared" si="3"/>
        <v>0</v>
      </c>
      <c r="W25" s="32">
        <v>0</v>
      </c>
      <c r="X25" s="32">
        <v>0</v>
      </c>
      <c r="Y25" s="32">
        <v>0</v>
      </c>
      <c r="Z25" s="33">
        <v>0</v>
      </c>
      <c r="AA25" s="31">
        <f t="shared" si="4"/>
        <v>0.18854399999999999</v>
      </c>
      <c r="AB25" s="32">
        <v>0.2223</v>
      </c>
      <c r="AC25" s="33">
        <v>0.15478800000000001</v>
      </c>
      <c r="AD25" s="31">
        <f t="shared" si="5"/>
        <v>3.6022249999999999E-2</v>
      </c>
      <c r="AE25" s="32">
        <v>9.9359000000000003E-2</v>
      </c>
      <c r="AF25" s="32">
        <v>0</v>
      </c>
      <c r="AG25" s="32">
        <v>4.4729999999999999E-2</v>
      </c>
      <c r="AH25" s="33">
        <v>0</v>
      </c>
      <c r="AI25" s="31">
        <f t="shared" si="6"/>
        <v>0</v>
      </c>
      <c r="AJ25" s="32">
        <v>0</v>
      </c>
      <c r="AK25" s="32">
        <v>0</v>
      </c>
      <c r="AL25" s="32">
        <v>0</v>
      </c>
      <c r="AM25" s="34">
        <v>0</v>
      </c>
    </row>
    <row r="26" spans="1:39" x14ac:dyDescent="0.3">
      <c r="A26" s="24" t="s">
        <v>274</v>
      </c>
      <c r="B26" s="25" t="s">
        <v>10</v>
      </c>
      <c r="C26" s="25" t="s">
        <v>37</v>
      </c>
      <c r="D26" s="25" t="s">
        <v>24</v>
      </c>
      <c r="E26" s="26" t="s">
        <v>239</v>
      </c>
      <c r="F26" s="27">
        <v>2</v>
      </c>
      <c r="G26" s="28">
        <f t="shared" si="0"/>
        <v>0</v>
      </c>
      <c r="H26" s="29">
        <v>0</v>
      </c>
      <c r="I26" s="29">
        <v>0</v>
      </c>
      <c r="J26" s="29">
        <v>0</v>
      </c>
      <c r="K26" s="30">
        <v>0</v>
      </c>
      <c r="L26" s="31">
        <f t="shared" si="1"/>
        <v>0</v>
      </c>
      <c r="M26" s="32">
        <v>0</v>
      </c>
      <c r="N26" s="32">
        <v>0</v>
      </c>
      <c r="O26" s="32">
        <v>0</v>
      </c>
      <c r="P26" s="33">
        <v>0</v>
      </c>
      <c r="Q26" s="31">
        <f t="shared" si="2"/>
        <v>0</v>
      </c>
      <c r="R26" s="32">
        <v>0</v>
      </c>
      <c r="S26" s="32">
        <v>0</v>
      </c>
      <c r="T26" s="32">
        <v>0</v>
      </c>
      <c r="U26" s="33">
        <v>0</v>
      </c>
      <c r="V26" s="31">
        <f t="shared" si="3"/>
        <v>0</v>
      </c>
      <c r="W26" s="32">
        <v>0</v>
      </c>
      <c r="X26" s="32">
        <v>0</v>
      </c>
      <c r="Y26" s="32">
        <v>0</v>
      </c>
      <c r="Z26" s="33">
        <v>0</v>
      </c>
      <c r="AA26" s="31">
        <f t="shared" si="4"/>
        <v>0</v>
      </c>
      <c r="AB26" s="32">
        <v>0</v>
      </c>
      <c r="AC26" s="33">
        <v>0</v>
      </c>
      <c r="AD26" s="31">
        <f t="shared" si="5"/>
        <v>0</v>
      </c>
      <c r="AE26" s="32">
        <v>0</v>
      </c>
      <c r="AF26" s="32">
        <v>0</v>
      </c>
      <c r="AG26" s="32">
        <v>0</v>
      </c>
      <c r="AH26" s="33">
        <v>0</v>
      </c>
      <c r="AI26" s="31">
        <f t="shared" si="6"/>
        <v>0</v>
      </c>
      <c r="AJ26" s="32">
        <v>0</v>
      </c>
      <c r="AK26" s="32">
        <v>0</v>
      </c>
      <c r="AL26" s="32">
        <v>0</v>
      </c>
      <c r="AM26" s="34">
        <v>0</v>
      </c>
    </row>
    <row r="27" spans="1:39" x14ac:dyDescent="0.3">
      <c r="A27" s="24" t="s">
        <v>274</v>
      </c>
      <c r="B27" s="25" t="s">
        <v>10</v>
      </c>
      <c r="C27" s="25" t="s">
        <v>37</v>
      </c>
      <c r="D27" s="25" t="s">
        <v>24</v>
      </c>
      <c r="E27" s="26" t="s">
        <v>104</v>
      </c>
      <c r="F27" s="27">
        <v>42</v>
      </c>
      <c r="G27" s="28">
        <f t="shared" si="0"/>
        <v>19.5</v>
      </c>
      <c r="H27" s="29">
        <v>15</v>
      </c>
      <c r="I27" s="29">
        <v>24</v>
      </c>
      <c r="J27" s="29">
        <v>17</v>
      </c>
      <c r="K27" s="30">
        <v>22</v>
      </c>
      <c r="L27" s="31">
        <f t="shared" si="1"/>
        <v>7.5734835</v>
      </c>
      <c r="M27" s="32">
        <v>5.3615970000000006</v>
      </c>
      <c r="N27" s="32">
        <v>9.3539510000000003</v>
      </c>
      <c r="O27" s="32">
        <v>6.1563280000000011</v>
      </c>
      <c r="P27" s="33">
        <v>7.5389119999999989</v>
      </c>
      <c r="Q27" s="31">
        <f t="shared" si="2"/>
        <v>2.6165354999999999</v>
      </c>
      <c r="R27" s="32">
        <v>2.0365039999999999</v>
      </c>
      <c r="S27" s="32">
        <v>2.451012</v>
      </c>
      <c r="T27" s="32">
        <v>2.5039069999999999</v>
      </c>
      <c r="U27" s="33">
        <v>3.4747190000000003</v>
      </c>
      <c r="V27" s="31">
        <f t="shared" si="3"/>
        <v>2.4548872500000001</v>
      </c>
      <c r="W27" s="32">
        <v>1.15598</v>
      </c>
      <c r="X27" s="32">
        <v>3.7877000000000001</v>
      </c>
      <c r="Y27" s="32">
        <v>2.8983289999999999</v>
      </c>
      <c r="Z27" s="33">
        <v>1.9775399999999999</v>
      </c>
      <c r="AA27" s="31">
        <f t="shared" si="4"/>
        <v>0.94157299999999999</v>
      </c>
      <c r="AB27" s="32">
        <v>0.92232299999999989</v>
      </c>
      <c r="AC27" s="33">
        <v>0.96082299999999998</v>
      </c>
      <c r="AD27" s="31">
        <f t="shared" si="5"/>
        <v>0.91048774999999993</v>
      </c>
      <c r="AE27" s="32">
        <v>4.6789999999999998E-2</v>
      </c>
      <c r="AF27" s="32">
        <v>1.1544159999999999</v>
      </c>
      <c r="AG27" s="32">
        <v>0.75409199999999987</v>
      </c>
      <c r="AH27" s="33">
        <v>1.6866529999999997</v>
      </c>
      <c r="AI27" s="31">
        <f t="shared" si="6"/>
        <v>0.65000000000000024</v>
      </c>
      <c r="AJ27" s="32">
        <v>1.2000000000000006</v>
      </c>
      <c r="AK27" s="32">
        <v>1</v>
      </c>
      <c r="AL27" s="32">
        <v>1.4432899320127035E-15</v>
      </c>
      <c r="AM27" s="34">
        <v>0.39999999999999902</v>
      </c>
    </row>
    <row r="28" spans="1:39" x14ac:dyDescent="0.3">
      <c r="A28" s="24" t="s">
        <v>274</v>
      </c>
      <c r="B28" s="25" t="s">
        <v>10</v>
      </c>
      <c r="C28" s="25" t="s">
        <v>37</v>
      </c>
      <c r="D28" s="25" t="s">
        <v>24</v>
      </c>
      <c r="E28" s="26" t="s">
        <v>184</v>
      </c>
      <c r="F28" s="27">
        <v>6</v>
      </c>
      <c r="G28" s="28">
        <f t="shared" si="0"/>
        <v>0.25</v>
      </c>
      <c r="H28" s="29">
        <v>0</v>
      </c>
      <c r="I28" s="29">
        <v>0</v>
      </c>
      <c r="J28" s="29">
        <v>0</v>
      </c>
      <c r="K28" s="30">
        <v>1</v>
      </c>
      <c r="L28" s="31">
        <f t="shared" si="1"/>
        <v>0.117075</v>
      </c>
      <c r="M28" s="32">
        <v>0</v>
      </c>
      <c r="N28" s="32">
        <v>0</v>
      </c>
      <c r="O28" s="32">
        <v>0</v>
      </c>
      <c r="P28" s="33">
        <v>0.46829999999999999</v>
      </c>
      <c r="Q28" s="31">
        <f t="shared" si="2"/>
        <v>0</v>
      </c>
      <c r="R28" s="32">
        <v>0</v>
      </c>
      <c r="S28" s="32">
        <v>0</v>
      </c>
      <c r="T28" s="32">
        <v>0</v>
      </c>
      <c r="U28" s="33">
        <v>0</v>
      </c>
      <c r="V28" s="31">
        <f t="shared" si="3"/>
        <v>0</v>
      </c>
      <c r="W28" s="32">
        <v>0</v>
      </c>
      <c r="X28" s="32">
        <v>0</v>
      </c>
      <c r="Y28" s="32">
        <v>0</v>
      </c>
      <c r="Z28" s="33">
        <v>0</v>
      </c>
      <c r="AA28" s="31">
        <f t="shared" si="4"/>
        <v>0</v>
      </c>
      <c r="AB28" s="32">
        <v>0</v>
      </c>
      <c r="AC28" s="33">
        <v>0</v>
      </c>
      <c r="AD28" s="31">
        <f t="shared" si="5"/>
        <v>0.117075</v>
      </c>
      <c r="AE28" s="32">
        <v>0</v>
      </c>
      <c r="AF28" s="32">
        <v>0</v>
      </c>
      <c r="AG28" s="32">
        <v>0</v>
      </c>
      <c r="AH28" s="33">
        <v>0.46829999999999999</v>
      </c>
      <c r="AI28" s="31">
        <f t="shared" si="6"/>
        <v>0</v>
      </c>
      <c r="AJ28" s="32">
        <v>0</v>
      </c>
      <c r="AK28" s="32">
        <v>0</v>
      </c>
      <c r="AL28" s="32">
        <v>0</v>
      </c>
      <c r="AM28" s="34">
        <v>0</v>
      </c>
    </row>
    <row r="29" spans="1:39" x14ac:dyDescent="0.3">
      <c r="A29" s="24" t="s">
        <v>274</v>
      </c>
      <c r="B29" s="25" t="s">
        <v>10</v>
      </c>
      <c r="C29" s="25" t="s">
        <v>37</v>
      </c>
      <c r="D29" s="25" t="s">
        <v>24</v>
      </c>
      <c r="E29" s="26" t="s">
        <v>219</v>
      </c>
      <c r="F29" s="27">
        <v>2</v>
      </c>
      <c r="G29" s="28">
        <f t="shared" si="0"/>
        <v>0</v>
      </c>
      <c r="H29" s="29">
        <v>0</v>
      </c>
      <c r="I29" s="29">
        <v>0</v>
      </c>
      <c r="J29" s="29">
        <v>0</v>
      </c>
      <c r="K29" s="30">
        <v>0</v>
      </c>
      <c r="L29" s="31">
        <f t="shared" si="1"/>
        <v>0</v>
      </c>
      <c r="M29" s="32">
        <v>0</v>
      </c>
      <c r="N29" s="32">
        <v>0</v>
      </c>
      <c r="O29" s="32">
        <v>0</v>
      </c>
      <c r="P29" s="33">
        <v>0</v>
      </c>
      <c r="Q29" s="31">
        <f t="shared" si="2"/>
        <v>0</v>
      </c>
      <c r="R29" s="32">
        <v>0</v>
      </c>
      <c r="S29" s="32">
        <v>0</v>
      </c>
      <c r="T29" s="32">
        <v>0</v>
      </c>
      <c r="U29" s="33">
        <v>0</v>
      </c>
      <c r="V29" s="31">
        <f t="shared" si="3"/>
        <v>0</v>
      </c>
      <c r="W29" s="32">
        <v>0</v>
      </c>
      <c r="X29" s="32">
        <v>0</v>
      </c>
      <c r="Y29" s="32">
        <v>0</v>
      </c>
      <c r="Z29" s="33">
        <v>0</v>
      </c>
      <c r="AA29" s="31">
        <f t="shared" si="4"/>
        <v>0</v>
      </c>
      <c r="AB29" s="32">
        <v>0</v>
      </c>
      <c r="AC29" s="33">
        <v>0</v>
      </c>
      <c r="AD29" s="31">
        <f t="shared" si="5"/>
        <v>0</v>
      </c>
      <c r="AE29" s="32">
        <v>0</v>
      </c>
      <c r="AF29" s="32">
        <v>0</v>
      </c>
      <c r="AG29" s="32">
        <v>0</v>
      </c>
      <c r="AH29" s="33">
        <v>0</v>
      </c>
      <c r="AI29" s="31">
        <f t="shared" si="6"/>
        <v>0</v>
      </c>
      <c r="AJ29" s="32">
        <v>0</v>
      </c>
      <c r="AK29" s="32">
        <v>0</v>
      </c>
      <c r="AL29" s="32">
        <v>0</v>
      </c>
      <c r="AM29" s="34">
        <v>0</v>
      </c>
    </row>
    <row r="30" spans="1:39" x14ac:dyDescent="0.3">
      <c r="A30" s="24" t="s">
        <v>274</v>
      </c>
      <c r="B30" s="25" t="s">
        <v>10</v>
      </c>
      <c r="C30" s="25" t="s">
        <v>37</v>
      </c>
      <c r="D30" s="25" t="s">
        <v>24</v>
      </c>
      <c r="E30" s="26" t="s">
        <v>105</v>
      </c>
      <c r="F30" s="27">
        <v>8</v>
      </c>
      <c r="G30" s="28">
        <f t="shared" si="0"/>
        <v>1.25</v>
      </c>
      <c r="H30" s="29">
        <v>0</v>
      </c>
      <c r="I30" s="29">
        <v>1</v>
      </c>
      <c r="J30" s="29">
        <v>1</v>
      </c>
      <c r="K30" s="30">
        <v>3</v>
      </c>
      <c r="L30" s="31">
        <f t="shared" si="1"/>
        <v>0.54149524999999998</v>
      </c>
      <c r="M30" s="32">
        <v>0</v>
      </c>
      <c r="N30" s="32">
        <v>0.5</v>
      </c>
      <c r="O30" s="32">
        <v>0.50102000000000002</v>
      </c>
      <c r="P30" s="33">
        <v>1.1649609999999999</v>
      </c>
      <c r="Q30" s="31">
        <f t="shared" si="2"/>
        <v>0.54149524999999998</v>
      </c>
      <c r="R30" s="32">
        <v>0</v>
      </c>
      <c r="S30" s="32">
        <v>0.5</v>
      </c>
      <c r="T30" s="32">
        <v>0.50102000000000002</v>
      </c>
      <c r="U30" s="33">
        <v>1.1649609999999999</v>
      </c>
      <c r="V30" s="31">
        <f t="shared" si="3"/>
        <v>0</v>
      </c>
      <c r="W30" s="32">
        <v>0</v>
      </c>
      <c r="X30" s="32">
        <v>0</v>
      </c>
      <c r="Y30" s="32">
        <v>0</v>
      </c>
      <c r="Z30" s="33">
        <v>0</v>
      </c>
      <c r="AA30" s="31">
        <f t="shared" si="4"/>
        <v>0</v>
      </c>
      <c r="AB30" s="32">
        <v>0</v>
      </c>
      <c r="AC30" s="33">
        <v>0</v>
      </c>
      <c r="AD30" s="31">
        <f t="shared" si="5"/>
        <v>0</v>
      </c>
      <c r="AE30" s="32">
        <v>0</v>
      </c>
      <c r="AF30" s="32">
        <v>0</v>
      </c>
      <c r="AG30" s="32">
        <v>0</v>
      </c>
      <c r="AH30" s="33">
        <v>0</v>
      </c>
      <c r="AI30" s="31">
        <f t="shared" si="6"/>
        <v>0</v>
      </c>
      <c r="AJ30" s="32">
        <v>0</v>
      </c>
      <c r="AK30" s="32">
        <v>0</v>
      </c>
      <c r="AL30" s="32">
        <v>0</v>
      </c>
      <c r="AM30" s="34">
        <v>0</v>
      </c>
    </row>
    <row r="31" spans="1:39" x14ac:dyDescent="0.3">
      <c r="A31" s="24" t="s">
        <v>274</v>
      </c>
      <c r="B31" s="25" t="s">
        <v>10</v>
      </c>
      <c r="C31" s="25" t="s">
        <v>37</v>
      </c>
      <c r="D31" s="25" t="s">
        <v>24</v>
      </c>
      <c r="E31" s="26" t="s">
        <v>261</v>
      </c>
      <c r="F31" s="27">
        <v>1</v>
      </c>
      <c r="G31" s="28">
        <f t="shared" si="0"/>
        <v>0</v>
      </c>
      <c r="H31" s="29">
        <v>0</v>
      </c>
      <c r="I31" s="29">
        <v>0</v>
      </c>
      <c r="J31" s="29">
        <v>0</v>
      </c>
      <c r="K31" s="30">
        <v>0</v>
      </c>
      <c r="L31" s="31">
        <f t="shared" si="1"/>
        <v>0</v>
      </c>
      <c r="M31" s="32">
        <v>0</v>
      </c>
      <c r="N31" s="32">
        <v>0</v>
      </c>
      <c r="O31" s="32">
        <v>0</v>
      </c>
      <c r="P31" s="33">
        <v>0</v>
      </c>
      <c r="Q31" s="31">
        <f t="shared" si="2"/>
        <v>0</v>
      </c>
      <c r="R31" s="32">
        <v>0</v>
      </c>
      <c r="S31" s="32">
        <v>0</v>
      </c>
      <c r="T31" s="32">
        <v>0</v>
      </c>
      <c r="U31" s="33">
        <v>0</v>
      </c>
      <c r="V31" s="31">
        <f t="shared" si="3"/>
        <v>0</v>
      </c>
      <c r="W31" s="32">
        <v>0</v>
      </c>
      <c r="X31" s="32">
        <v>0</v>
      </c>
      <c r="Y31" s="32">
        <v>0</v>
      </c>
      <c r="Z31" s="33">
        <v>0</v>
      </c>
      <c r="AA31" s="31">
        <f t="shared" si="4"/>
        <v>0</v>
      </c>
      <c r="AB31" s="32">
        <v>0</v>
      </c>
      <c r="AC31" s="33">
        <v>0</v>
      </c>
      <c r="AD31" s="31">
        <f t="shared" si="5"/>
        <v>0</v>
      </c>
      <c r="AE31" s="32">
        <v>0</v>
      </c>
      <c r="AF31" s="32">
        <v>0</v>
      </c>
      <c r="AG31" s="32">
        <v>0</v>
      </c>
      <c r="AH31" s="33">
        <v>0</v>
      </c>
      <c r="AI31" s="31">
        <f t="shared" si="6"/>
        <v>0</v>
      </c>
      <c r="AJ31" s="32">
        <v>0</v>
      </c>
      <c r="AK31" s="32">
        <v>0</v>
      </c>
      <c r="AL31" s="32">
        <v>0</v>
      </c>
      <c r="AM31" s="34">
        <v>0</v>
      </c>
    </row>
    <row r="32" spans="1:39" x14ac:dyDescent="0.3">
      <c r="A32" s="24" t="s">
        <v>274</v>
      </c>
      <c r="B32" s="25" t="s">
        <v>19</v>
      </c>
      <c r="C32" s="25" t="s">
        <v>35</v>
      </c>
      <c r="D32" s="25" t="s">
        <v>16</v>
      </c>
      <c r="E32" s="26" t="s">
        <v>139</v>
      </c>
      <c r="F32" s="27">
        <v>59</v>
      </c>
      <c r="G32" s="28">
        <f t="shared" si="0"/>
        <v>30</v>
      </c>
      <c r="H32" s="29">
        <v>24</v>
      </c>
      <c r="I32" s="29">
        <v>21</v>
      </c>
      <c r="J32" s="29">
        <v>37</v>
      </c>
      <c r="K32" s="30">
        <v>38</v>
      </c>
      <c r="L32" s="31">
        <f t="shared" si="1"/>
        <v>15.91526625</v>
      </c>
      <c r="M32" s="32">
        <v>14.424686000000001</v>
      </c>
      <c r="N32" s="32">
        <v>16.347000000000001</v>
      </c>
      <c r="O32" s="32">
        <v>17.653962999999997</v>
      </c>
      <c r="P32" s="33">
        <v>13.823972999999999</v>
      </c>
      <c r="Q32" s="31">
        <f t="shared" si="2"/>
        <v>5.1186315000000002</v>
      </c>
      <c r="R32" s="32">
        <v>6.1672610000000008</v>
      </c>
      <c r="S32" s="32">
        <v>6.4918609999999992</v>
      </c>
      <c r="T32" s="32">
        <v>2.70506</v>
      </c>
      <c r="U32" s="33">
        <v>5.1103440000000004</v>
      </c>
      <c r="V32" s="31">
        <f t="shared" si="3"/>
        <v>7.3372229999999998</v>
      </c>
      <c r="W32" s="32">
        <v>6.6553200000000006</v>
      </c>
      <c r="X32" s="32">
        <v>8.4819620000000011</v>
      </c>
      <c r="Y32" s="32">
        <v>10.521759999999999</v>
      </c>
      <c r="Z32" s="33">
        <v>3.6898499999999999</v>
      </c>
      <c r="AA32" s="31">
        <f t="shared" si="4"/>
        <v>0.7057215</v>
      </c>
      <c r="AB32" s="32">
        <v>0.87445200000000001</v>
      </c>
      <c r="AC32" s="33">
        <v>0.536991</v>
      </c>
      <c r="AD32" s="31">
        <f t="shared" si="5"/>
        <v>2.4036902500000004</v>
      </c>
      <c r="AE32" s="32">
        <v>0.72765299999999999</v>
      </c>
      <c r="AF32" s="32">
        <v>0.83618599999999998</v>
      </c>
      <c r="AG32" s="32">
        <v>3.0271430000000001</v>
      </c>
      <c r="AH32" s="33">
        <v>5.0237790000000002</v>
      </c>
      <c r="AI32" s="31">
        <f t="shared" si="6"/>
        <v>0.34999999999999976</v>
      </c>
      <c r="AJ32" s="32">
        <v>0</v>
      </c>
      <c r="AK32" s="32">
        <v>0</v>
      </c>
      <c r="AL32" s="32">
        <v>1.399999999999999</v>
      </c>
      <c r="AM32" s="34">
        <v>0</v>
      </c>
    </row>
    <row r="33" spans="1:39" x14ac:dyDescent="0.3">
      <c r="A33" s="24" t="s">
        <v>274</v>
      </c>
      <c r="B33" s="25" t="s">
        <v>19</v>
      </c>
      <c r="C33" s="25" t="s">
        <v>35</v>
      </c>
      <c r="D33" s="25" t="s">
        <v>16</v>
      </c>
      <c r="E33" s="26" t="s">
        <v>133</v>
      </c>
      <c r="F33" s="27">
        <v>29</v>
      </c>
      <c r="G33" s="28">
        <f t="shared" si="0"/>
        <v>7.75</v>
      </c>
      <c r="H33" s="29">
        <v>8</v>
      </c>
      <c r="I33" s="29">
        <v>4</v>
      </c>
      <c r="J33" s="29">
        <v>8</v>
      </c>
      <c r="K33" s="30">
        <v>11</v>
      </c>
      <c r="L33" s="31">
        <f t="shared" si="1"/>
        <v>9.1560367500000002</v>
      </c>
      <c r="M33" s="32">
        <v>4.0681039999999999</v>
      </c>
      <c r="N33" s="32">
        <v>1.075814</v>
      </c>
      <c r="O33" s="32">
        <v>15.174894999999999</v>
      </c>
      <c r="P33" s="33">
        <v>15.462078</v>
      </c>
      <c r="Q33" s="31">
        <f t="shared" si="2"/>
        <v>6.4839527500000003</v>
      </c>
      <c r="R33" s="32">
        <v>0.200072</v>
      </c>
      <c r="S33" s="32">
        <v>0</v>
      </c>
      <c r="T33" s="32">
        <v>13.016683</v>
      </c>
      <c r="U33" s="33">
        <v>12.719056</v>
      </c>
      <c r="V33" s="31">
        <f t="shared" si="3"/>
        <v>1.8975575</v>
      </c>
      <c r="W33" s="32">
        <v>2.5233300000000001</v>
      </c>
      <c r="X33" s="32">
        <v>0.81284000000000001</v>
      </c>
      <c r="Y33" s="32">
        <v>1.9293</v>
      </c>
      <c r="Z33" s="33">
        <v>2.3247599999999999</v>
      </c>
      <c r="AA33" s="31">
        <f t="shared" si="4"/>
        <v>0.421628</v>
      </c>
      <c r="AB33" s="32">
        <v>0.58028199999999996</v>
      </c>
      <c r="AC33" s="33">
        <v>0.26297399999999999</v>
      </c>
      <c r="AD33" s="31">
        <f t="shared" si="5"/>
        <v>0.20289850000000001</v>
      </c>
      <c r="AE33" s="32">
        <v>0.16442000000000001</v>
      </c>
      <c r="AF33" s="32">
        <v>0</v>
      </c>
      <c r="AG33" s="32">
        <v>0.228912</v>
      </c>
      <c r="AH33" s="33">
        <v>0.41826200000000002</v>
      </c>
      <c r="AI33" s="31">
        <f t="shared" si="6"/>
        <v>0.14999999999999997</v>
      </c>
      <c r="AJ33" s="32">
        <v>0.59999999999999987</v>
      </c>
      <c r="AK33" s="32">
        <v>5.5511151231257827E-17</v>
      </c>
      <c r="AL33" s="32">
        <v>0</v>
      </c>
      <c r="AM33" s="34">
        <v>0</v>
      </c>
    </row>
    <row r="34" spans="1:39" x14ac:dyDescent="0.3">
      <c r="A34" s="24" t="s">
        <v>274</v>
      </c>
      <c r="B34" s="25" t="s">
        <v>19</v>
      </c>
      <c r="C34" s="25" t="s">
        <v>35</v>
      </c>
      <c r="D34" s="25" t="s">
        <v>16</v>
      </c>
      <c r="E34" s="26" t="s">
        <v>137</v>
      </c>
      <c r="F34" s="27">
        <v>32</v>
      </c>
      <c r="G34" s="28">
        <f t="shared" si="0"/>
        <v>29.5</v>
      </c>
      <c r="H34" s="29">
        <v>21</v>
      </c>
      <c r="I34" s="29">
        <v>39</v>
      </c>
      <c r="J34" s="29">
        <v>24</v>
      </c>
      <c r="K34" s="30">
        <v>34</v>
      </c>
      <c r="L34" s="31">
        <f t="shared" si="1"/>
        <v>15.94707125</v>
      </c>
      <c r="M34" s="32">
        <v>16.110154000000001</v>
      </c>
      <c r="N34" s="32">
        <v>27.169441000000003</v>
      </c>
      <c r="O34" s="32">
        <v>5.6296499999999998</v>
      </c>
      <c r="P34" s="33">
        <v>13.265572999999998</v>
      </c>
      <c r="Q34" s="31">
        <f t="shared" si="2"/>
        <v>2.2524194999999998</v>
      </c>
      <c r="R34" s="32">
        <v>1.0009999999999999</v>
      </c>
      <c r="S34" s="32">
        <v>3.7003459999999997</v>
      </c>
      <c r="T34" s="32">
        <v>0</v>
      </c>
      <c r="U34" s="33">
        <v>4.3083320000000001</v>
      </c>
      <c r="V34" s="31">
        <f t="shared" si="3"/>
        <v>11.77507825</v>
      </c>
      <c r="W34" s="32">
        <v>13.521470000000001</v>
      </c>
      <c r="X34" s="32">
        <v>22.526533000000001</v>
      </c>
      <c r="Y34" s="32">
        <v>3.6021000000000001</v>
      </c>
      <c r="Z34" s="33">
        <v>7.4502099999999993</v>
      </c>
      <c r="AA34" s="31">
        <f t="shared" si="4"/>
        <v>0.80673349999999999</v>
      </c>
      <c r="AB34" s="32">
        <v>1.1571770000000001</v>
      </c>
      <c r="AC34" s="33">
        <v>0.45628999999999997</v>
      </c>
      <c r="AD34" s="31">
        <f t="shared" si="5"/>
        <v>1.1128399999999998</v>
      </c>
      <c r="AE34" s="32">
        <v>0.43050700000000003</v>
      </c>
      <c r="AF34" s="32">
        <v>0.48627199999999998</v>
      </c>
      <c r="AG34" s="32">
        <v>2.0275499999999997</v>
      </c>
      <c r="AH34" s="33">
        <v>1.5070309999999998</v>
      </c>
      <c r="AI34" s="31">
        <f t="shared" si="6"/>
        <v>8.6042284408449632E-16</v>
      </c>
      <c r="AJ34" s="32">
        <v>1.0547118733938987E-15</v>
      </c>
      <c r="AK34" s="32">
        <v>2.3869795029440866E-15</v>
      </c>
      <c r="AL34" s="32">
        <v>0</v>
      </c>
      <c r="AM34" s="34">
        <v>0</v>
      </c>
    </row>
    <row r="35" spans="1:39" x14ac:dyDescent="0.3">
      <c r="A35" s="24" t="s">
        <v>274</v>
      </c>
      <c r="B35" s="25" t="s">
        <v>19</v>
      </c>
      <c r="C35" s="25" t="s">
        <v>35</v>
      </c>
      <c r="D35" s="25" t="s">
        <v>6</v>
      </c>
      <c r="E35" s="26" t="s">
        <v>151</v>
      </c>
      <c r="F35" s="27">
        <v>9</v>
      </c>
      <c r="G35" s="28">
        <f t="shared" si="0"/>
        <v>0.5</v>
      </c>
      <c r="H35" s="29">
        <v>0</v>
      </c>
      <c r="I35" s="29">
        <v>0</v>
      </c>
      <c r="J35" s="29">
        <v>0</v>
      </c>
      <c r="K35" s="30">
        <v>2</v>
      </c>
      <c r="L35" s="31">
        <f t="shared" si="1"/>
        <v>0.1168</v>
      </c>
      <c r="M35" s="32">
        <v>0</v>
      </c>
      <c r="N35" s="32">
        <v>0</v>
      </c>
      <c r="O35" s="32">
        <v>0</v>
      </c>
      <c r="P35" s="33">
        <v>0.4672</v>
      </c>
      <c r="Q35" s="31">
        <f t="shared" si="2"/>
        <v>0.1168</v>
      </c>
      <c r="R35" s="32">
        <v>0</v>
      </c>
      <c r="S35" s="32">
        <v>0</v>
      </c>
      <c r="T35" s="32">
        <v>0</v>
      </c>
      <c r="U35" s="33">
        <v>0.4672</v>
      </c>
      <c r="V35" s="31">
        <f t="shared" si="3"/>
        <v>0</v>
      </c>
      <c r="W35" s="32">
        <v>0</v>
      </c>
      <c r="X35" s="32">
        <v>0</v>
      </c>
      <c r="Y35" s="32">
        <v>0</v>
      </c>
      <c r="Z35" s="33">
        <v>0</v>
      </c>
      <c r="AA35" s="31">
        <f t="shared" si="4"/>
        <v>0</v>
      </c>
      <c r="AB35" s="32">
        <v>0</v>
      </c>
      <c r="AC35" s="33">
        <v>0</v>
      </c>
      <c r="AD35" s="31">
        <f t="shared" si="5"/>
        <v>0</v>
      </c>
      <c r="AE35" s="32">
        <v>0</v>
      </c>
      <c r="AF35" s="32">
        <v>0</v>
      </c>
      <c r="AG35" s="32">
        <v>0</v>
      </c>
      <c r="AH35" s="33">
        <v>0</v>
      </c>
      <c r="AI35" s="31">
        <f t="shared" si="6"/>
        <v>0</v>
      </c>
      <c r="AJ35" s="32">
        <v>0</v>
      </c>
      <c r="AK35" s="32">
        <v>0</v>
      </c>
      <c r="AL35" s="32">
        <v>0</v>
      </c>
      <c r="AM35" s="34">
        <v>0</v>
      </c>
    </row>
    <row r="36" spans="1:39" x14ac:dyDescent="0.3">
      <c r="A36" s="24" t="s">
        <v>274</v>
      </c>
      <c r="B36" s="25" t="s">
        <v>19</v>
      </c>
      <c r="C36" s="25" t="s">
        <v>35</v>
      </c>
      <c r="D36" s="25" t="s">
        <v>6</v>
      </c>
      <c r="E36" s="26" t="s">
        <v>67</v>
      </c>
      <c r="F36" s="27">
        <v>16</v>
      </c>
      <c r="G36" s="28">
        <f t="shared" si="0"/>
        <v>5.5</v>
      </c>
      <c r="H36" s="29">
        <v>5</v>
      </c>
      <c r="I36" s="29">
        <v>6</v>
      </c>
      <c r="J36" s="29">
        <v>5</v>
      </c>
      <c r="K36" s="30">
        <v>6</v>
      </c>
      <c r="L36" s="31">
        <f t="shared" si="1"/>
        <v>1.1677244999999998</v>
      </c>
      <c r="M36" s="32">
        <v>1.7778799999999999</v>
      </c>
      <c r="N36" s="32">
        <v>1.0880939999999999</v>
      </c>
      <c r="O36" s="32">
        <v>0.54448300000000005</v>
      </c>
      <c r="P36" s="33">
        <v>0.77727599999999997</v>
      </c>
      <c r="Q36" s="31">
        <f t="shared" si="2"/>
        <v>8.8124999999999995E-2</v>
      </c>
      <c r="R36" s="32">
        <v>0</v>
      </c>
      <c r="S36" s="32">
        <v>0</v>
      </c>
      <c r="T36" s="32">
        <v>0</v>
      </c>
      <c r="U36" s="33">
        <v>0.35249999999999998</v>
      </c>
      <c r="V36" s="31">
        <f t="shared" si="3"/>
        <v>0.52935999999999994</v>
      </c>
      <c r="W36" s="32">
        <v>1.3091999999999999</v>
      </c>
      <c r="X36" s="32">
        <v>0.80823999999999996</v>
      </c>
      <c r="Y36" s="32">
        <v>0</v>
      </c>
      <c r="Z36" s="33">
        <v>0</v>
      </c>
      <c r="AA36" s="31">
        <f t="shared" si="4"/>
        <v>0.24158249999999998</v>
      </c>
      <c r="AB36" s="32">
        <v>0.42596699999999998</v>
      </c>
      <c r="AC36" s="33">
        <v>5.7197999999999999E-2</v>
      </c>
      <c r="AD36" s="31">
        <f t="shared" si="5"/>
        <v>0.30865700000000001</v>
      </c>
      <c r="AE36" s="32">
        <v>4.2713000000000001E-2</v>
      </c>
      <c r="AF36" s="32">
        <v>0.22265599999999999</v>
      </c>
      <c r="AG36" s="32">
        <v>0.54448300000000005</v>
      </c>
      <c r="AH36" s="33">
        <v>0.42477599999999999</v>
      </c>
      <c r="AI36" s="31">
        <f t="shared" si="6"/>
        <v>0</v>
      </c>
      <c r="AJ36" s="32">
        <v>0</v>
      </c>
      <c r="AK36" s="32">
        <v>0</v>
      </c>
      <c r="AL36" s="32">
        <v>0</v>
      </c>
      <c r="AM36" s="34">
        <v>0</v>
      </c>
    </row>
    <row r="37" spans="1:39" x14ac:dyDescent="0.3">
      <c r="A37" s="24" t="s">
        <v>274</v>
      </c>
      <c r="B37" s="25" t="s">
        <v>19</v>
      </c>
      <c r="C37" s="25" t="s">
        <v>35</v>
      </c>
      <c r="D37" s="25" t="s">
        <v>6</v>
      </c>
      <c r="E37" s="26" t="s">
        <v>252</v>
      </c>
      <c r="F37" s="27">
        <v>2</v>
      </c>
      <c r="G37" s="28">
        <f t="shared" si="0"/>
        <v>0</v>
      </c>
      <c r="H37" s="29">
        <v>0</v>
      </c>
      <c r="I37" s="29">
        <v>0</v>
      </c>
      <c r="J37" s="29">
        <v>0</v>
      </c>
      <c r="K37" s="30">
        <v>0</v>
      </c>
      <c r="L37" s="31">
        <f t="shared" si="1"/>
        <v>0</v>
      </c>
      <c r="M37" s="32">
        <v>0</v>
      </c>
      <c r="N37" s="32">
        <v>0</v>
      </c>
      <c r="O37" s="32">
        <v>0</v>
      </c>
      <c r="P37" s="33">
        <v>0</v>
      </c>
      <c r="Q37" s="31">
        <f t="shared" si="2"/>
        <v>0</v>
      </c>
      <c r="R37" s="32">
        <v>0</v>
      </c>
      <c r="S37" s="32">
        <v>0</v>
      </c>
      <c r="T37" s="32">
        <v>0</v>
      </c>
      <c r="U37" s="33">
        <v>0</v>
      </c>
      <c r="V37" s="31">
        <f t="shared" si="3"/>
        <v>0</v>
      </c>
      <c r="W37" s="32">
        <v>0</v>
      </c>
      <c r="X37" s="32">
        <v>0</v>
      </c>
      <c r="Y37" s="32">
        <v>0</v>
      </c>
      <c r="Z37" s="33">
        <v>0</v>
      </c>
      <c r="AA37" s="31">
        <f t="shared" si="4"/>
        <v>0</v>
      </c>
      <c r="AB37" s="32">
        <v>0</v>
      </c>
      <c r="AC37" s="33">
        <v>0</v>
      </c>
      <c r="AD37" s="31">
        <f t="shared" si="5"/>
        <v>0</v>
      </c>
      <c r="AE37" s="32">
        <v>0</v>
      </c>
      <c r="AF37" s="32">
        <v>0</v>
      </c>
      <c r="AG37" s="32">
        <v>0</v>
      </c>
      <c r="AH37" s="33">
        <v>0</v>
      </c>
      <c r="AI37" s="31">
        <f t="shared" si="6"/>
        <v>0</v>
      </c>
      <c r="AJ37" s="32">
        <v>0</v>
      </c>
      <c r="AK37" s="32">
        <v>0</v>
      </c>
      <c r="AL37" s="32">
        <v>0</v>
      </c>
      <c r="AM37" s="34">
        <v>0</v>
      </c>
    </row>
    <row r="38" spans="1:39" x14ac:dyDescent="0.3">
      <c r="A38" s="24" t="s">
        <v>274</v>
      </c>
      <c r="B38" s="25" t="s">
        <v>19</v>
      </c>
      <c r="C38" s="25" t="s">
        <v>35</v>
      </c>
      <c r="D38" s="25" t="s">
        <v>6</v>
      </c>
      <c r="E38" s="26" t="s">
        <v>58</v>
      </c>
      <c r="F38" s="27">
        <v>73</v>
      </c>
      <c r="G38" s="28">
        <f t="shared" si="0"/>
        <v>38.75</v>
      </c>
      <c r="H38" s="29">
        <v>50</v>
      </c>
      <c r="I38" s="29">
        <v>40</v>
      </c>
      <c r="J38" s="29">
        <v>30</v>
      </c>
      <c r="K38" s="30">
        <v>35</v>
      </c>
      <c r="L38" s="31">
        <f t="shared" si="1"/>
        <v>25.639254500000007</v>
      </c>
      <c r="M38" s="32">
        <v>40.923763000000008</v>
      </c>
      <c r="N38" s="32">
        <v>20.914156999999999</v>
      </c>
      <c r="O38" s="32">
        <v>17.580479999999998</v>
      </c>
      <c r="P38" s="33">
        <v>19.812719999999999</v>
      </c>
      <c r="Q38" s="31">
        <f t="shared" si="2"/>
        <v>5.3787442499999996</v>
      </c>
      <c r="R38" s="32">
        <v>6.9330119999999997</v>
      </c>
      <c r="S38" s="32">
        <v>5.7886150000000001</v>
      </c>
      <c r="T38" s="32">
        <v>3.2225969999999995</v>
      </c>
      <c r="U38" s="33">
        <v>5.5707529999999998</v>
      </c>
      <c r="V38" s="31">
        <f t="shared" si="3"/>
        <v>17.654530000000001</v>
      </c>
      <c r="W38" s="32">
        <v>31.295650000000002</v>
      </c>
      <c r="X38" s="32">
        <v>13.22898</v>
      </c>
      <c r="Y38" s="32">
        <v>13.27575</v>
      </c>
      <c r="Z38" s="33">
        <v>12.817740000000001</v>
      </c>
      <c r="AA38" s="31">
        <f t="shared" si="4"/>
        <v>1.662949</v>
      </c>
      <c r="AB38" s="32">
        <v>2.0362480000000001</v>
      </c>
      <c r="AC38" s="33">
        <v>1.28965</v>
      </c>
      <c r="AD38" s="31">
        <f t="shared" si="5"/>
        <v>0.94303124999999999</v>
      </c>
      <c r="AE38" s="32">
        <v>0.65885300000000002</v>
      </c>
      <c r="AF38" s="32">
        <v>0.60691200000000012</v>
      </c>
      <c r="AG38" s="32">
        <v>1.082133</v>
      </c>
      <c r="AH38" s="33">
        <v>1.4242269999999999</v>
      </c>
      <c r="AI38" s="31">
        <f t="shared" si="6"/>
        <v>2.0261570199409107E-15</v>
      </c>
      <c r="AJ38" s="32">
        <v>8.1046280797636427E-15</v>
      </c>
      <c r="AK38" s="32">
        <v>0</v>
      </c>
      <c r="AL38" s="32">
        <v>0</v>
      </c>
      <c r="AM38" s="34">
        <v>0</v>
      </c>
    </row>
    <row r="39" spans="1:39" x14ac:dyDescent="0.3">
      <c r="A39" s="24" t="s">
        <v>274</v>
      </c>
      <c r="B39" s="25" t="s">
        <v>19</v>
      </c>
      <c r="C39" s="25" t="s">
        <v>35</v>
      </c>
      <c r="D39" s="25" t="s">
        <v>6</v>
      </c>
      <c r="E39" s="26" t="s">
        <v>93</v>
      </c>
      <c r="F39" s="27">
        <v>12</v>
      </c>
      <c r="G39" s="28">
        <f t="shared" si="0"/>
        <v>1.5</v>
      </c>
      <c r="H39" s="29">
        <v>2</v>
      </c>
      <c r="I39" s="29">
        <v>0</v>
      </c>
      <c r="J39" s="29">
        <v>2</v>
      </c>
      <c r="K39" s="30">
        <v>2</v>
      </c>
      <c r="L39" s="31">
        <f t="shared" si="1"/>
        <v>1.6420370000000002</v>
      </c>
      <c r="M39" s="32">
        <v>5.2548699999999995</v>
      </c>
      <c r="N39" s="32">
        <v>0</v>
      </c>
      <c r="O39" s="32">
        <v>0.121729</v>
      </c>
      <c r="P39" s="33">
        <v>1.108679</v>
      </c>
      <c r="Q39" s="31">
        <f t="shared" si="2"/>
        <v>0</v>
      </c>
      <c r="R39" s="32">
        <v>0</v>
      </c>
      <c r="S39" s="32">
        <v>0</v>
      </c>
      <c r="T39" s="32">
        <v>0</v>
      </c>
      <c r="U39" s="33">
        <v>0</v>
      </c>
      <c r="V39" s="31">
        <f t="shared" si="3"/>
        <v>1.54443</v>
      </c>
      <c r="W39" s="32">
        <v>5.1719999999999997</v>
      </c>
      <c r="X39" s="32">
        <v>0</v>
      </c>
      <c r="Y39" s="32">
        <v>0</v>
      </c>
      <c r="Z39" s="33">
        <v>1.0057199999999999</v>
      </c>
      <c r="AA39" s="31">
        <f t="shared" si="4"/>
        <v>4.1435E-2</v>
      </c>
      <c r="AB39" s="32">
        <v>8.2869999999999999E-2</v>
      </c>
      <c r="AC39" s="33">
        <v>0</v>
      </c>
      <c r="AD39" s="31">
        <f t="shared" si="5"/>
        <v>5.6172E-2</v>
      </c>
      <c r="AE39" s="32">
        <v>0</v>
      </c>
      <c r="AF39" s="32">
        <v>0</v>
      </c>
      <c r="AG39" s="32">
        <v>0.121729</v>
      </c>
      <c r="AH39" s="33">
        <v>0.10295899999999999</v>
      </c>
      <c r="AI39" s="31">
        <f t="shared" si="6"/>
        <v>0</v>
      </c>
      <c r="AJ39" s="32">
        <v>0</v>
      </c>
      <c r="AK39" s="32">
        <v>0</v>
      </c>
      <c r="AL39" s="32">
        <v>0</v>
      </c>
      <c r="AM39" s="34">
        <v>0</v>
      </c>
    </row>
    <row r="40" spans="1:39" x14ac:dyDescent="0.3">
      <c r="A40" s="24" t="s">
        <v>273</v>
      </c>
      <c r="B40" s="25" t="s">
        <v>0</v>
      </c>
      <c r="C40" s="25" t="s">
        <v>39</v>
      </c>
      <c r="D40" s="25" t="s">
        <v>7</v>
      </c>
      <c r="E40" s="26" t="s">
        <v>126</v>
      </c>
      <c r="F40" s="27">
        <v>4</v>
      </c>
      <c r="G40" s="28">
        <f t="shared" si="0"/>
        <v>0</v>
      </c>
      <c r="H40" s="29">
        <v>0</v>
      </c>
      <c r="I40" s="29">
        <v>0</v>
      </c>
      <c r="J40" s="29">
        <v>0</v>
      </c>
      <c r="K40" s="30">
        <v>0</v>
      </c>
      <c r="L40" s="31">
        <f t="shared" si="1"/>
        <v>0</v>
      </c>
      <c r="M40" s="32">
        <v>0</v>
      </c>
      <c r="N40" s="32">
        <v>0</v>
      </c>
      <c r="O40" s="32">
        <v>0</v>
      </c>
      <c r="P40" s="33">
        <v>0</v>
      </c>
      <c r="Q40" s="31">
        <f t="shared" si="2"/>
        <v>0</v>
      </c>
      <c r="R40" s="32">
        <v>0</v>
      </c>
      <c r="S40" s="32">
        <v>0</v>
      </c>
      <c r="T40" s="32">
        <v>0</v>
      </c>
      <c r="U40" s="33">
        <v>0</v>
      </c>
      <c r="V40" s="31">
        <f t="shared" si="3"/>
        <v>0</v>
      </c>
      <c r="W40" s="32">
        <v>0</v>
      </c>
      <c r="X40" s="32">
        <v>0</v>
      </c>
      <c r="Y40" s="32">
        <v>0</v>
      </c>
      <c r="Z40" s="33">
        <v>0</v>
      </c>
      <c r="AA40" s="31">
        <f t="shared" si="4"/>
        <v>0</v>
      </c>
      <c r="AB40" s="32">
        <v>0</v>
      </c>
      <c r="AC40" s="33">
        <v>0</v>
      </c>
      <c r="AD40" s="31">
        <f t="shared" si="5"/>
        <v>0</v>
      </c>
      <c r="AE40" s="32">
        <v>0</v>
      </c>
      <c r="AF40" s="32">
        <v>0</v>
      </c>
      <c r="AG40" s="32">
        <v>0</v>
      </c>
      <c r="AH40" s="33">
        <v>0</v>
      </c>
      <c r="AI40" s="31">
        <f t="shared" si="6"/>
        <v>0</v>
      </c>
      <c r="AJ40" s="32">
        <v>0</v>
      </c>
      <c r="AK40" s="32">
        <v>0</v>
      </c>
      <c r="AL40" s="32">
        <v>0</v>
      </c>
      <c r="AM40" s="34">
        <v>0</v>
      </c>
    </row>
    <row r="41" spans="1:39" x14ac:dyDescent="0.3">
      <c r="A41" s="24" t="s">
        <v>273</v>
      </c>
      <c r="B41" s="25" t="s">
        <v>0</v>
      </c>
      <c r="C41" s="25" t="s">
        <v>39</v>
      </c>
      <c r="D41" s="25" t="s">
        <v>7</v>
      </c>
      <c r="E41" s="26" t="s">
        <v>130</v>
      </c>
      <c r="F41" s="27">
        <v>20</v>
      </c>
      <c r="G41" s="28">
        <f t="shared" si="0"/>
        <v>9.75</v>
      </c>
      <c r="H41" s="29">
        <v>8</v>
      </c>
      <c r="I41" s="29">
        <v>13</v>
      </c>
      <c r="J41" s="29">
        <v>8</v>
      </c>
      <c r="K41" s="30">
        <v>10</v>
      </c>
      <c r="L41" s="31">
        <f t="shared" si="1"/>
        <v>4.0293789999999996</v>
      </c>
      <c r="M41" s="32">
        <v>2.8939539999999999</v>
      </c>
      <c r="N41" s="32">
        <v>6.6281220000000003</v>
      </c>
      <c r="O41" s="32">
        <v>2.4278040000000001</v>
      </c>
      <c r="P41" s="33">
        <v>4.1199310000000002</v>
      </c>
      <c r="Q41" s="31">
        <f t="shared" si="2"/>
        <v>1.6892795</v>
      </c>
      <c r="R41" s="32">
        <v>1.3848370000000001</v>
      </c>
      <c r="S41" s="32">
        <v>2.313517</v>
      </c>
      <c r="T41" s="32">
        <v>1.206196</v>
      </c>
      <c r="U41" s="33">
        <v>1.852568</v>
      </c>
      <c r="V41" s="31">
        <f t="shared" si="3"/>
        <v>1.9668324999999998</v>
      </c>
      <c r="W41" s="32">
        <v>1.4098999999999999</v>
      </c>
      <c r="X41" s="32">
        <v>4.0505100000000001</v>
      </c>
      <c r="Y41" s="32">
        <v>0.82319999999999993</v>
      </c>
      <c r="Z41" s="33">
        <v>1.58372</v>
      </c>
      <c r="AA41" s="31">
        <f t="shared" si="4"/>
        <v>2.3852499999999999E-2</v>
      </c>
      <c r="AB41" s="32">
        <v>4.7704999999999997E-2</v>
      </c>
      <c r="AC41" s="33">
        <v>0</v>
      </c>
      <c r="AD41" s="31">
        <f t="shared" si="5"/>
        <v>0.34941450000000002</v>
      </c>
      <c r="AE41" s="32">
        <v>5.1512000000000002E-2</v>
      </c>
      <c r="AF41" s="32">
        <v>0.26409500000000002</v>
      </c>
      <c r="AG41" s="32">
        <v>0.39840799999999998</v>
      </c>
      <c r="AH41" s="33">
        <v>0.683643</v>
      </c>
      <c r="AI41" s="31">
        <f t="shared" si="6"/>
        <v>0</v>
      </c>
      <c r="AJ41" s="32">
        <v>0</v>
      </c>
      <c r="AK41" s="32">
        <v>0</v>
      </c>
      <c r="AL41" s="32">
        <v>0</v>
      </c>
      <c r="AM41" s="34">
        <v>0</v>
      </c>
    </row>
    <row r="42" spans="1:39" x14ac:dyDescent="0.3">
      <c r="A42" s="24" t="s">
        <v>273</v>
      </c>
      <c r="B42" s="25" t="s">
        <v>0</v>
      </c>
      <c r="C42" s="25" t="s">
        <v>39</v>
      </c>
      <c r="D42" s="25" t="s">
        <v>7</v>
      </c>
      <c r="E42" s="26" t="s">
        <v>155</v>
      </c>
      <c r="F42" s="27">
        <v>85</v>
      </c>
      <c r="G42" s="28">
        <f t="shared" si="0"/>
        <v>38.5</v>
      </c>
      <c r="H42" s="29">
        <v>34</v>
      </c>
      <c r="I42" s="29">
        <v>34</v>
      </c>
      <c r="J42" s="29">
        <v>41</v>
      </c>
      <c r="K42" s="30">
        <v>45</v>
      </c>
      <c r="L42" s="31">
        <f t="shared" si="1"/>
        <v>26.387247249999998</v>
      </c>
      <c r="M42" s="32">
        <v>27.996780000000001</v>
      </c>
      <c r="N42" s="32">
        <v>20.148212999999998</v>
      </c>
      <c r="O42" s="32">
        <v>30.138760999999999</v>
      </c>
      <c r="P42" s="33">
        <v>24.613699</v>
      </c>
      <c r="Q42" s="31">
        <f t="shared" si="2"/>
        <v>6.4091277499999997</v>
      </c>
      <c r="R42" s="32">
        <v>1.592484</v>
      </c>
      <c r="S42" s="32">
        <v>5.336786</v>
      </c>
      <c r="T42" s="32">
        <v>13.432727999999999</v>
      </c>
      <c r="U42" s="33">
        <v>5.2745129999999998</v>
      </c>
      <c r="V42" s="31">
        <f t="shared" si="3"/>
        <v>8.9357582499999992</v>
      </c>
      <c r="W42" s="32">
        <v>5.3760300000000001</v>
      </c>
      <c r="X42" s="32">
        <v>4.1626599999999998</v>
      </c>
      <c r="Y42" s="32">
        <v>9.4378600000000006</v>
      </c>
      <c r="Z42" s="33">
        <v>16.766483000000001</v>
      </c>
      <c r="AA42" s="31">
        <f t="shared" si="4"/>
        <v>1.3257679999999998</v>
      </c>
      <c r="AB42" s="32">
        <v>1.7592469999999998</v>
      </c>
      <c r="AC42" s="33">
        <v>0.89228899999999989</v>
      </c>
      <c r="AD42" s="31">
        <f t="shared" si="5"/>
        <v>1.8915932499999997</v>
      </c>
      <c r="AE42" s="32">
        <v>0.7690189999999999</v>
      </c>
      <c r="AF42" s="32">
        <v>1.4564779999999999</v>
      </c>
      <c r="AG42" s="32">
        <v>2.9681729999999997</v>
      </c>
      <c r="AH42" s="33">
        <v>2.372703</v>
      </c>
      <c r="AI42" s="31">
        <f t="shared" si="6"/>
        <v>7.8250000000000002</v>
      </c>
      <c r="AJ42" s="32">
        <v>18.500000000000004</v>
      </c>
      <c r="AK42" s="32">
        <v>8.2999999999999989</v>
      </c>
      <c r="AL42" s="32">
        <v>4.2999999999999972</v>
      </c>
      <c r="AM42" s="34">
        <v>0.20000000000000062</v>
      </c>
    </row>
    <row r="43" spans="1:39" x14ac:dyDescent="0.3">
      <c r="A43" s="24" t="s">
        <v>273</v>
      </c>
      <c r="B43" s="25" t="s">
        <v>0</v>
      </c>
      <c r="C43" s="25" t="s">
        <v>39</v>
      </c>
      <c r="D43" s="25" t="s">
        <v>7</v>
      </c>
      <c r="E43" s="26" t="s">
        <v>246</v>
      </c>
      <c r="F43" s="27">
        <v>2</v>
      </c>
      <c r="G43" s="28">
        <f t="shared" si="0"/>
        <v>0</v>
      </c>
      <c r="H43" s="29">
        <v>0</v>
      </c>
      <c r="I43" s="29">
        <v>0</v>
      </c>
      <c r="J43" s="29">
        <v>0</v>
      </c>
      <c r="K43" s="30">
        <v>0</v>
      </c>
      <c r="L43" s="31">
        <f t="shared" si="1"/>
        <v>0</v>
      </c>
      <c r="M43" s="32">
        <v>0</v>
      </c>
      <c r="N43" s="32">
        <v>0</v>
      </c>
      <c r="O43" s="32">
        <v>0</v>
      </c>
      <c r="P43" s="33">
        <v>0</v>
      </c>
      <c r="Q43" s="31">
        <f t="shared" si="2"/>
        <v>0</v>
      </c>
      <c r="R43" s="32">
        <v>0</v>
      </c>
      <c r="S43" s="32">
        <v>0</v>
      </c>
      <c r="T43" s="32">
        <v>0</v>
      </c>
      <c r="U43" s="33">
        <v>0</v>
      </c>
      <c r="V43" s="31">
        <f t="shared" si="3"/>
        <v>0</v>
      </c>
      <c r="W43" s="32">
        <v>0</v>
      </c>
      <c r="X43" s="32">
        <v>0</v>
      </c>
      <c r="Y43" s="32">
        <v>0</v>
      </c>
      <c r="Z43" s="33">
        <v>0</v>
      </c>
      <c r="AA43" s="31">
        <f t="shared" si="4"/>
        <v>0</v>
      </c>
      <c r="AB43" s="32">
        <v>0</v>
      </c>
      <c r="AC43" s="33">
        <v>0</v>
      </c>
      <c r="AD43" s="31">
        <f t="shared" si="5"/>
        <v>0</v>
      </c>
      <c r="AE43" s="32">
        <v>0</v>
      </c>
      <c r="AF43" s="32">
        <v>0</v>
      </c>
      <c r="AG43" s="32">
        <v>0</v>
      </c>
      <c r="AH43" s="33">
        <v>0</v>
      </c>
      <c r="AI43" s="31">
        <f t="shared" si="6"/>
        <v>0</v>
      </c>
      <c r="AJ43" s="32">
        <v>0</v>
      </c>
      <c r="AK43" s="32">
        <v>0</v>
      </c>
      <c r="AL43" s="32">
        <v>0</v>
      </c>
      <c r="AM43" s="34">
        <v>0</v>
      </c>
    </row>
    <row r="44" spans="1:39" x14ac:dyDescent="0.3">
      <c r="A44" s="24" t="s">
        <v>273</v>
      </c>
      <c r="B44" s="25" t="s">
        <v>0</v>
      </c>
      <c r="C44" s="25" t="s">
        <v>39</v>
      </c>
      <c r="D44" s="25" t="s">
        <v>7</v>
      </c>
      <c r="E44" s="26" t="s">
        <v>68</v>
      </c>
      <c r="F44" s="27">
        <v>60</v>
      </c>
      <c r="G44" s="28">
        <f t="shared" si="0"/>
        <v>37.25</v>
      </c>
      <c r="H44" s="29">
        <v>25</v>
      </c>
      <c r="I44" s="29">
        <v>36</v>
      </c>
      <c r="J44" s="29">
        <v>41</v>
      </c>
      <c r="K44" s="30">
        <v>47</v>
      </c>
      <c r="L44" s="31">
        <f t="shared" si="1"/>
        <v>24.873464249999998</v>
      </c>
      <c r="M44" s="32">
        <v>18.414327999999998</v>
      </c>
      <c r="N44" s="32">
        <v>23.108441000000003</v>
      </c>
      <c r="O44" s="32">
        <v>19.928923000000001</v>
      </c>
      <c r="P44" s="33">
        <v>36.079886999999999</v>
      </c>
      <c r="Q44" s="31">
        <f t="shared" si="2"/>
        <v>5.3359239999999994</v>
      </c>
      <c r="R44" s="32">
        <v>10.84174</v>
      </c>
      <c r="S44" s="32">
        <v>1.5016409999999998</v>
      </c>
      <c r="T44" s="32">
        <v>4.639634</v>
      </c>
      <c r="U44" s="33">
        <v>4.3606809999999996</v>
      </c>
      <c r="V44" s="31">
        <f t="shared" si="3"/>
        <v>16.008285000000001</v>
      </c>
      <c r="W44" s="32">
        <v>4.9451300000000007</v>
      </c>
      <c r="X44" s="32">
        <v>20.278919999999999</v>
      </c>
      <c r="Y44" s="32">
        <v>11.96007</v>
      </c>
      <c r="Z44" s="33">
        <v>26.849019999999999</v>
      </c>
      <c r="AA44" s="31">
        <f t="shared" si="4"/>
        <v>0.98113899999999998</v>
      </c>
      <c r="AB44" s="32">
        <v>1.146922</v>
      </c>
      <c r="AC44" s="33">
        <v>0.81535599999999997</v>
      </c>
      <c r="AD44" s="31">
        <f t="shared" si="5"/>
        <v>2.2960037499999997</v>
      </c>
      <c r="AE44" s="32">
        <v>0.47208600000000001</v>
      </c>
      <c r="AF44" s="32">
        <v>0.51252399999999998</v>
      </c>
      <c r="AG44" s="32">
        <v>3.3292190000000002</v>
      </c>
      <c r="AH44" s="33">
        <v>4.8701859999999995</v>
      </c>
      <c r="AI44" s="31">
        <f t="shared" si="6"/>
        <v>0.25211250000000029</v>
      </c>
      <c r="AJ44" s="32">
        <v>1.0084499999999972</v>
      </c>
      <c r="AK44" s="32">
        <v>3.9968028886505635E-15</v>
      </c>
      <c r="AL44" s="32">
        <v>0</v>
      </c>
      <c r="AM44" s="34">
        <v>0</v>
      </c>
    </row>
    <row r="45" spans="1:39" x14ac:dyDescent="0.3">
      <c r="A45" s="24" t="s">
        <v>273</v>
      </c>
      <c r="B45" s="25" t="s">
        <v>0</v>
      </c>
      <c r="C45" s="25" t="s">
        <v>39</v>
      </c>
      <c r="D45" s="25" t="s">
        <v>7</v>
      </c>
      <c r="E45" s="26" t="s">
        <v>127</v>
      </c>
      <c r="F45" s="27">
        <v>105</v>
      </c>
      <c r="G45" s="28">
        <f t="shared" si="0"/>
        <v>80.75</v>
      </c>
      <c r="H45" s="29">
        <v>80</v>
      </c>
      <c r="I45" s="29">
        <v>72</v>
      </c>
      <c r="J45" s="29">
        <v>90</v>
      </c>
      <c r="K45" s="30">
        <v>81</v>
      </c>
      <c r="L45" s="31">
        <f t="shared" si="1"/>
        <v>35.24862925</v>
      </c>
      <c r="M45" s="32">
        <v>28.409193999999999</v>
      </c>
      <c r="N45" s="32">
        <v>30.601855999999994</v>
      </c>
      <c r="O45" s="32">
        <v>44.353570000000012</v>
      </c>
      <c r="P45" s="33">
        <v>27.156429999999993</v>
      </c>
      <c r="Q45" s="31">
        <f t="shared" si="2"/>
        <v>9.2093987500000001</v>
      </c>
      <c r="R45" s="32">
        <v>8.2106889999999986</v>
      </c>
      <c r="S45" s="32">
        <v>9.680908999999998</v>
      </c>
      <c r="T45" s="32">
        <v>14.751482000000001</v>
      </c>
      <c r="U45" s="33">
        <v>4.194515</v>
      </c>
      <c r="V45" s="31">
        <f t="shared" si="3"/>
        <v>14.003674</v>
      </c>
      <c r="W45" s="32">
        <v>10.6295</v>
      </c>
      <c r="X45" s="32">
        <v>9.812932</v>
      </c>
      <c r="Y45" s="32">
        <v>24.342853999999999</v>
      </c>
      <c r="Z45" s="33">
        <v>11.229409999999998</v>
      </c>
      <c r="AA45" s="31">
        <f t="shared" si="4"/>
        <v>5.2367335000000006</v>
      </c>
      <c r="AB45" s="32">
        <v>6.5757620000000001</v>
      </c>
      <c r="AC45" s="33">
        <v>3.8977050000000006</v>
      </c>
      <c r="AD45" s="31">
        <f t="shared" si="5"/>
        <v>4.6030829999999998</v>
      </c>
      <c r="AE45" s="32">
        <v>1.6836929999999999</v>
      </c>
      <c r="AF45" s="32">
        <v>3.1620499999999998</v>
      </c>
      <c r="AG45" s="32">
        <v>4.151084</v>
      </c>
      <c r="AH45" s="33">
        <v>9.4155049999999996</v>
      </c>
      <c r="AI45" s="31">
        <f t="shared" si="6"/>
        <v>2.1957400000000016</v>
      </c>
      <c r="AJ45" s="32">
        <v>1.3095500000000007</v>
      </c>
      <c r="AK45" s="32">
        <v>4.0482599999999982</v>
      </c>
      <c r="AL45" s="32">
        <v>1.10815000000001</v>
      </c>
      <c r="AM45" s="34">
        <v>2.3169999999999966</v>
      </c>
    </row>
    <row r="46" spans="1:39" x14ac:dyDescent="0.3">
      <c r="A46" s="24" t="s">
        <v>273</v>
      </c>
      <c r="B46" s="25" t="s">
        <v>0</v>
      </c>
      <c r="C46" s="25" t="s">
        <v>39</v>
      </c>
      <c r="D46" s="25" t="s">
        <v>7</v>
      </c>
      <c r="E46" s="26" t="s">
        <v>56</v>
      </c>
      <c r="F46" s="27">
        <v>40</v>
      </c>
      <c r="G46" s="28">
        <f t="shared" si="0"/>
        <v>14.75</v>
      </c>
      <c r="H46" s="29">
        <v>18</v>
      </c>
      <c r="I46" s="29">
        <v>17</v>
      </c>
      <c r="J46" s="29">
        <v>12</v>
      </c>
      <c r="K46" s="30">
        <v>12</v>
      </c>
      <c r="L46" s="31">
        <f t="shared" si="1"/>
        <v>5.6269340000000003</v>
      </c>
      <c r="M46" s="32">
        <v>5.2281510000000004</v>
      </c>
      <c r="N46" s="32">
        <v>6.8761640000000002</v>
      </c>
      <c r="O46" s="32">
        <v>3.417897</v>
      </c>
      <c r="P46" s="33">
        <v>3.8222570000000005</v>
      </c>
      <c r="Q46" s="31">
        <f t="shared" si="2"/>
        <v>1.7706517500000003</v>
      </c>
      <c r="R46" s="32">
        <v>2.1364619999999999</v>
      </c>
      <c r="S46" s="32">
        <v>1.10972</v>
      </c>
      <c r="T46" s="32">
        <v>1.8215650000000001</v>
      </c>
      <c r="U46" s="33">
        <v>2.0148600000000001</v>
      </c>
      <c r="V46" s="31">
        <f t="shared" si="3"/>
        <v>1.3586900000000002</v>
      </c>
      <c r="W46" s="32">
        <v>0</v>
      </c>
      <c r="X46" s="32">
        <v>3.4411399999999999</v>
      </c>
      <c r="Y46" s="32">
        <v>0.99231999999999998</v>
      </c>
      <c r="Z46" s="33">
        <v>1.0013000000000001</v>
      </c>
      <c r="AA46" s="31">
        <f t="shared" si="4"/>
        <v>1.5816334999999999</v>
      </c>
      <c r="AB46" s="32">
        <v>2.3369759999999999</v>
      </c>
      <c r="AC46" s="33">
        <v>0.826291</v>
      </c>
      <c r="AD46" s="31">
        <f t="shared" si="5"/>
        <v>0.91595874999999993</v>
      </c>
      <c r="AE46" s="32">
        <v>0.75471299999999997</v>
      </c>
      <c r="AF46" s="32">
        <v>1.4990129999999999</v>
      </c>
      <c r="AG46" s="32">
        <v>0.60401199999999999</v>
      </c>
      <c r="AH46" s="33">
        <v>0.80609699999999995</v>
      </c>
      <c r="AI46" s="31">
        <f t="shared" si="6"/>
        <v>0</v>
      </c>
      <c r="AJ46" s="32">
        <v>0</v>
      </c>
      <c r="AK46" s="32">
        <v>0</v>
      </c>
      <c r="AL46" s="32">
        <v>0</v>
      </c>
      <c r="AM46" s="34">
        <v>0</v>
      </c>
    </row>
    <row r="47" spans="1:39" x14ac:dyDescent="0.3">
      <c r="A47" s="24" t="s">
        <v>273</v>
      </c>
      <c r="B47" s="25" t="s">
        <v>0</v>
      </c>
      <c r="C47" s="25" t="s">
        <v>39</v>
      </c>
      <c r="D47" s="25" t="s">
        <v>7</v>
      </c>
      <c r="E47" s="26" t="s">
        <v>214</v>
      </c>
      <c r="F47" s="27">
        <v>10</v>
      </c>
      <c r="G47" s="28">
        <f t="shared" si="0"/>
        <v>1</v>
      </c>
      <c r="H47" s="29">
        <v>2</v>
      </c>
      <c r="I47" s="29">
        <v>1</v>
      </c>
      <c r="J47" s="29">
        <v>0</v>
      </c>
      <c r="K47" s="30">
        <v>1</v>
      </c>
      <c r="L47" s="31">
        <f t="shared" si="1"/>
        <v>1.4153432500000001</v>
      </c>
      <c r="M47" s="32">
        <v>2.2664249999999999</v>
      </c>
      <c r="N47" s="32">
        <v>0.17788799999999999</v>
      </c>
      <c r="O47" s="32">
        <v>0</v>
      </c>
      <c r="P47" s="33">
        <v>2.9536750000000001</v>
      </c>
      <c r="Q47" s="31">
        <f t="shared" si="2"/>
        <v>1.23917875</v>
      </c>
      <c r="R47" s="32">
        <v>2.0030399999999999</v>
      </c>
      <c r="S47" s="32">
        <v>0</v>
      </c>
      <c r="T47" s="32">
        <v>0</v>
      </c>
      <c r="U47" s="33">
        <v>2.9536750000000001</v>
      </c>
      <c r="V47" s="31">
        <f t="shared" si="3"/>
        <v>0</v>
      </c>
      <c r="W47" s="32">
        <v>0</v>
      </c>
      <c r="X47" s="32">
        <v>0</v>
      </c>
      <c r="Y47" s="32">
        <v>0</v>
      </c>
      <c r="Z47" s="33">
        <v>0</v>
      </c>
      <c r="AA47" s="31">
        <f t="shared" si="4"/>
        <v>0.13169249999999999</v>
      </c>
      <c r="AB47" s="32">
        <v>0.26338499999999998</v>
      </c>
      <c r="AC47" s="33">
        <v>0</v>
      </c>
      <c r="AD47" s="31">
        <f t="shared" si="5"/>
        <v>4.4471999999999998E-2</v>
      </c>
      <c r="AE47" s="32">
        <v>0</v>
      </c>
      <c r="AF47" s="32">
        <v>0.17788799999999999</v>
      </c>
      <c r="AG47" s="32">
        <v>0</v>
      </c>
      <c r="AH47" s="33">
        <v>0</v>
      </c>
      <c r="AI47" s="31">
        <f t="shared" si="6"/>
        <v>0</v>
      </c>
      <c r="AJ47" s="32">
        <v>0</v>
      </c>
      <c r="AK47" s="32">
        <v>0</v>
      </c>
      <c r="AL47" s="32">
        <v>0</v>
      </c>
      <c r="AM47" s="34">
        <v>0</v>
      </c>
    </row>
    <row r="48" spans="1:39" x14ac:dyDescent="0.3">
      <c r="A48" s="24" t="s">
        <v>273</v>
      </c>
      <c r="B48" s="25" t="s">
        <v>0</v>
      </c>
      <c r="C48" s="25" t="s">
        <v>39</v>
      </c>
      <c r="D48" s="25" t="s">
        <v>7</v>
      </c>
      <c r="E48" s="26" t="s">
        <v>256</v>
      </c>
      <c r="F48" s="27">
        <v>1</v>
      </c>
      <c r="G48" s="28">
        <f t="shared" si="0"/>
        <v>0.5</v>
      </c>
      <c r="H48" s="29">
        <v>0</v>
      </c>
      <c r="I48" s="29">
        <v>0</v>
      </c>
      <c r="J48" s="29">
        <v>2</v>
      </c>
      <c r="K48" s="30">
        <v>0</v>
      </c>
      <c r="L48" s="31">
        <f t="shared" si="1"/>
        <v>0.1025025</v>
      </c>
      <c r="M48" s="32">
        <v>0</v>
      </c>
      <c r="N48" s="32">
        <v>0</v>
      </c>
      <c r="O48" s="32">
        <v>0.41000999999999999</v>
      </c>
      <c r="P48" s="33">
        <v>0</v>
      </c>
      <c r="Q48" s="31">
        <f t="shared" si="2"/>
        <v>8.9249999999999996E-2</v>
      </c>
      <c r="R48" s="32">
        <v>0</v>
      </c>
      <c r="S48" s="32">
        <v>0</v>
      </c>
      <c r="T48" s="32">
        <v>0.35699999999999998</v>
      </c>
      <c r="U48" s="33">
        <v>0</v>
      </c>
      <c r="V48" s="31">
        <f t="shared" si="3"/>
        <v>0</v>
      </c>
      <c r="W48" s="32">
        <v>0</v>
      </c>
      <c r="X48" s="32">
        <v>0</v>
      </c>
      <c r="Y48" s="32">
        <v>0</v>
      </c>
      <c r="Z48" s="33">
        <v>0</v>
      </c>
      <c r="AA48" s="31">
        <f t="shared" si="4"/>
        <v>0</v>
      </c>
      <c r="AB48" s="32">
        <v>0</v>
      </c>
      <c r="AC48" s="33">
        <v>0</v>
      </c>
      <c r="AD48" s="31">
        <f t="shared" si="5"/>
        <v>1.32525E-2</v>
      </c>
      <c r="AE48" s="32">
        <v>0</v>
      </c>
      <c r="AF48" s="32">
        <v>0</v>
      </c>
      <c r="AG48" s="32">
        <v>5.3010000000000002E-2</v>
      </c>
      <c r="AH48" s="33">
        <v>0</v>
      </c>
      <c r="AI48" s="31">
        <f t="shared" si="6"/>
        <v>0</v>
      </c>
      <c r="AJ48" s="32">
        <v>0</v>
      </c>
      <c r="AK48" s="32">
        <v>0</v>
      </c>
      <c r="AL48" s="32">
        <v>0</v>
      </c>
      <c r="AM48" s="34">
        <v>0</v>
      </c>
    </row>
    <row r="49" spans="1:39" x14ac:dyDescent="0.3">
      <c r="A49" s="24" t="s">
        <v>273</v>
      </c>
      <c r="B49" s="25" t="s">
        <v>15</v>
      </c>
      <c r="C49" s="25" t="s">
        <v>50</v>
      </c>
      <c r="D49" s="25" t="s">
        <v>16</v>
      </c>
      <c r="E49" s="26" t="s">
        <v>106</v>
      </c>
      <c r="F49" s="27">
        <v>7</v>
      </c>
      <c r="G49" s="28">
        <f t="shared" si="0"/>
        <v>8</v>
      </c>
      <c r="H49" s="29">
        <v>0</v>
      </c>
      <c r="I49" s="29">
        <v>1</v>
      </c>
      <c r="J49" s="29">
        <v>13</v>
      </c>
      <c r="K49" s="30">
        <v>18</v>
      </c>
      <c r="L49" s="31">
        <f t="shared" si="1"/>
        <v>1.7293314999999998</v>
      </c>
      <c r="M49" s="32">
        <v>0</v>
      </c>
      <c r="N49" s="32">
        <v>0.70550999999999997</v>
      </c>
      <c r="O49" s="32">
        <v>3.8196569999999999</v>
      </c>
      <c r="P49" s="33">
        <v>2.3921589999999999</v>
      </c>
      <c r="Q49" s="31">
        <f t="shared" si="2"/>
        <v>0</v>
      </c>
      <c r="R49" s="32">
        <v>0</v>
      </c>
      <c r="S49" s="32">
        <v>0</v>
      </c>
      <c r="T49" s="32">
        <v>0</v>
      </c>
      <c r="U49" s="33">
        <v>0</v>
      </c>
      <c r="V49" s="31">
        <f t="shared" si="3"/>
        <v>0.96191499999999996</v>
      </c>
      <c r="W49" s="32">
        <v>0</v>
      </c>
      <c r="X49" s="32">
        <v>0.70550999999999997</v>
      </c>
      <c r="Y49" s="32">
        <v>2.63775</v>
      </c>
      <c r="Z49" s="33">
        <v>0.50439999999999996</v>
      </c>
      <c r="AA49" s="31">
        <f t="shared" si="4"/>
        <v>0</v>
      </c>
      <c r="AB49" s="32">
        <v>0</v>
      </c>
      <c r="AC49" s="33">
        <v>0</v>
      </c>
      <c r="AD49" s="31">
        <f t="shared" si="5"/>
        <v>0.76741649999999995</v>
      </c>
      <c r="AE49" s="32">
        <v>0</v>
      </c>
      <c r="AF49" s="32">
        <v>0</v>
      </c>
      <c r="AG49" s="32">
        <v>1.181907</v>
      </c>
      <c r="AH49" s="33">
        <v>1.887759</v>
      </c>
      <c r="AI49" s="31">
        <f t="shared" si="6"/>
        <v>0</v>
      </c>
      <c r="AJ49" s="32">
        <v>0</v>
      </c>
      <c r="AK49" s="32">
        <v>0</v>
      </c>
      <c r="AL49" s="32">
        <v>0</v>
      </c>
      <c r="AM49" s="34">
        <v>0</v>
      </c>
    </row>
    <row r="50" spans="1:39" x14ac:dyDescent="0.3">
      <c r="A50" s="24" t="s">
        <v>273</v>
      </c>
      <c r="B50" s="25" t="s">
        <v>15</v>
      </c>
      <c r="C50" s="25" t="s">
        <v>50</v>
      </c>
      <c r="D50" s="25" t="s">
        <v>16</v>
      </c>
      <c r="E50" s="26" t="s">
        <v>55</v>
      </c>
      <c r="F50" s="27">
        <v>161</v>
      </c>
      <c r="G50" s="28">
        <f t="shared" si="0"/>
        <v>123.25</v>
      </c>
      <c r="H50" s="29">
        <v>111</v>
      </c>
      <c r="I50" s="29">
        <v>125</v>
      </c>
      <c r="J50" s="29">
        <v>135</v>
      </c>
      <c r="K50" s="30">
        <v>122</v>
      </c>
      <c r="L50" s="31">
        <f t="shared" si="1"/>
        <v>100.81880049999998</v>
      </c>
      <c r="M50" s="32">
        <v>92.740905999999995</v>
      </c>
      <c r="N50" s="32">
        <v>118.24195899999999</v>
      </c>
      <c r="O50" s="32">
        <v>96.680442999999983</v>
      </c>
      <c r="P50" s="33">
        <v>83.182371000000003</v>
      </c>
      <c r="Q50" s="31">
        <f t="shared" si="2"/>
        <v>73.404180749999995</v>
      </c>
      <c r="R50" s="32">
        <v>70.674538000000013</v>
      </c>
      <c r="S50" s="32">
        <v>103.48522199999998</v>
      </c>
      <c r="T50" s="32">
        <v>63.972014999999992</v>
      </c>
      <c r="U50" s="33">
        <v>55.484948000000003</v>
      </c>
      <c r="V50" s="31">
        <f t="shared" si="3"/>
        <v>12.77271275</v>
      </c>
      <c r="W50" s="32">
        <v>11.196040000000002</v>
      </c>
      <c r="X50" s="32">
        <v>5.203951</v>
      </c>
      <c r="Y50" s="32">
        <v>18.017740000000003</v>
      </c>
      <c r="Z50" s="33">
        <v>16.673120000000001</v>
      </c>
      <c r="AA50" s="31">
        <f t="shared" si="4"/>
        <v>6.2147615000000007</v>
      </c>
      <c r="AB50" s="32">
        <v>6.4900410000000006</v>
      </c>
      <c r="AC50" s="33">
        <v>5.9394820000000008</v>
      </c>
      <c r="AD50" s="31">
        <f t="shared" si="5"/>
        <v>6.632283000000001</v>
      </c>
      <c r="AE50" s="32">
        <v>2.110287</v>
      </c>
      <c r="AF50" s="32">
        <v>2.6133040000000003</v>
      </c>
      <c r="AG50" s="32">
        <v>12.790688000000001</v>
      </c>
      <c r="AH50" s="33">
        <v>9.0148530000000004</v>
      </c>
      <c r="AI50" s="31">
        <f t="shared" si="6"/>
        <v>1.7948624999999949</v>
      </c>
      <c r="AJ50" s="32">
        <v>2.2699999999999805</v>
      </c>
      <c r="AK50" s="32">
        <v>1.0000000000000142</v>
      </c>
      <c r="AL50" s="32">
        <v>1.8999999999999861</v>
      </c>
      <c r="AM50" s="34">
        <v>2.0094499999999993</v>
      </c>
    </row>
    <row r="51" spans="1:39" x14ac:dyDescent="0.3">
      <c r="A51" s="24" t="s">
        <v>273</v>
      </c>
      <c r="B51" s="25" t="s">
        <v>28</v>
      </c>
      <c r="C51" s="25" t="s">
        <v>41</v>
      </c>
      <c r="D51" s="25" t="s">
        <v>16</v>
      </c>
      <c r="E51" s="26" t="s">
        <v>138</v>
      </c>
      <c r="F51" s="27">
        <v>79</v>
      </c>
      <c r="G51" s="28">
        <f t="shared" si="0"/>
        <v>42</v>
      </c>
      <c r="H51" s="29">
        <v>32</v>
      </c>
      <c r="I51" s="29">
        <v>46</v>
      </c>
      <c r="J51" s="29">
        <v>42</v>
      </c>
      <c r="K51" s="30">
        <v>48</v>
      </c>
      <c r="L51" s="31">
        <f t="shared" si="1"/>
        <v>33.941489249999997</v>
      </c>
      <c r="M51" s="32">
        <v>33.260978999999999</v>
      </c>
      <c r="N51" s="32">
        <v>37.592722999999992</v>
      </c>
      <c r="O51" s="32">
        <v>39.461552999999995</v>
      </c>
      <c r="P51" s="33">
        <v>23.024149000000001</v>
      </c>
      <c r="Q51" s="31">
        <f t="shared" si="2"/>
        <v>16.997270999999998</v>
      </c>
      <c r="R51" s="32">
        <v>22.224606999999999</v>
      </c>
      <c r="S51" s="32">
        <v>19.115516999999997</v>
      </c>
      <c r="T51" s="32">
        <v>19.132537999999997</v>
      </c>
      <c r="U51" s="33">
        <v>7.5164220000000004</v>
      </c>
      <c r="V51" s="31">
        <f t="shared" si="3"/>
        <v>11.24697325</v>
      </c>
      <c r="W51" s="32">
        <v>7.1903860000000002</v>
      </c>
      <c r="X51" s="32">
        <v>12.416297</v>
      </c>
      <c r="Y51" s="32">
        <v>15.29735</v>
      </c>
      <c r="Z51" s="33">
        <v>10.08386</v>
      </c>
      <c r="AA51" s="31">
        <f t="shared" si="4"/>
        <v>1.2132765000000001</v>
      </c>
      <c r="AB51" s="32">
        <v>0.91081400000000001</v>
      </c>
      <c r="AC51" s="33">
        <v>1.5157389999999999</v>
      </c>
      <c r="AD51" s="31">
        <f t="shared" si="5"/>
        <v>1.4799910000000001</v>
      </c>
      <c r="AE51" s="32">
        <v>0.124032</v>
      </c>
      <c r="AF51" s="32">
        <v>0.71995000000000009</v>
      </c>
      <c r="AG51" s="32">
        <v>1.715905</v>
      </c>
      <c r="AH51" s="33">
        <v>3.3600770000000004</v>
      </c>
      <c r="AI51" s="31">
        <f t="shared" si="6"/>
        <v>3.0039774999999986</v>
      </c>
      <c r="AJ51" s="32">
        <v>2.8111399999999995</v>
      </c>
      <c r="AK51" s="32">
        <v>3.8252199999999954</v>
      </c>
      <c r="AL51" s="32">
        <v>3.3157599999999983</v>
      </c>
      <c r="AM51" s="34">
        <v>2.0637900000000009</v>
      </c>
    </row>
    <row r="52" spans="1:39" x14ac:dyDescent="0.3">
      <c r="A52" s="24" t="s">
        <v>273</v>
      </c>
      <c r="B52" s="25" t="s">
        <v>28</v>
      </c>
      <c r="C52" s="25" t="s">
        <v>41</v>
      </c>
      <c r="D52" s="25" t="s">
        <v>16</v>
      </c>
      <c r="E52" s="26" t="s">
        <v>213</v>
      </c>
      <c r="F52" s="27">
        <v>3</v>
      </c>
      <c r="G52" s="28">
        <f t="shared" si="0"/>
        <v>0</v>
      </c>
      <c r="H52" s="29">
        <v>0</v>
      </c>
      <c r="I52" s="29">
        <v>0</v>
      </c>
      <c r="J52" s="29">
        <v>0</v>
      </c>
      <c r="K52" s="30">
        <v>0</v>
      </c>
      <c r="L52" s="31">
        <f t="shared" si="1"/>
        <v>0</v>
      </c>
      <c r="M52" s="32">
        <v>0</v>
      </c>
      <c r="N52" s="32">
        <v>0</v>
      </c>
      <c r="O52" s="32">
        <v>0</v>
      </c>
      <c r="P52" s="33">
        <v>0</v>
      </c>
      <c r="Q52" s="31">
        <f t="shared" si="2"/>
        <v>0</v>
      </c>
      <c r="R52" s="32">
        <v>0</v>
      </c>
      <c r="S52" s="32">
        <v>0</v>
      </c>
      <c r="T52" s="32">
        <v>0</v>
      </c>
      <c r="U52" s="33">
        <v>0</v>
      </c>
      <c r="V52" s="31">
        <f t="shared" si="3"/>
        <v>0</v>
      </c>
      <c r="W52" s="32">
        <v>0</v>
      </c>
      <c r="X52" s="32">
        <v>0</v>
      </c>
      <c r="Y52" s="32">
        <v>0</v>
      </c>
      <c r="Z52" s="33">
        <v>0</v>
      </c>
      <c r="AA52" s="31">
        <f t="shared" si="4"/>
        <v>0</v>
      </c>
      <c r="AB52" s="32">
        <v>0</v>
      </c>
      <c r="AC52" s="33">
        <v>0</v>
      </c>
      <c r="AD52" s="31">
        <f t="shared" si="5"/>
        <v>0</v>
      </c>
      <c r="AE52" s="32">
        <v>0</v>
      </c>
      <c r="AF52" s="32">
        <v>0</v>
      </c>
      <c r="AG52" s="32">
        <v>0</v>
      </c>
      <c r="AH52" s="33">
        <v>0</v>
      </c>
      <c r="AI52" s="31">
        <f t="shared" si="6"/>
        <v>0</v>
      </c>
      <c r="AJ52" s="32">
        <v>0</v>
      </c>
      <c r="AK52" s="32">
        <v>0</v>
      </c>
      <c r="AL52" s="32">
        <v>0</v>
      </c>
      <c r="AM52" s="34">
        <v>0</v>
      </c>
    </row>
    <row r="53" spans="1:39" x14ac:dyDescent="0.3">
      <c r="A53" s="24" t="s">
        <v>273</v>
      </c>
      <c r="B53" s="25" t="s">
        <v>28</v>
      </c>
      <c r="C53" s="25" t="s">
        <v>41</v>
      </c>
      <c r="D53" s="25" t="s">
        <v>16</v>
      </c>
      <c r="E53" s="26" t="s">
        <v>181</v>
      </c>
      <c r="F53" s="27">
        <v>16</v>
      </c>
      <c r="G53" s="28">
        <f t="shared" si="0"/>
        <v>3</v>
      </c>
      <c r="H53" s="29">
        <v>0</v>
      </c>
      <c r="I53" s="29">
        <v>2</v>
      </c>
      <c r="J53" s="29">
        <v>4</v>
      </c>
      <c r="K53" s="30">
        <v>6</v>
      </c>
      <c r="L53" s="31">
        <f t="shared" si="1"/>
        <v>1.3402669999999999</v>
      </c>
      <c r="M53" s="32">
        <v>0</v>
      </c>
      <c r="N53" s="32">
        <v>2.2156859999999998</v>
      </c>
      <c r="O53" s="32">
        <v>0.986178</v>
      </c>
      <c r="P53" s="33">
        <v>2.1592039999999999</v>
      </c>
      <c r="Q53" s="31">
        <f t="shared" si="2"/>
        <v>1.2037059999999999</v>
      </c>
      <c r="R53" s="32">
        <v>0</v>
      </c>
      <c r="S53" s="32">
        <v>2.2156859999999998</v>
      </c>
      <c r="T53" s="32">
        <v>0.701376</v>
      </c>
      <c r="U53" s="33">
        <v>1.8977619999999999</v>
      </c>
      <c r="V53" s="31">
        <f t="shared" si="3"/>
        <v>0</v>
      </c>
      <c r="W53" s="32">
        <v>0</v>
      </c>
      <c r="X53" s="32">
        <v>0</v>
      </c>
      <c r="Y53" s="32">
        <v>0</v>
      </c>
      <c r="Z53" s="33">
        <v>0</v>
      </c>
      <c r="AA53" s="31">
        <f t="shared" si="4"/>
        <v>0</v>
      </c>
      <c r="AB53" s="32">
        <v>0</v>
      </c>
      <c r="AC53" s="33">
        <v>0</v>
      </c>
      <c r="AD53" s="31">
        <f t="shared" si="5"/>
        <v>0.13656099999999999</v>
      </c>
      <c r="AE53" s="32">
        <v>0</v>
      </c>
      <c r="AF53" s="32">
        <v>0</v>
      </c>
      <c r="AG53" s="32">
        <v>0.284802</v>
      </c>
      <c r="AH53" s="33">
        <v>0.26144200000000001</v>
      </c>
      <c r="AI53" s="31">
        <f t="shared" si="6"/>
        <v>0</v>
      </c>
      <c r="AJ53" s="32">
        <v>0</v>
      </c>
      <c r="AK53" s="32">
        <v>0</v>
      </c>
      <c r="AL53" s="32">
        <v>0</v>
      </c>
      <c r="AM53" s="34">
        <v>0</v>
      </c>
    </row>
    <row r="54" spans="1:39" x14ac:dyDescent="0.3">
      <c r="A54" s="24" t="s">
        <v>273</v>
      </c>
      <c r="B54" s="25" t="s">
        <v>28</v>
      </c>
      <c r="C54" s="25" t="s">
        <v>41</v>
      </c>
      <c r="D54" s="25" t="s">
        <v>6</v>
      </c>
      <c r="E54" s="26" t="s">
        <v>101</v>
      </c>
      <c r="F54" s="27">
        <v>146</v>
      </c>
      <c r="G54" s="28">
        <f t="shared" si="0"/>
        <v>97</v>
      </c>
      <c r="H54" s="29">
        <v>93</v>
      </c>
      <c r="I54" s="29">
        <v>119</v>
      </c>
      <c r="J54" s="29">
        <v>78</v>
      </c>
      <c r="K54" s="30">
        <v>98</v>
      </c>
      <c r="L54" s="31">
        <f t="shared" si="1"/>
        <v>55.489814999999993</v>
      </c>
      <c r="M54" s="32">
        <v>40.475944999999996</v>
      </c>
      <c r="N54" s="32">
        <v>56.721886999999995</v>
      </c>
      <c r="O54" s="32">
        <v>41.194896999999997</v>
      </c>
      <c r="P54" s="33">
        <v>77.268495000000001</v>
      </c>
      <c r="Q54" s="31">
        <f t="shared" si="2"/>
        <v>17.163891</v>
      </c>
      <c r="R54" s="32">
        <v>12.949558</v>
      </c>
      <c r="S54" s="32">
        <v>15.332056000000001</v>
      </c>
      <c r="T54" s="32">
        <v>9.8465679999999995</v>
      </c>
      <c r="U54" s="33">
        <v>30.527381999999999</v>
      </c>
      <c r="V54" s="31">
        <f t="shared" si="3"/>
        <v>30.372832750000001</v>
      </c>
      <c r="W54" s="32">
        <v>21.544379999999997</v>
      </c>
      <c r="X54" s="32">
        <v>33.243229999999997</v>
      </c>
      <c r="Y54" s="32">
        <v>25.754989999999999</v>
      </c>
      <c r="Z54" s="33">
        <v>40.948731000000002</v>
      </c>
      <c r="AA54" s="31">
        <f t="shared" si="4"/>
        <v>3.1490180000000003</v>
      </c>
      <c r="AB54" s="32">
        <v>2.801143000000001</v>
      </c>
      <c r="AC54" s="33">
        <v>3.4968929999999996</v>
      </c>
      <c r="AD54" s="31">
        <f t="shared" si="5"/>
        <v>3.0267007499999998</v>
      </c>
      <c r="AE54" s="32">
        <v>1.978864</v>
      </c>
      <c r="AF54" s="32">
        <v>2.649708</v>
      </c>
      <c r="AG54" s="32">
        <v>3.0858490000000001</v>
      </c>
      <c r="AH54" s="33">
        <v>4.3923819999999996</v>
      </c>
      <c r="AI54" s="31">
        <f t="shared" si="6"/>
        <v>1.777372499999998</v>
      </c>
      <c r="AJ54" s="32">
        <v>1.2019999999999984</v>
      </c>
      <c r="AK54" s="32">
        <v>1.9999999999999969</v>
      </c>
      <c r="AL54" s="32">
        <v>2.5074900000000002</v>
      </c>
      <c r="AM54" s="34">
        <v>1.3999999999999968</v>
      </c>
    </row>
    <row r="55" spans="1:39" x14ac:dyDescent="0.3">
      <c r="A55" s="24" t="s">
        <v>273</v>
      </c>
      <c r="B55" s="25" t="s">
        <v>28</v>
      </c>
      <c r="C55" s="25" t="s">
        <v>41</v>
      </c>
      <c r="D55" s="25" t="s">
        <v>6</v>
      </c>
      <c r="E55" s="26" t="s">
        <v>150</v>
      </c>
      <c r="F55" s="27">
        <v>26</v>
      </c>
      <c r="G55" s="28">
        <f t="shared" si="0"/>
        <v>8</v>
      </c>
      <c r="H55" s="29">
        <v>9</v>
      </c>
      <c r="I55" s="29">
        <v>7</v>
      </c>
      <c r="J55" s="29">
        <v>7</v>
      </c>
      <c r="K55" s="30">
        <v>9</v>
      </c>
      <c r="L55" s="31">
        <f t="shared" si="1"/>
        <v>2.6752320000000003</v>
      </c>
      <c r="M55" s="32">
        <v>0.94537299999999991</v>
      </c>
      <c r="N55" s="32">
        <v>2.0894470000000003</v>
      </c>
      <c r="O55" s="32">
        <v>3.7817530000000001</v>
      </c>
      <c r="P55" s="33">
        <v>3.1093109999999999</v>
      </c>
      <c r="Q55" s="31">
        <f t="shared" si="2"/>
        <v>0.17760000000000001</v>
      </c>
      <c r="R55" s="32">
        <v>0</v>
      </c>
      <c r="S55" s="32">
        <v>0.71040000000000003</v>
      </c>
      <c r="T55" s="32">
        <v>0</v>
      </c>
      <c r="U55" s="33">
        <v>0</v>
      </c>
      <c r="V55" s="31">
        <f t="shared" si="3"/>
        <v>1.6766000000000001</v>
      </c>
      <c r="W55" s="32">
        <v>0</v>
      </c>
      <c r="X55" s="32">
        <v>1.0001800000000001</v>
      </c>
      <c r="Y55" s="32">
        <v>3.2625999999999999</v>
      </c>
      <c r="Z55" s="33">
        <v>2.4436200000000001</v>
      </c>
      <c r="AA55" s="31">
        <f t="shared" si="4"/>
        <v>0.38752200000000003</v>
      </c>
      <c r="AB55" s="32">
        <v>0.61895900000000004</v>
      </c>
      <c r="AC55" s="33">
        <v>0.156085</v>
      </c>
      <c r="AD55" s="31">
        <f t="shared" si="5"/>
        <v>0.43351000000000001</v>
      </c>
      <c r="AE55" s="32">
        <v>0.32641400000000004</v>
      </c>
      <c r="AF55" s="32">
        <v>0.22278200000000001</v>
      </c>
      <c r="AG55" s="32">
        <v>0.51915299999999998</v>
      </c>
      <c r="AH55" s="33">
        <v>0.66569100000000003</v>
      </c>
      <c r="AI55" s="31">
        <f t="shared" si="6"/>
        <v>6.9388939039072284E-17</v>
      </c>
      <c r="AJ55" s="32">
        <v>0</v>
      </c>
      <c r="AK55" s="32">
        <v>2.7755575615628914E-16</v>
      </c>
      <c r="AL55" s="32">
        <v>0</v>
      </c>
      <c r="AM55" s="34">
        <v>0</v>
      </c>
    </row>
    <row r="56" spans="1:39" x14ac:dyDescent="0.3">
      <c r="A56" s="24" t="s">
        <v>273</v>
      </c>
      <c r="B56" s="25" t="s">
        <v>28</v>
      </c>
      <c r="C56" s="25" t="s">
        <v>41</v>
      </c>
      <c r="D56" s="25" t="s">
        <v>6</v>
      </c>
      <c r="E56" s="26" t="s">
        <v>154</v>
      </c>
      <c r="F56" s="27">
        <v>37</v>
      </c>
      <c r="G56" s="28">
        <f t="shared" si="0"/>
        <v>6.5</v>
      </c>
      <c r="H56" s="29">
        <v>3</v>
      </c>
      <c r="I56" s="29">
        <v>6</v>
      </c>
      <c r="J56" s="29">
        <v>9</v>
      </c>
      <c r="K56" s="30">
        <v>8</v>
      </c>
      <c r="L56" s="31">
        <f t="shared" si="1"/>
        <v>3.6151420000000001</v>
      </c>
      <c r="M56" s="32">
        <v>1.9957670000000001</v>
      </c>
      <c r="N56" s="32">
        <v>3.9139720000000002</v>
      </c>
      <c r="O56" s="32">
        <v>4.0384009999999995</v>
      </c>
      <c r="P56" s="33">
        <v>3.8165690000000003</v>
      </c>
      <c r="Q56" s="31">
        <f t="shared" si="2"/>
        <v>1.493449</v>
      </c>
      <c r="R56" s="32">
        <v>1.04112</v>
      </c>
      <c r="S56" s="32">
        <v>3.4694600000000002</v>
      </c>
      <c r="T56" s="32">
        <v>0.9629350000000001</v>
      </c>
      <c r="U56" s="33">
        <v>0.50028099999999998</v>
      </c>
      <c r="V56" s="31">
        <f t="shared" si="3"/>
        <v>1.5664725000000002</v>
      </c>
      <c r="W56" s="32">
        <v>0.70330000000000004</v>
      </c>
      <c r="X56" s="32">
        <v>0</v>
      </c>
      <c r="Y56" s="32">
        <v>2.9895700000000001</v>
      </c>
      <c r="Z56" s="33">
        <v>2.5730200000000001</v>
      </c>
      <c r="AA56" s="31">
        <f t="shared" si="4"/>
        <v>0.3479295</v>
      </c>
      <c r="AB56" s="32">
        <v>0.25134699999999999</v>
      </c>
      <c r="AC56" s="33">
        <v>0.44451200000000002</v>
      </c>
      <c r="AD56" s="31">
        <f t="shared" si="5"/>
        <v>0.20729099999999998</v>
      </c>
      <c r="AE56" s="32">
        <v>0</v>
      </c>
      <c r="AF56" s="32">
        <v>0</v>
      </c>
      <c r="AG56" s="32">
        <v>8.5896E-2</v>
      </c>
      <c r="AH56" s="33">
        <v>0.74326799999999993</v>
      </c>
      <c r="AI56" s="31">
        <f t="shared" si="6"/>
        <v>0</v>
      </c>
      <c r="AJ56" s="32">
        <v>0</v>
      </c>
      <c r="AK56" s="32">
        <v>0</v>
      </c>
      <c r="AL56" s="32">
        <v>0</v>
      </c>
      <c r="AM56" s="34">
        <v>0</v>
      </c>
    </row>
    <row r="57" spans="1:39" x14ac:dyDescent="0.3">
      <c r="A57" s="24" t="s">
        <v>273</v>
      </c>
      <c r="B57" s="25" t="s">
        <v>29</v>
      </c>
      <c r="C57" s="25" t="s">
        <v>40</v>
      </c>
      <c r="D57" s="25" t="s">
        <v>16</v>
      </c>
      <c r="E57" s="26" t="s">
        <v>201</v>
      </c>
      <c r="F57" s="27">
        <v>41</v>
      </c>
      <c r="G57" s="28">
        <f t="shared" si="0"/>
        <v>47.75</v>
      </c>
      <c r="H57" s="29">
        <v>44</v>
      </c>
      <c r="I57" s="29">
        <v>50</v>
      </c>
      <c r="J57" s="29">
        <v>45</v>
      </c>
      <c r="K57" s="30">
        <v>52</v>
      </c>
      <c r="L57" s="31">
        <f t="shared" si="1"/>
        <v>32.110042749999998</v>
      </c>
      <c r="M57" s="32">
        <v>31.143971999999998</v>
      </c>
      <c r="N57" s="32">
        <v>35.905119999999997</v>
      </c>
      <c r="O57" s="32">
        <v>35.135553000000002</v>
      </c>
      <c r="P57" s="33">
        <v>22.939785000000001</v>
      </c>
      <c r="Q57" s="31">
        <f t="shared" si="2"/>
        <v>15.102386249999999</v>
      </c>
      <c r="R57" s="32">
        <v>7.5426370000000009</v>
      </c>
      <c r="S57" s="32">
        <v>19.240213999999998</v>
      </c>
      <c r="T57" s="32">
        <v>22.247126999999999</v>
      </c>
      <c r="U57" s="33">
        <v>11.379566999999998</v>
      </c>
      <c r="V57" s="31">
        <f t="shared" si="3"/>
        <v>12.108699250000001</v>
      </c>
      <c r="W57" s="32">
        <v>20.161066000000002</v>
      </c>
      <c r="X57" s="32">
        <v>13.135180999999998</v>
      </c>
      <c r="Y57" s="32">
        <v>8.7297600000000006</v>
      </c>
      <c r="Z57" s="33">
        <v>6.4087899999999998</v>
      </c>
      <c r="AA57" s="31">
        <f t="shared" si="4"/>
        <v>1.6578705</v>
      </c>
      <c r="AB57" s="32">
        <v>2.0183530000000003</v>
      </c>
      <c r="AC57" s="33">
        <v>1.2973879999999998</v>
      </c>
      <c r="AD57" s="31">
        <f t="shared" si="5"/>
        <v>2.9410867500000002</v>
      </c>
      <c r="AE57" s="32">
        <v>0.721916</v>
      </c>
      <c r="AF57" s="32">
        <v>1.7323370000000002</v>
      </c>
      <c r="AG57" s="32">
        <v>4.1586660000000011</v>
      </c>
      <c r="AH57" s="33">
        <v>5.1514279999999992</v>
      </c>
      <c r="AI57" s="31">
        <f t="shared" si="6"/>
        <v>0.29999999999999943</v>
      </c>
      <c r="AJ57" s="32">
        <v>0.69999999999999685</v>
      </c>
      <c r="AK57" s="32">
        <v>0.50000000000000089</v>
      </c>
      <c r="AL57" s="32">
        <v>0</v>
      </c>
      <c r="AM57" s="34">
        <v>0</v>
      </c>
    </row>
    <row r="58" spans="1:39" x14ac:dyDescent="0.3">
      <c r="A58" s="24" t="s">
        <v>273</v>
      </c>
      <c r="B58" s="25" t="s">
        <v>29</v>
      </c>
      <c r="C58" s="25" t="s">
        <v>40</v>
      </c>
      <c r="D58" s="25" t="s">
        <v>16</v>
      </c>
      <c r="E58" s="26" t="s">
        <v>78</v>
      </c>
      <c r="F58" s="27">
        <v>28</v>
      </c>
      <c r="G58" s="28">
        <f t="shared" si="0"/>
        <v>72.25</v>
      </c>
      <c r="H58" s="29">
        <v>82</v>
      </c>
      <c r="I58" s="29">
        <v>64</v>
      </c>
      <c r="J58" s="29">
        <v>63</v>
      </c>
      <c r="K58" s="30">
        <v>80</v>
      </c>
      <c r="L58" s="31">
        <f t="shared" si="1"/>
        <v>32.284226499999995</v>
      </c>
      <c r="M58" s="32">
        <v>26.314051999999997</v>
      </c>
      <c r="N58" s="32">
        <v>30.315863000000004</v>
      </c>
      <c r="O58" s="32">
        <v>31.220205999999997</v>
      </c>
      <c r="P58" s="33">
        <v>30.412471999999998</v>
      </c>
      <c r="Q58" s="31">
        <f t="shared" si="2"/>
        <v>12.277063750000003</v>
      </c>
      <c r="R58" s="32">
        <v>12.391974000000001</v>
      </c>
      <c r="S58" s="32">
        <v>11.819956000000001</v>
      </c>
      <c r="T58" s="32">
        <v>8.8728280000000019</v>
      </c>
      <c r="U58" s="33">
        <v>16.023497000000003</v>
      </c>
      <c r="V58" s="31">
        <f t="shared" si="3"/>
        <v>8.93147175</v>
      </c>
      <c r="W58" s="32">
        <v>3.7885599999999999</v>
      </c>
      <c r="X58" s="32">
        <v>6.4706400000000004</v>
      </c>
      <c r="Y58" s="32">
        <v>17.799247000000001</v>
      </c>
      <c r="Z58" s="33">
        <v>7.66744</v>
      </c>
      <c r="AA58" s="31">
        <f t="shared" si="4"/>
        <v>5.4371565000000004</v>
      </c>
      <c r="AB58" s="32">
        <v>7.6564110000000003</v>
      </c>
      <c r="AC58" s="33">
        <v>3.2179020000000005</v>
      </c>
      <c r="AD58" s="31">
        <f t="shared" si="5"/>
        <v>3.1235344999999999</v>
      </c>
      <c r="AE58" s="32">
        <v>0.57710700000000004</v>
      </c>
      <c r="AF58" s="32">
        <v>1.7473650000000001</v>
      </c>
      <c r="AG58" s="32">
        <v>4.0481309999999997</v>
      </c>
      <c r="AH58" s="33">
        <v>6.1215350000000006</v>
      </c>
      <c r="AI58" s="31">
        <f t="shared" si="6"/>
        <v>2.5149999999999966</v>
      </c>
      <c r="AJ58" s="32">
        <v>1.8999999999999948</v>
      </c>
      <c r="AK58" s="32">
        <v>7.0600000000000023</v>
      </c>
      <c r="AL58" s="32">
        <v>0.49999999999999467</v>
      </c>
      <c r="AM58" s="34">
        <v>0.59999999999999432</v>
      </c>
    </row>
    <row r="59" spans="1:39" x14ac:dyDescent="0.3">
      <c r="A59" s="24" t="s">
        <v>273</v>
      </c>
      <c r="B59" s="25" t="s">
        <v>29</v>
      </c>
      <c r="C59" s="25" t="s">
        <v>40</v>
      </c>
      <c r="D59" s="25" t="s">
        <v>6</v>
      </c>
      <c r="E59" s="26" t="s">
        <v>167</v>
      </c>
      <c r="F59" s="27">
        <v>1</v>
      </c>
      <c r="G59" s="28">
        <f t="shared" si="0"/>
        <v>0</v>
      </c>
      <c r="H59" s="29">
        <v>0</v>
      </c>
      <c r="I59" s="29">
        <v>0</v>
      </c>
      <c r="J59" s="29">
        <v>0</v>
      </c>
      <c r="K59" s="30">
        <v>0</v>
      </c>
      <c r="L59" s="31">
        <f t="shared" si="1"/>
        <v>0</v>
      </c>
      <c r="M59" s="32">
        <v>0</v>
      </c>
      <c r="N59" s="32">
        <v>0</v>
      </c>
      <c r="O59" s="32">
        <v>0</v>
      </c>
      <c r="P59" s="33">
        <v>0</v>
      </c>
      <c r="Q59" s="31">
        <f t="shared" si="2"/>
        <v>0</v>
      </c>
      <c r="R59" s="32">
        <v>0</v>
      </c>
      <c r="S59" s="32">
        <v>0</v>
      </c>
      <c r="T59" s="32">
        <v>0</v>
      </c>
      <c r="U59" s="33">
        <v>0</v>
      </c>
      <c r="V59" s="31">
        <f t="shared" si="3"/>
        <v>0</v>
      </c>
      <c r="W59" s="32">
        <v>0</v>
      </c>
      <c r="X59" s="32">
        <v>0</v>
      </c>
      <c r="Y59" s="32">
        <v>0</v>
      </c>
      <c r="Z59" s="33">
        <v>0</v>
      </c>
      <c r="AA59" s="31">
        <f t="shared" si="4"/>
        <v>0</v>
      </c>
      <c r="AB59" s="32">
        <v>0</v>
      </c>
      <c r="AC59" s="33">
        <v>0</v>
      </c>
      <c r="AD59" s="31">
        <f t="shared" si="5"/>
        <v>0</v>
      </c>
      <c r="AE59" s="32">
        <v>0</v>
      </c>
      <c r="AF59" s="32">
        <v>0</v>
      </c>
      <c r="AG59" s="32">
        <v>0</v>
      </c>
      <c r="AH59" s="33">
        <v>0</v>
      </c>
      <c r="AI59" s="31">
        <f t="shared" si="6"/>
        <v>0</v>
      </c>
      <c r="AJ59" s="32">
        <v>0</v>
      </c>
      <c r="AK59" s="32">
        <v>0</v>
      </c>
      <c r="AL59" s="32">
        <v>0</v>
      </c>
      <c r="AM59" s="34">
        <v>0</v>
      </c>
    </row>
    <row r="60" spans="1:39" x14ac:dyDescent="0.3">
      <c r="A60" s="24" t="s">
        <v>273</v>
      </c>
      <c r="B60" s="25" t="s">
        <v>29</v>
      </c>
      <c r="C60" s="25" t="s">
        <v>40</v>
      </c>
      <c r="D60" s="25" t="s">
        <v>6</v>
      </c>
      <c r="E60" s="26" t="s">
        <v>57</v>
      </c>
      <c r="F60" s="27">
        <v>28</v>
      </c>
      <c r="G60" s="28">
        <f t="shared" si="0"/>
        <v>27</v>
      </c>
      <c r="H60" s="29">
        <v>26</v>
      </c>
      <c r="I60" s="29">
        <v>28</v>
      </c>
      <c r="J60" s="29">
        <v>24</v>
      </c>
      <c r="K60" s="30">
        <v>30</v>
      </c>
      <c r="L60" s="31">
        <f t="shared" si="1"/>
        <v>11.225058250000002</v>
      </c>
      <c r="M60" s="32">
        <v>11.556474000000001</v>
      </c>
      <c r="N60" s="32">
        <v>8.2288759999999996</v>
      </c>
      <c r="O60" s="32">
        <v>12.756790000000001</v>
      </c>
      <c r="P60" s="33">
        <v>9.6236819999999987</v>
      </c>
      <c r="Q60" s="31">
        <f t="shared" si="2"/>
        <v>3.19558725</v>
      </c>
      <c r="R60" s="32">
        <v>3.0948469999999997</v>
      </c>
      <c r="S60" s="32">
        <v>3.0303330000000002</v>
      </c>
      <c r="T60" s="32">
        <v>3.9889899999999998</v>
      </c>
      <c r="U60" s="33">
        <v>2.6681789999999999</v>
      </c>
      <c r="V60" s="31">
        <f t="shared" si="3"/>
        <v>5.5328080000000002</v>
      </c>
      <c r="W60" s="32">
        <v>6.8186820000000008</v>
      </c>
      <c r="X60" s="32">
        <v>3.4958399999999998</v>
      </c>
      <c r="Y60" s="32">
        <v>7.1231100000000005</v>
      </c>
      <c r="Z60" s="33">
        <v>4.6936</v>
      </c>
      <c r="AA60" s="31">
        <f t="shared" si="4"/>
        <v>1.3672055000000001</v>
      </c>
      <c r="AB60" s="32">
        <v>1.443152</v>
      </c>
      <c r="AC60" s="33">
        <v>1.2912590000000002</v>
      </c>
      <c r="AD60" s="31">
        <f t="shared" si="5"/>
        <v>1.0544574999999998</v>
      </c>
      <c r="AE60" s="32">
        <v>0.199793</v>
      </c>
      <c r="AF60" s="32">
        <v>0.41144400000000003</v>
      </c>
      <c r="AG60" s="32">
        <v>1.3446899999999999</v>
      </c>
      <c r="AH60" s="33">
        <v>2.2619029999999998</v>
      </c>
      <c r="AI60" s="31">
        <f t="shared" si="6"/>
        <v>7.5000000000000427E-2</v>
      </c>
      <c r="AJ60" s="32">
        <v>9.9920072216264089E-16</v>
      </c>
      <c r="AK60" s="32">
        <v>0</v>
      </c>
      <c r="AL60" s="32">
        <v>0.30000000000000071</v>
      </c>
      <c r="AM60" s="34">
        <v>0</v>
      </c>
    </row>
    <row r="61" spans="1:39" x14ac:dyDescent="0.3">
      <c r="A61" s="24" t="s">
        <v>273</v>
      </c>
      <c r="B61" s="25" t="s">
        <v>29</v>
      </c>
      <c r="C61" s="25" t="s">
        <v>40</v>
      </c>
      <c r="D61" s="25" t="s">
        <v>6</v>
      </c>
      <c r="E61" s="26" t="s">
        <v>82</v>
      </c>
      <c r="F61" s="27">
        <v>39</v>
      </c>
      <c r="G61" s="28">
        <f t="shared" si="0"/>
        <v>12.5</v>
      </c>
      <c r="H61" s="29">
        <v>7</v>
      </c>
      <c r="I61" s="29">
        <v>11</v>
      </c>
      <c r="J61" s="29">
        <v>16</v>
      </c>
      <c r="K61" s="30">
        <v>16</v>
      </c>
      <c r="L61" s="31">
        <f t="shared" si="1"/>
        <v>7.8204815000000014</v>
      </c>
      <c r="M61" s="32">
        <v>3.0071420000000004</v>
      </c>
      <c r="N61" s="32">
        <v>4.0958939999999995</v>
      </c>
      <c r="O61" s="32">
        <v>4.6359779999999997</v>
      </c>
      <c r="P61" s="33">
        <v>18.774269</v>
      </c>
      <c r="Q61" s="31">
        <f t="shared" si="2"/>
        <v>6.2393062499999994</v>
      </c>
      <c r="R61" s="32">
        <v>2.8528510000000002</v>
      </c>
      <c r="S61" s="32">
        <v>2.9115880000000001</v>
      </c>
      <c r="T61" s="32">
        <v>2.8896440000000001</v>
      </c>
      <c r="U61" s="33">
        <v>16.303141999999998</v>
      </c>
      <c r="V61" s="31">
        <f t="shared" si="3"/>
        <v>0.12766250000000001</v>
      </c>
      <c r="W61" s="32">
        <v>0</v>
      </c>
      <c r="X61" s="32">
        <v>0</v>
      </c>
      <c r="Y61" s="32">
        <v>0</v>
      </c>
      <c r="Z61" s="33">
        <v>0.51065000000000005</v>
      </c>
      <c r="AA61" s="31">
        <f t="shared" si="4"/>
        <v>0.38432150000000004</v>
      </c>
      <c r="AB61" s="32">
        <v>6.3018000000000005E-2</v>
      </c>
      <c r="AC61" s="33">
        <v>0.70562500000000006</v>
      </c>
      <c r="AD61" s="31">
        <f t="shared" si="5"/>
        <v>1.06919125</v>
      </c>
      <c r="AE61" s="32">
        <v>9.1272999999999993E-2</v>
      </c>
      <c r="AF61" s="32">
        <v>0.47868099999999997</v>
      </c>
      <c r="AG61" s="32">
        <v>1.7463340000000001</v>
      </c>
      <c r="AH61" s="33">
        <v>1.9604770000000002</v>
      </c>
      <c r="AI61" s="31">
        <f t="shared" si="6"/>
        <v>6.5572547391923308E-16</v>
      </c>
      <c r="AJ61" s="32">
        <v>1.8041124150158794E-16</v>
      </c>
      <c r="AK61" s="32">
        <v>0</v>
      </c>
      <c r="AL61" s="32">
        <v>0</v>
      </c>
      <c r="AM61" s="34">
        <v>2.4424906541753444E-15</v>
      </c>
    </row>
    <row r="62" spans="1:39" x14ac:dyDescent="0.3">
      <c r="A62" s="24" t="s">
        <v>273</v>
      </c>
      <c r="B62" s="25" t="s">
        <v>29</v>
      </c>
      <c r="C62" s="25" t="s">
        <v>40</v>
      </c>
      <c r="D62" s="25" t="s">
        <v>6</v>
      </c>
      <c r="E62" s="26" t="s">
        <v>197</v>
      </c>
      <c r="F62" s="27">
        <v>6</v>
      </c>
      <c r="G62" s="28">
        <f t="shared" si="0"/>
        <v>1</v>
      </c>
      <c r="H62" s="29">
        <v>0</v>
      </c>
      <c r="I62" s="29">
        <v>2</v>
      </c>
      <c r="J62" s="29">
        <v>1</v>
      </c>
      <c r="K62" s="30">
        <v>1</v>
      </c>
      <c r="L62" s="31">
        <f t="shared" si="1"/>
        <v>0.4329865</v>
      </c>
      <c r="M62" s="32">
        <v>0</v>
      </c>
      <c r="N62" s="32">
        <v>0.61656</v>
      </c>
      <c r="O62" s="32">
        <v>1.01616</v>
      </c>
      <c r="P62" s="33">
        <v>9.9225999999999995E-2</v>
      </c>
      <c r="Q62" s="31">
        <f t="shared" si="2"/>
        <v>7.5840000000000005E-2</v>
      </c>
      <c r="R62" s="32">
        <v>0</v>
      </c>
      <c r="S62" s="32">
        <v>0.30336000000000002</v>
      </c>
      <c r="T62" s="32">
        <v>0</v>
      </c>
      <c r="U62" s="33">
        <v>0</v>
      </c>
      <c r="V62" s="31">
        <f t="shared" si="3"/>
        <v>0.33233999999999997</v>
      </c>
      <c r="W62" s="32">
        <v>0</v>
      </c>
      <c r="X62" s="32">
        <v>0.31319999999999998</v>
      </c>
      <c r="Y62" s="32">
        <v>1.01616</v>
      </c>
      <c r="Z62" s="33">
        <v>0</v>
      </c>
      <c r="AA62" s="31">
        <f t="shared" si="4"/>
        <v>0</v>
      </c>
      <c r="AB62" s="32">
        <v>0</v>
      </c>
      <c r="AC62" s="33">
        <v>0</v>
      </c>
      <c r="AD62" s="31">
        <f t="shared" si="5"/>
        <v>2.4806499999999999E-2</v>
      </c>
      <c r="AE62" s="32">
        <v>0</v>
      </c>
      <c r="AF62" s="32">
        <v>0</v>
      </c>
      <c r="AG62" s="32">
        <v>0</v>
      </c>
      <c r="AH62" s="33">
        <v>9.9225999999999995E-2</v>
      </c>
      <c r="AI62" s="31">
        <f t="shared" si="6"/>
        <v>0</v>
      </c>
      <c r="AJ62" s="32">
        <v>0</v>
      </c>
      <c r="AK62" s="32">
        <v>0</v>
      </c>
      <c r="AL62" s="32">
        <v>0</v>
      </c>
      <c r="AM62" s="34">
        <v>0</v>
      </c>
    </row>
    <row r="63" spans="1:39" x14ac:dyDescent="0.3">
      <c r="A63" s="24" t="s">
        <v>273</v>
      </c>
      <c r="B63" s="25" t="s">
        <v>29</v>
      </c>
      <c r="C63" s="25" t="s">
        <v>40</v>
      </c>
      <c r="D63" s="25" t="s">
        <v>6</v>
      </c>
      <c r="E63" s="26" t="s">
        <v>161</v>
      </c>
      <c r="F63" s="27">
        <v>18</v>
      </c>
      <c r="G63" s="28">
        <f t="shared" si="0"/>
        <v>3.5</v>
      </c>
      <c r="H63" s="29">
        <v>3</v>
      </c>
      <c r="I63" s="29">
        <v>4</v>
      </c>
      <c r="J63" s="29">
        <v>3</v>
      </c>
      <c r="K63" s="30">
        <v>4</v>
      </c>
      <c r="L63" s="31">
        <f t="shared" si="1"/>
        <v>0.99051050000000007</v>
      </c>
      <c r="M63" s="32">
        <v>0.17986199999999999</v>
      </c>
      <c r="N63" s="32">
        <v>3.2921680000000002</v>
      </c>
      <c r="O63" s="32">
        <v>0.18192700000000001</v>
      </c>
      <c r="P63" s="33">
        <v>0.22337200000000001</v>
      </c>
      <c r="Q63" s="31">
        <f t="shared" si="2"/>
        <v>0.41081624999999999</v>
      </c>
      <c r="R63" s="32">
        <v>0</v>
      </c>
      <c r="S63" s="32">
        <v>1.643265</v>
      </c>
      <c r="T63" s="32">
        <v>0</v>
      </c>
      <c r="U63" s="33">
        <v>0</v>
      </c>
      <c r="V63" s="31">
        <f t="shared" si="3"/>
        <v>0.40204000000000001</v>
      </c>
      <c r="W63" s="32">
        <v>0</v>
      </c>
      <c r="X63" s="32">
        <v>1.60816</v>
      </c>
      <c r="Y63" s="32">
        <v>0</v>
      </c>
      <c r="Z63" s="33">
        <v>0</v>
      </c>
      <c r="AA63" s="31">
        <f t="shared" si="4"/>
        <v>4.2356499999999998E-2</v>
      </c>
      <c r="AB63" s="32">
        <v>8.4712999999999997E-2</v>
      </c>
      <c r="AC63" s="33">
        <v>0</v>
      </c>
      <c r="AD63" s="31">
        <f t="shared" si="5"/>
        <v>0.13529774999999999</v>
      </c>
      <c r="AE63" s="32">
        <v>9.5148999999999997E-2</v>
      </c>
      <c r="AF63" s="32">
        <v>4.0743000000000001E-2</v>
      </c>
      <c r="AG63" s="32">
        <v>0.18192700000000001</v>
      </c>
      <c r="AH63" s="33">
        <v>0.22337200000000001</v>
      </c>
      <c r="AI63" s="31">
        <f t="shared" si="6"/>
        <v>4.8572257327350599E-17</v>
      </c>
      <c r="AJ63" s="32">
        <v>0</v>
      </c>
      <c r="AK63" s="32">
        <v>1.9428902930940239E-16</v>
      </c>
      <c r="AL63" s="32">
        <v>0</v>
      </c>
      <c r="AM63" s="34">
        <v>0</v>
      </c>
    </row>
    <row r="64" spans="1:39" x14ac:dyDescent="0.3">
      <c r="A64" s="24" t="s">
        <v>273</v>
      </c>
      <c r="B64" s="25" t="s">
        <v>268</v>
      </c>
      <c r="C64" s="25" t="s">
        <v>268</v>
      </c>
      <c r="D64" s="25" t="s">
        <v>6</v>
      </c>
      <c r="E64" s="26" t="s">
        <v>79</v>
      </c>
      <c r="F64" s="27">
        <v>158</v>
      </c>
      <c r="G64" s="28">
        <f t="shared" si="0"/>
        <v>142</v>
      </c>
      <c r="H64" s="29">
        <v>125</v>
      </c>
      <c r="I64" s="29">
        <v>155</v>
      </c>
      <c r="J64" s="29">
        <v>133</v>
      </c>
      <c r="K64" s="30">
        <v>155</v>
      </c>
      <c r="L64" s="31">
        <f t="shared" si="1"/>
        <v>83.149936499999995</v>
      </c>
      <c r="M64" s="32">
        <v>81.145678999999987</v>
      </c>
      <c r="N64" s="32">
        <v>96.868249999999989</v>
      </c>
      <c r="O64" s="32">
        <v>62.630105000000015</v>
      </c>
      <c r="P64" s="33">
        <v>82.155631999999983</v>
      </c>
      <c r="Q64" s="31">
        <f t="shared" si="2"/>
        <v>19.586593000000001</v>
      </c>
      <c r="R64" s="32">
        <v>26.709926000000003</v>
      </c>
      <c r="S64" s="32">
        <v>10.738692</v>
      </c>
      <c r="T64" s="32">
        <v>16.821174000000003</v>
      </c>
      <c r="U64" s="33">
        <v>24.07658</v>
      </c>
      <c r="V64" s="31">
        <f t="shared" si="3"/>
        <v>41.469236499999994</v>
      </c>
      <c r="W64" s="32">
        <v>36.519209999999994</v>
      </c>
      <c r="X64" s="32">
        <v>64.638435999999984</v>
      </c>
      <c r="Y64" s="32">
        <v>30.287130000000001</v>
      </c>
      <c r="Z64" s="33">
        <v>34.432169999999999</v>
      </c>
      <c r="AA64" s="31">
        <f t="shared" si="4"/>
        <v>4.9000400000000006</v>
      </c>
      <c r="AB64" s="32">
        <v>6.0516579999999998</v>
      </c>
      <c r="AC64" s="33">
        <v>3.7484220000000006</v>
      </c>
      <c r="AD64" s="31">
        <f t="shared" si="5"/>
        <v>7.2866645000000005</v>
      </c>
      <c r="AE64" s="32">
        <v>2.2006450000000002</v>
      </c>
      <c r="AF64" s="32">
        <v>3.8236400000000006</v>
      </c>
      <c r="AG64" s="32">
        <v>9.916221000000002</v>
      </c>
      <c r="AH64" s="33">
        <v>13.206152000000001</v>
      </c>
      <c r="AI64" s="31">
        <f t="shared" si="6"/>
        <v>9.9074024999999963</v>
      </c>
      <c r="AJ64" s="32">
        <v>9.6642399999999906</v>
      </c>
      <c r="AK64" s="32">
        <v>13.919060000000002</v>
      </c>
      <c r="AL64" s="32">
        <v>5.6055800000000122</v>
      </c>
      <c r="AM64" s="34">
        <v>10.440729999999983</v>
      </c>
    </row>
    <row r="65" spans="1:39" x14ac:dyDescent="0.3">
      <c r="A65" s="24" t="s">
        <v>273</v>
      </c>
      <c r="B65" s="25" t="s">
        <v>265</v>
      </c>
      <c r="C65" s="25" t="s">
        <v>265</v>
      </c>
      <c r="D65" s="25" t="s">
        <v>16</v>
      </c>
      <c r="E65" s="26" t="s">
        <v>64</v>
      </c>
      <c r="F65" s="27">
        <v>2</v>
      </c>
      <c r="G65" s="28">
        <f t="shared" si="0"/>
        <v>0</v>
      </c>
      <c r="H65" s="29">
        <v>0</v>
      </c>
      <c r="I65" s="29">
        <v>0</v>
      </c>
      <c r="J65" s="29">
        <v>0</v>
      </c>
      <c r="K65" s="30">
        <v>0</v>
      </c>
      <c r="L65" s="31">
        <f t="shared" si="1"/>
        <v>0</v>
      </c>
      <c r="M65" s="32">
        <v>0</v>
      </c>
      <c r="N65" s="32">
        <v>0</v>
      </c>
      <c r="O65" s="32">
        <v>0</v>
      </c>
      <c r="P65" s="33">
        <v>0</v>
      </c>
      <c r="Q65" s="31">
        <f t="shared" si="2"/>
        <v>0</v>
      </c>
      <c r="R65" s="32">
        <v>0</v>
      </c>
      <c r="S65" s="32">
        <v>0</v>
      </c>
      <c r="T65" s="32">
        <v>0</v>
      </c>
      <c r="U65" s="33">
        <v>0</v>
      </c>
      <c r="V65" s="31">
        <f t="shared" si="3"/>
        <v>0</v>
      </c>
      <c r="W65" s="32">
        <v>0</v>
      </c>
      <c r="X65" s="32">
        <v>0</v>
      </c>
      <c r="Y65" s="32">
        <v>0</v>
      </c>
      <c r="Z65" s="33">
        <v>0</v>
      </c>
      <c r="AA65" s="31">
        <f t="shared" si="4"/>
        <v>0</v>
      </c>
      <c r="AB65" s="32">
        <v>0</v>
      </c>
      <c r="AC65" s="33">
        <v>0</v>
      </c>
      <c r="AD65" s="31">
        <f t="shared" si="5"/>
        <v>0</v>
      </c>
      <c r="AE65" s="32">
        <v>0</v>
      </c>
      <c r="AF65" s="32">
        <v>0</v>
      </c>
      <c r="AG65" s="32">
        <v>0</v>
      </c>
      <c r="AH65" s="33">
        <v>0</v>
      </c>
      <c r="AI65" s="31">
        <f t="shared" si="6"/>
        <v>0</v>
      </c>
      <c r="AJ65" s="32">
        <v>0</v>
      </c>
      <c r="AK65" s="32">
        <v>0</v>
      </c>
      <c r="AL65" s="32">
        <v>0</v>
      </c>
      <c r="AM65" s="34">
        <v>0</v>
      </c>
    </row>
    <row r="66" spans="1:39" x14ac:dyDescent="0.3">
      <c r="A66" s="24" t="s">
        <v>273</v>
      </c>
      <c r="B66" s="25" t="s">
        <v>265</v>
      </c>
      <c r="C66" s="25" t="s">
        <v>265</v>
      </c>
      <c r="D66" s="25" t="s">
        <v>16</v>
      </c>
      <c r="E66" s="26" t="s">
        <v>125</v>
      </c>
      <c r="F66" s="27">
        <v>79</v>
      </c>
      <c r="G66" s="28">
        <f t="shared" si="0"/>
        <v>65.25</v>
      </c>
      <c r="H66" s="29">
        <v>51</v>
      </c>
      <c r="I66" s="29">
        <v>81</v>
      </c>
      <c r="J66" s="29">
        <v>53</v>
      </c>
      <c r="K66" s="30">
        <v>76</v>
      </c>
      <c r="L66" s="31">
        <f t="shared" si="1"/>
        <v>52.206449749999997</v>
      </c>
      <c r="M66" s="32">
        <v>29.046870999999999</v>
      </c>
      <c r="N66" s="32">
        <v>63.047393000000007</v>
      </c>
      <c r="O66" s="32">
        <v>53.820407000000003</v>
      </c>
      <c r="P66" s="33">
        <v>56.374952999999998</v>
      </c>
      <c r="Q66" s="31">
        <f t="shared" si="2"/>
        <v>26.916581499999992</v>
      </c>
      <c r="R66" s="32">
        <v>22.174770999999996</v>
      </c>
      <c r="S66" s="32">
        <v>32.513362000000001</v>
      </c>
      <c r="T66" s="32">
        <v>36.050482999999993</v>
      </c>
      <c r="U66" s="33">
        <v>16.927709999999998</v>
      </c>
      <c r="V66" s="31">
        <f t="shared" si="3"/>
        <v>18.205717499999999</v>
      </c>
      <c r="W66" s="32">
        <v>0.51570000000000005</v>
      </c>
      <c r="X66" s="32">
        <v>24.6341</v>
      </c>
      <c r="Y66" s="32">
        <v>13.992899999999999</v>
      </c>
      <c r="Z66" s="33">
        <v>33.680170000000004</v>
      </c>
      <c r="AA66" s="31">
        <f t="shared" si="4"/>
        <v>3.2680875</v>
      </c>
      <c r="AB66" s="32">
        <v>3.3213460000000001</v>
      </c>
      <c r="AC66" s="33">
        <v>3.2148289999999999</v>
      </c>
      <c r="AD66" s="31">
        <f t="shared" si="5"/>
        <v>2.3528007500000001</v>
      </c>
      <c r="AE66" s="32">
        <v>1.0850540000000002</v>
      </c>
      <c r="AF66" s="32">
        <v>1.782052</v>
      </c>
      <c r="AG66" s="32">
        <v>2.8770239999999996</v>
      </c>
      <c r="AH66" s="33">
        <v>3.6670730000000007</v>
      </c>
      <c r="AI66" s="31">
        <f t="shared" si="6"/>
        <v>1.4632625000000041</v>
      </c>
      <c r="AJ66" s="32">
        <v>1.9500000000000031</v>
      </c>
      <c r="AK66" s="32">
        <v>0.9030500000000059</v>
      </c>
      <c r="AL66" s="32">
        <v>0.9000000000000119</v>
      </c>
      <c r="AM66" s="34">
        <v>2.0999999999999956</v>
      </c>
    </row>
    <row r="67" spans="1:39" x14ac:dyDescent="0.3">
      <c r="A67" s="24" t="s">
        <v>273</v>
      </c>
      <c r="B67" s="25" t="s">
        <v>265</v>
      </c>
      <c r="C67" s="25" t="s">
        <v>265</v>
      </c>
      <c r="D67" s="25" t="s">
        <v>16</v>
      </c>
      <c r="E67" s="26" t="s">
        <v>111</v>
      </c>
      <c r="F67" s="27">
        <v>1</v>
      </c>
      <c r="G67" s="28">
        <f t="shared" si="0"/>
        <v>0.75</v>
      </c>
      <c r="H67" s="29">
        <v>1</v>
      </c>
      <c r="I67" s="29">
        <v>0</v>
      </c>
      <c r="J67" s="29">
        <v>1</v>
      </c>
      <c r="K67" s="30">
        <v>1</v>
      </c>
      <c r="L67" s="31">
        <f t="shared" si="1"/>
        <v>0.22241749999999999</v>
      </c>
      <c r="M67" s="32">
        <v>0.37980000000000003</v>
      </c>
      <c r="N67" s="32">
        <v>0</v>
      </c>
      <c r="O67" s="32">
        <v>0.30066999999999999</v>
      </c>
      <c r="P67" s="33">
        <v>0.2092</v>
      </c>
      <c r="Q67" s="31">
        <f t="shared" si="2"/>
        <v>0.22241749999999999</v>
      </c>
      <c r="R67" s="32">
        <v>0.37980000000000003</v>
      </c>
      <c r="S67" s="32">
        <v>0</v>
      </c>
      <c r="T67" s="32">
        <v>0.30066999999999999</v>
      </c>
      <c r="U67" s="33">
        <v>0.2092</v>
      </c>
      <c r="V67" s="31">
        <f t="shared" si="3"/>
        <v>0</v>
      </c>
      <c r="W67" s="32">
        <v>0</v>
      </c>
      <c r="X67" s="32">
        <v>0</v>
      </c>
      <c r="Y67" s="32">
        <v>0</v>
      </c>
      <c r="Z67" s="33">
        <v>0</v>
      </c>
      <c r="AA67" s="31">
        <f t="shared" si="4"/>
        <v>0</v>
      </c>
      <c r="AB67" s="32">
        <v>0</v>
      </c>
      <c r="AC67" s="33">
        <v>0</v>
      </c>
      <c r="AD67" s="31">
        <f t="shared" si="5"/>
        <v>0</v>
      </c>
      <c r="AE67" s="32">
        <v>0</v>
      </c>
      <c r="AF67" s="32">
        <v>0</v>
      </c>
      <c r="AG67" s="32">
        <v>0</v>
      </c>
      <c r="AH67" s="33">
        <v>0</v>
      </c>
      <c r="AI67" s="31">
        <f t="shared" si="6"/>
        <v>0</v>
      </c>
      <c r="AJ67" s="32">
        <v>0</v>
      </c>
      <c r="AK67" s="32">
        <v>0</v>
      </c>
      <c r="AL67" s="32">
        <v>0</v>
      </c>
      <c r="AM67" s="34">
        <v>0</v>
      </c>
    </row>
    <row r="68" spans="1:39" x14ac:dyDescent="0.3">
      <c r="A68" s="24" t="s">
        <v>273</v>
      </c>
      <c r="B68" s="25" t="s">
        <v>265</v>
      </c>
      <c r="C68" s="25" t="s">
        <v>265</v>
      </c>
      <c r="D68" s="25" t="s">
        <v>16</v>
      </c>
      <c r="E68" s="26" t="s">
        <v>133</v>
      </c>
      <c r="F68" s="27">
        <v>1</v>
      </c>
      <c r="G68" s="28">
        <f t="shared" si="0"/>
        <v>0</v>
      </c>
      <c r="H68" s="29">
        <v>0</v>
      </c>
      <c r="I68" s="29">
        <v>0</v>
      </c>
      <c r="J68" s="29">
        <v>0</v>
      </c>
      <c r="K68" s="30">
        <v>0</v>
      </c>
      <c r="L68" s="31">
        <f t="shared" si="1"/>
        <v>0</v>
      </c>
      <c r="M68" s="32">
        <v>0</v>
      </c>
      <c r="N68" s="32">
        <v>0</v>
      </c>
      <c r="O68" s="32">
        <v>0</v>
      </c>
      <c r="P68" s="33">
        <v>0</v>
      </c>
      <c r="Q68" s="31">
        <f t="shared" si="2"/>
        <v>0</v>
      </c>
      <c r="R68" s="32">
        <v>0</v>
      </c>
      <c r="S68" s="32">
        <v>0</v>
      </c>
      <c r="T68" s="32">
        <v>0</v>
      </c>
      <c r="U68" s="33">
        <v>0</v>
      </c>
      <c r="V68" s="31">
        <f t="shared" si="3"/>
        <v>0</v>
      </c>
      <c r="W68" s="32">
        <v>0</v>
      </c>
      <c r="X68" s="32">
        <v>0</v>
      </c>
      <c r="Y68" s="32">
        <v>0</v>
      </c>
      <c r="Z68" s="33">
        <v>0</v>
      </c>
      <c r="AA68" s="31">
        <f t="shared" si="4"/>
        <v>0</v>
      </c>
      <c r="AB68" s="32">
        <v>0</v>
      </c>
      <c r="AC68" s="33">
        <v>0</v>
      </c>
      <c r="AD68" s="31">
        <f t="shared" si="5"/>
        <v>0</v>
      </c>
      <c r="AE68" s="32">
        <v>0</v>
      </c>
      <c r="AF68" s="32">
        <v>0</v>
      </c>
      <c r="AG68" s="32">
        <v>0</v>
      </c>
      <c r="AH68" s="33">
        <v>0</v>
      </c>
      <c r="AI68" s="31">
        <f t="shared" si="6"/>
        <v>0</v>
      </c>
      <c r="AJ68" s="32">
        <v>0</v>
      </c>
      <c r="AK68" s="32">
        <v>0</v>
      </c>
      <c r="AL68" s="32">
        <v>0</v>
      </c>
      <c r="AM68" s="34">
        <v>0</v>
      </c>
    </row>
    <row r="69" spans="1:39" x14ac:dyDescent="0.3">
      <c r="A69" s="24" t="s">
        <v>273</v>
      </c>
      <c r="B69" s="25" t="s">
        <v>265</v>
      </c>
      <c r="C69" s="25" t="s">
        <v>265</v>
      </c>
      <c r="D69" s="25" t="s">
        <v>16</v>
      </c>
      <c r="E69" s="26" t="s">
        <v>137</v>
      </c>
      <c r="F69" s="27">
        <v>1</v>
      </c>
      <c r="G69" s="28">
        <f t="shared" si="0"/>
        <v>0.5</v>
      </c>
      <c r="H69" s="29">
        <v>2</v>
      </c>
      <c r="I69" s="29">
        <v>0</v>
      </c>
      <c r="J69" s="29">
        <v>0</v>
      </c>
      <c r="K69" s="30">
        <v>0</v>
      </c>
      <c r="L69" s="31">
        <f t="shared" si="1"/>
        <v>8.8897500000000004E-2</v>
      </c>
      <c r="M69" s="32">
        <v>0.35559000000000002</v>
      </c>
      <c r="N69" s="32">
        <v>0</v>
      </c>
      <c r="O69" s="32">
        <v>0</v>
      </c>
      <c r="P69" s="33">
        <v>0</v>
      </c>
      <c r="Q69" s="31">
        <f t="shared" si="2"/>
        <v>7.7200000000000005E-2</v>
      </c>
      <c r="R69" s="32">
        <v>0.30880000000000002</v>
      </c>
      <c r="S69" s="32">
        <v>0</v>
      </c>
      <c r="T69" s="32">
        <v>0</v>
      </c>
      <c r="U69" s="33">
        <v>0</v>
      </c>
      <c r="V69" s="31">
        <f t="shared" si="3"/>
        <v>0</v>
      </c>
      <c r="W69" s="32">
        <v>0</v>
      </c>
      <c r="X69" s="32">
        <v>0</v>
      </c>
      <c r="Y69" s="32">
        <v>0</v>
      </c>
      <c r="Z69" s="33">
        <v>0</v>
      </c>
      <c r="AA69" s="31">
        <f t="shared" si="4"/>
        <v>0</v>
      </c>
      <c r="AB69" s="32">
        <v>0</v>
      </c>
      <c r="AC69" s="33">
        <v>0</v>
      </c>
      <c r="AD69" s="31">
        <f t="shared" si="5"/>
        <v>1.16975E-2</v>
      </c>
      <c r="AE69" s="32">
        <v>4.6789999999999998E-2</v>
      </c>
      <c r="AF69" s="32">
        <v>0</v>
      </c>
      <c r="AG69" s="32">
        <v>0</v>
      </c>
      <c r="AH69" s="33">
        <v>0</v>
      </c>
      <c r="AI69" s="31">
        <f t="shared" si="6"/>
        <v>0</v>
      </c>
      <c r="AJ69" s="32">
        <v>0</v>
      </c>
      <c r="AK69" s="32">
        <v>0</v>
      </c>
      <c r="AL69" s="32">
        <v>0</v>
      </c>
      <c r="AM69" s="34">
        <v>0</v>
      </c>
    </row>
    <row r="70" spans="1:39" x14ac:dyDescent="0.3">
      <c r="A70" s="24" t="s">
        <v>273</v>
      </c>
      <c r="B70" s="25" t="s">
        <v>265</v>
      </c>
      <c r="C70" s="25" t="s">
        <v>265</v>
      </c>
      <c r="D70" s="25" t="s">
        <v>16</v>
      </c>
      <c r="E70" s="26" t="s">
        <v>162</v>
      </c>
      <c r="F70" s="27">
        <v>2</v>
      </c>
      <c r="G70" s="28">
        <f t="shared" si="0"/>
        <v>7.25</v>
      </c>
      <c r="H70" s="29">
        <v>10</v>
      </c>
      <c r="I70" s="29">
        <v>11</v>
      </c>
      <c r="J70" s="29">
        <v>5</v>
      </c>
      <c r="K70" s="30">
        <v>3</v>
      </c>
      <c r="L70" s="31">
        <f t="shared" si="1"/>
        <v>5.8729164999999997</v>
      </c>
      <c r="M70" s="32">
        <v>6.516343</v>
      </c>
      <c r="N70" s="32">
        <v>9.0503999999999998</v>
      </c>
      <c r="O70" s="32">
        <v>3.3601200000000002</v>
      </c>
      <c r="P70" s="33">
        <v>4.2576999999999998</v>
      </c>
      <c r="Q70" s="31">
        <f t="shared" si="2"/>
        <v>0.25195499999999998</v>
      </c>
      <c r="R70" s="32">
        <v>0</v>
      </c>
      <c r="S70" s="32">
        <v>1.0078199999999999</v>
      </c>
      <c r="T70" s="32">
        <v>0</v>
      </c>
      <c r="U70" s="33">
        <v>0</v>
      </c>
      <c r="V70" s="31">
        <f t="shared" si="3"/>
        <v>5.4674100000000001</v>
      </c>
      <c r="W70" s="32">
        <v>6.3585900000000004</v>
      </c>
      <c r="X70" s="32">
        <v>7.89323</v>
      </c>
      <c r="Y70" s="32">
        <v>3.3601200000000002</v>
      </c>
      <c r="Z70" s="33">
        <v>4.2576999999999998</v>
      </c>
      <c r="AA70" s="31">
        <f t="shared" si="4"/>
        <v>0.15355150000000001</v>
      </c>
      <c r="AB70" s="32">
        <v>0.157753</v>
      </c>
      <c r="AC70" s="33">
        <v>0.14935000000000001</v>
      </c>
      <c r="AD70" s="31">
        <f t="shared" si="5"/>
        <v>0</v>
      </c>
      <c r="AE70" s="32">
        <v>0</v>
      </c>
      <c r="AF70" s="32">
        <v>0</v>
      </c>
      <c r="AG70" s="32">
        <v>0</v>
      </c>
      <c r="AH70" s="33">
        <v>0</v>
      </c>
      <c r="AI70" s="31">
        <f t="shared" si="6"/>
        <v>0</v>
      </c>
      <c r="AJ70" s="32">
        <v>0</v>
      </c>
      <c r="AK70" s="32">
        <v>0</v>
      </c>
      <c r="AL70" s="32">
        <v>0</v>
      </c>
      <c r="AM70" s="34">
        <v>0</v>
      </c>
    </row>
    <row r="71" spans="1:39" x14ac:dyDescent="0.3">
      <c r="A71" s="24" t="s">
        <v>273</v>
      </c>
      <c r="B71" s="25" t="s">
        <v>265</v>
      </c>
      <c r="C71" s="25" t="s">
        <v>265</v>
      </c>
      <c r="D71" s="25" t="s">
        <v>16</v>
      </c>
      <c r="E71" s="26" t="s">
        <v>159</v>
      </c>
      <c r="F71" s="27">
        <v>1</v>
      </c>
      <c r="G71" s="28">
        <f t="shared" si="0"/>
        <v>1.25</v>
      </c>
      <c r="H71" s="29">
        <v>2</v>
      </c>
      <c r="I71" s="29">
        <v>2</v>
      </c>
      <c r="J71" s="29">
        <v>0</v>
      </c>
      <c r="K71" s="30">
        <v>1</v>
      </c>
      <c r="L71" s="31">
        <f t="shared" si="1"/>
        <v>0.80300900000000008</v>
      </c>
      <c r="M71" s="32">
        <v>1.7639260000000001</v>
      </c>
      <c r="N71" s="32">
        <v>0.49659999999999999</v>
      </c>
      <c r="O71" s="32">
        <v>0</v>
      </c>
      <c r="P71" s="33">
        <v>0.95150999999999997</v>
      </c>
      <c r="Q71" s="31">
        <f t="shared" si="2"/>
        <v>0.199379</v>
      </c>
      <c r="R71" s="32">
        <v>0.30091600000000002</v>
      </c>
      <c r="S71" s="32">
        <v>0.49659999999999999</v>
      </c>
      <c r="T71" s="32">
        <v>0</v>
      </c>
      <c r="U71" s="33">
        <v>0</v>
      </c>
      <c r="V71" s="31">
        <f t="shared" si="3"/>
        <v>0.60363</v>
      </c>
      <c r="W71" s="32">
        <v>1.4630099999999999</v>
      </c>
      <c r="X71" s="32">
        <v>0</v>
      </c>
      <c r="Y71" s="32">
        <v>0</v>
      </c>
      <c r="Z71" s="33">
        <v>0.95150999999999997</v>
      </c>
      <c r="AA71" s="31">
        <f t="shared" si="4"/>
        <v>0</v>
      </c>
      <c r="AB71" s="32">
        <v>0</v>
      </c>
      <c r="AC71" s="33">
        <v>0</v>
      </c>
      <c r="AD71" s="31">
        <f t="shared" si="5"/>
        <v>0</v>
      </c>
      <c r="AE71" s="32">
        <v>0</v>
      </c>
      <c r="AF71" s="32">
        <v>0</v>
      </c>
      <c r="AG71" s="32">
        <v>0</v>
      </c>
      <c r="AH71" s="33">
        <v>0</v>
      </c>
      <c r="AI71" s="31">
        <f t="shared" si="6"/>
        <v>5.5511151231257827E-17</v>
      </c>
      <c r="AJ71" s="32">
        <v>2.2204460492503131E-16</v>
      </c>
      <c r="AK71" s="32">
        <v>0</v>
      </c>
      <c r="AL71" s="32">
        <v>0</v>
      </c>
      <c r="AM71" s="34">
        <v>0</v>
      </c>
    </row>
    <row r="72" spans="1:39" x14ac:dyDescent="0.3">
      <c r="A72" s="24" t="s">
        <v>273</v>
      </c>
      <c r="B72" s="25" t="s">
        <v>265</v>
      </c>
      <c r="C72" s="25" t="s">
        <v>265</v>
      </c>
      <c r="D72" s="25" t="s">
        <v>16</v>
      </c>
      <c r="E72" s="26" t="s">
        <v>60</v>
      </c>
      <c r="F72" s="27">
        <v>1</v>
      </c>
      <c r="G72" s="28">
        <f t="shared" ref="G72:G135" si="7">SUM(H72:K72)/4</f>
        <v>0</v>
      </c>
      <c r="H72" s="29">
        <v>0</v>
      </c>
      <c r="I72" s="29">
        <v>0</v>
      </c>
      <c r="J72" s="29">
        <v>0</v>
      </c>
      <c r="K72" s="30">
        <v>0</v>
      </c>
      <c r="L72" s="31">
        <f t="shared" ref="L72:L135" si="8">Q72+V72+AA72+AD72+AI72</f>
        <v>0</v>
      </c>
      <c r="M72" s="32">
        <v>0</v>
      </c>
      <c r="N72" s="32">
        <v>0</v>
      </c>
      <c r="O72" s="32">
        <v>0</v>
      </c>
      <c r="P72" s="33">
        <v>0</v>
      </c>
      <c r="Q72" s="31">
        <f t="shared" ref="Q72:Q135" si="9">SUM(R72:U72)/4</f>
        <v>0</v>
      </c>
      <c r="R72" s="32">
        <v>0</v>
      </c>
      <c r="S72" s="32">
        <v>0</v>
      </c>
      <c r="T72" s="32">
        <v>0</v>
      </c>
      <c r="U72" s="33">
        <v>0</v>
      </c>
      <c r="V72" s="31">
        <f t="shared" ref="V72:V135" si="10">SUM(W72:Z72)/4</f>
        <v>0</v>
      </c>
      <c r="W72" s="32">
        <v>0</v>
      </c>
      <c r="X72" s="32">
        <v>0</v>
      </c>
      <c r="Y72" s="32">
        <v>0</v>
      </c>
      <c r="Z72" s="33">
        <v>0</v>
      </c>
      <c r="AA72" s="31">
        <f t="shared" ref="AA72:AA135" si="11">SUM(AB72:AC72)/2</f>
        <v>0</v>
      </c>
      <c r="AB72" s="32">
        <v>0</v>
      </c>
      <c r="AC72" s="33">
        <v>0</v>
      </c>
      <c r="AD72" s="31">
        <f t="shared" ref="AD72:AD135" si="12">SUM(AE72:AH72)/4</f>
        <v>0</v>
      </c>
      <c r="AE72" s="32">
        <v>0</v>
      </c>
      <c r="AF72" s="32">
        <v>0</v>
      </c>
      <c r="AG72" s="32">
        <v>0</v>
      </c>
      <c r="AH72" s="33">
        <v>0</v>
      </c>
      <c r="AI72" s="31">
        <f t="shared" ref="AI72:AI135" si="13">SUM(AJ72:AM72)/4</f>
        <v>0</v>
      </c>
      <c r="AJ72" s="32">
        <v>0</v>
      </c>
      <c r="AK72" s="32">
        <v>0</v>
      </c>
      <c r="AL72" s="32">
        <v>0</v>
      </c>
      <c r="AM72" s="34">
        <v>0</v>
      </c>
    </row>
    <row r="73" spans="1:39" x14ac:dyDescent="0.3">
      <c r="A73" s="24" t="s">
        <v>273</v>
      </c>
      <c r="B73" s="25" t="s">
        <v>265</v>
      </c>
      <c r="C73" s="25" t="s">
        <v>265</v>
      </c>
      <c r="D73" s="25" t="s">
        <v>16</v>
      </c>
      <c r="E73" s="26" t="s">
        <v>55</v>
      </c>
      <c r="F73" s="27">
        <v>52</v>
      </c>
      <c r="G73" s="28">
        <f t="shared" si="7"/>
        <v>137.75</v>
      </c>
      <c r="H73" s="29">
        <v>172</v>
      </c>
      <c r="I73" s="29">
        <v>249</v>
      </c>
      <c r="J73" s="29">
        <v>62</v>
      </c>
      <c r="K73" s="30">
        <v>68</v>
      </c>
      <c r="L73" s="31">
        <f t="shared" si="8"/>
        <v>34.131850749999998</v>
      </c>
      <c r="M73" s="32">
        <v>31.299858000000004</v>
      </c>
      <c r="N73" s="32">
        <v>36.394202</v>
      </c>
      <c r="O73" s="32">
        <v>9.9506709999999998</v>
      </c>
      <c r="P73" s="33">
        <v>9.6083580000000026</v>
      </c>
      <c r="Q73" s="31">
        <f t="shared" si="9"/>
        <v>2.57784075</v>
      </c>
      <c r="R73" s="32">
        <v>2.5762149999999999</v>
      </c>
      <c r="S73" s="32">
        <v>5.3529630000000008</v>
      </c>
      <c r="T73" s="32">
        <v>1.5812140000000001</v>
      </c>
      <c r="U73" s="33">
        <v>0.8009710000000001</v>
      </c>
      <c r="V73" s="31">
        <f t="shared" si="10"/>
        <v>0.12249</v>
      </c>
      <c r="W73" s="32">
        <v>0.48996000000000001</v>
      </c>
      <c r="X73" s="32">
        <v>0</v>
      </c>
      <c r="Y73" s="32">
        <v>0</v>
      </c>
      <c r="Z73" s="33">
        <v>0</v>
      </c>
      <c r="AA73" s="31">
        <f t="shared" si="11"/>
        <v>24.637157000000006</v>
      </c>
      <c r="AB73" s="32">
        <v>26.599422000000004</v>
      </c>
      <c r="AC73" s="33">
        <v>22.674892000000007</v>
      </c>
      <c r="AD73" s="31">
        <f t="shared" si="12"/>
        <v>4.0943629999999995</v>
      </c>
      <c r="AE73" s="32">
        <v>1.6342610000000002</v>
      </c>
      <c r="AF73" s="32">
        <v>6.3663470000000002</v>
      </c>
      <c r="AG73" s="32">
        <v>3.9694570000000007</v>
      </c>
      <c r="AH73" s="33">
        <v>4.4073869999999999</v>
      </c>
      <c r="AI73" s="31">
        <f t="shared" si="13"/>
        <v>2.6999999999999984</v>
      </c>
      <c r="AJ73" s="32">
        <v>0</v>
      </c>
      <c r="AK73" s="32">
        <v>1.9999999999999902</v>
      </c>
      <c r="AL73" s="32">
        <v>4.4000000000000004</v>
      </c>
      <c r="AM73" s="34">
        <v>4.4000000000000021</v>
      </c>
    </row>
    <row r="74" spans="1:39" x14ac:dyDescent="0.3">
      <c r="A74" s="24" t="s">
        <v>273</v>
      </c>
      <c r="B74" s="25" t="s">
        <v>265</v>
      </c>
      <c r="C74" s="25" t="s">
        <v>265</v>
      </c>
      <c r="D74" s="25" t="s">
        <v>6</v>
      </c>
      <c r="E74" s="26" t="s">
        <v>101</v>
      </c>
      <c r="F74" s="27">
        <v>2</v>
      </c>
      <c r="G74" s="28">
        <f t="shared" si="7"/>
        <v>2.5</v>
      </c>
      <c r="H74" s="29">
        <v>4</v>
      </c>
      <c r="I74" s="29">
        <v>4</v>
      </c>
      <c r="J74" s="29">
        <v>1</v>
      </c>
      <c r="K74" s="30">
        <v>1</v>
      </c>
      <c r="L74" s="31">
        <f t="shared" si="8"/>
        <v>1.6958485000000001</v>
      </c>
      <c r="M74" s="32">
        <v>2.9426549999999998</v>
      </c>
      <c r="N74" s="32">
        <v>2.6755300000000002</v>
      </c>
      <c r="O74" s="32">
        <v>0.10036200000000001</v>
      </c>
      <c r="P74" s="33">
        <v>4.3646999999999998E-2</v>
      </c>
      <c r="Q74" s="31">
        <f t="shared" si="9"/>
        <v>0</v>
      </c>
      <c r="R74" s="32">
        <v>0</v>
      </c>
      <c r="S74" s="32">
        <v>0</v>
      </c>
      <c r="T74" s="32">
        <v>0</v>
      </c>
      <c r="U74" s="33">
        <v>0</v>
      </c>
      <c r="V74" s="31">
        <f t="shared" si="10"/>
        <v>0.9958499999999999</v>
      </c>
      <c r="W74" s="32">
        <v>2.4938699999999998</v>
      </c>
      <c r="X74" s="32">
        <v>1.48953</v>
      </c>
      <c r="Y74" s="32">
        <v>0</v>
      </c>
      <c r="Z74" s="33">
        <v>0</v>
      </c>
      <c r="AA74" s="31">
        <f t="shared" si="11"/>
        <v>0.51060000000000005</v>
      </c>
      <c r="AB74" s="32">
        <v>0.247227</v>
      </c>
      <c r="AC74" s="33">
        <v>0.77397300000000002</v>
      </c>
      <c r="AD74" s="31">
        <f t="shared" si="12"/>
        <v>0.18939849999999997</v>
      </c>
      <c r="AE74" s="32">
        <v>0.20155799999999999</v>
      </c>
      <c r="AF74" s="32">
        <v>0.41202699999999998</v>
      </c>
      <c r="AG74" s="32">
        <v>0.10036200000000001</v>
      </c>
      <c r="AH74" s="33">
        <v>4.3646999999999998E-2</v>
      </c>
      <c r="AI74" s="31">
        <f t="shared" si="13"/>
        <v>0</v>
      </c>
      <c r="AJ74" s="32">
        <v>0</v>
      </c>
      <c r="AK74" s="32">
        <v>0</v>
      </c>
      <c r="AL74" s="32">
        <v>0</v>
      </c>
      <c r="AM74" s="34">
        <v>0</v>
      </c>
    </row>
    <row r="75" spans="1:39" x14ac:dyDescent="0.3">
      <c r="A75" s="24" t="s">
        <v>273</v>
      </c>
      <c r="B75" s="25" t="s">
        <v>265</v>
      </c>
      <c r="C75" s="25" t="s">
        <v>265</v>
      </c>
      <c r="D75" s="25" t="s">
        <v>6</v>
      </c>
      <c r="E75" s="26" t="s">
        <v>82</v>
      </c>
      <c r="F75" s="27">
        <v>1</v>
      </c>
      <c r="G75" s="28">
        <f t="shared" si="7"/>
        <v>0.25</v>
      </c>
      <c r="H75" s="29">
        <v>0</v>
      </c>
      <c r="I75" s="29">
        <v>0</v>
      </c>
      <c r="J75" s="29">
        <v>1</v>
      </c>
      <c r="K75" s="30">
        <v>0</v>
      </c>
      <c r="L75" s="31">
        <f t="shared" si="8"/>
        <v>3.3105000000000002E-2</v>
      </c>
      <c r="M75" s="32">
        <v>0</v>
      </c>
      <c r="N75" s="32">
        <v>0</v>
      </c>
      <c r="O75" s="32">
        <v>0.13242000000000001</v>
      </c>
      <c r="P75" s="33">
        <v>0</v>
      </c>
      <c r="Q75" s="31">
        <f t="shared" si="9"/>
        <v>0</v>
      </c>
      <c r="R75" s="32">
        <v>0</v>
      </c>
      <c r="S75" s="32">
        <v>0</v>
      </c>
      <c r="T75" s="32">
        <v>0</v>
      </c>
      <c r="U75" s="33">
        <v>0</v>
      </c>
      <c r="V75" s="31">
        <f t="shared" si="10"/>
        <v>0</v>
      </c>
      <c r="W75" s="32">
        <v>0</v>
      </c>
      <c r="X75" s="32">
        <v>0</v>
      </c>
      <c r="Y75" s="32">
        <v>0</v>
      </c>
      <c r="Z75" s="33">
        <v>0</v>
      </c>
      <c r="AA75" s="31">
        <f t="shared" si="11"/>
        <v>0</v>
      </c>
      <c r="AB75" s="32">
        <v>0</v>
      </c>
      <c r="AC75" s="33">
        <v>0</v>
      </c>
      <c r="AD75" s="31">
        <f t="shared" si="12"/>
        <v>3.3105000000000002E-2</v>
      </c>
      <c r="AE75" s="32">
        <v>0</v>
      </c>
      <c r="AF75" s="32">
        <v>0</v>
      </c>
      <c r="AG75" s="32">
        <v>0.13242000000000001</v>
      </c>
      <c r="AH75" s="33">
        <v>0</v>
      </c>
      <c r="AI75" s="31">
        <f t="shared" si="13"/>
        <v>0</v>
      </c>
      <c r="AJ75" s="32">
        <v>0</v>
      </c>
      <c r="AK75" s="32">
        <v>0</v>
      </c>
      <c r="AL75" s="32">
        <v>0</v>
      </c>
      <c r="AM75" s="34">
        <v>0</v>
      </c>
    </row>
    <row r="76" spans="1:39" x14ac:dyDescent="0.3">
      <c r="A76" s="24" t="s">
        <v>273</v>
      </c>
      <c r="B76" s="25" t="s">
        <v>265</v>
      </c>
      <c r="C76" s="25" t="s">
        <v>265</v>
      </c>
      <c r="D76" s="25" t="s">
        <v>6</v>
      </c>
      <c r="E76" s="26" t="s">
        <v>79</v>
      </c>
      <c r="F76" s="27">
        <v>1</v>
      </c>
      <c r="G76" s="28">
        <f t="shared" si="7"/>
        <v>0</v>
      </c>
      <c r="H76" s="29">
        <v>0</v>
      </c>
      <c r="I76" s="29">
        <v>0</v>
      </c>
      <c r="J76" s="29">
        <v>0</v>
      </c>
      <c r="K76" s="30">
        <v>0</v>
      </c>
      <c r="L76" s="31">
        <f t="shared" si="8"/>
        <v>0</v>
      </c>
      <c r="M76" s="32">
        <v>0</v>
      </c>
      <c r="N76" s="32">
        <v>0</v>
      </c>
      <c r="O76" s="32">
        <v>0</v>
      </c>
      <c r="P76" s="33">
        <v>0</v>
      </c>
      <c r="Q76" s="31">
        <f t="shared" si="9"/>
        <v>0</v>
      </c>
      <c r="R76" s="32">
        <v>0</v>
      </c>
      <c r="S76" s="32">
        <v>0</v>
      </c>
      <c r="T76" s="32">
        <v>0</v>
      </c>
      <c r="U76" s="33">
        <v>0</v>
      </c>
      <c r="V76" s="31">
        <f t="shared" si="10"/>
        <v>0</v>
      </c>
      <c r="W76" s="32">
        <v>0</v>
      </c>
      <c r="X76" s="32">
        <v>0</v>
      </c>
      <c r="Y76" s="32">
        <v>0</v>
      </c>
      <c r="Z76" s="33">
        <v>0</v>
      </c>
      <c r="AA76" s="31">
        <f t="shared" si="11"/>
        <v>0</v>
      </c>
      <c r="AB76" s="32">
        <v>0</v>
      </c>
      <c r="AC76" s="33">
        <v>0</v>
      </c>
      <c r="AD76" s="31">
        <f t="shared" si="12"/>
        <v>0</v>
      </c>
      <c r="AE76" s="32">
        <v>0</v>
      </c>
      <c r="AF76" s="32">
        <v>0</v>
      </c>
      <c r="AG76" s="32">
        <v>0</v>
      </c>
      <c r="AH76" s="33">
        <v>0</v>
      </c>
      <c r="AI76" s="31">
        <f t="shared" si="13"/>
        <v>0</v>
      </c>
      <c r="AJ76" s="32">
        <v>0</v>
      </c>
      <c r="AK76" s="32">
        <v>0</v>
      </c>
      <c r="AL76" s="32">
        <v>0</v>
      </c>
      <c r="AM76" s="34">
        <v>0</v>
      </c>
    </row>
    <row r="77" spans="1:39" x14ac:dyDescent="0.3">
      <c r="A77" s="24" t="s">
        <v>273</v>
      </c>
      <c r="B77" s="25" t="s">
        <v>265</v>
      </c>
      <c r="C77" s="25" t="s">
        <v>265</v>
      </c>
      <c r="D77" s="25" t="s">
        <v>6</v>
      </c>
      <c r="E77" s="26" t="s">
        <v>100</v>
      </c>
      <c r="F77" s="27">
        <v>2</v>
      </c>
      <c r="G77" s="28">
        <f t="shared" si="7"/>
        <v>1.75</v>
      </c>
      <c r="H77" s="29">
        <v>1</v>
      </c>
      <c r="I77" s="29">
        <v>1</v>
      </c>
      <c r="J77" s="29">
        <v>1</v>
      </c>
      <c r="K77" s="30">
        <v>4</v>
      </c>
      <c r="L77" s="31">
        <f t="shared" si="8"/>
        <v>0.30996899999999999</v>
      </c>
      <c r="M77" s="32">
        <v>0.10630000000000001</v>
      </c>
      <c r="N77" s="32">
        <v>0.40024599999999999</v>
      </c>
      <c r="O77" s="32">
        <v>0.34160000000000001</v>
      </c>
      <c r="P77" s="33">
        <v>0.39173000000000002</v>
      </c>
      <c r="Q77" s="31">
        <f t="shared" si="9"/>
        <v>0.15761149999999999</v>
      </c>
      <c r="R77" s="32">
        <v>0</v>
      </c>
      <c r="S77" s="32">
        <v>0.40024599999999999</v>
      </c>
      <c r="T77" s="32">
        <v>0.23019999999999999</v>
      </c>
      <c r="U77" s="33">
        <v>0</v>
      </c>
      <c r="V77" s="31">
        <f t="shared" si="10"/>
        <v>9.0834999999999999E-2</v>
      </c>
      <c r="W77" s="32">
        <v>0.10630000000000001</v>
      </c>
      <c r="X77" s="32">
        <v>0</v>
      </c>
      <c r="Y77" s="32">
        <v>0</v>
      </c>
      <c r="Z77" s="33">
        <v>0.25703999999999999</v>
      </c>
      <c r="AA77" s="31">
        <f t="shared" si="11"/>
        <v>0</v>
      </c>
      <c r="AB77" s="32">
        <v>0</v>
      </c>
      <c r="AC77" s="33">
        <v>0</v>
      </c>
      <c r="AD77" s="31">
        <f t="shared" si="12"/>
        <v>6.1522500000000001E-2</v>
      </c>
      <c r="AE77" s="32">
        <v>0</v>
      </c>
      <c r="AF77" s="32">
        <v>0</v>
      </c>
      <c r="AG77" s="32">
        <v>0.1114</v>
      </c>
      <c r="AH77" s="33">
        <v>0.13469</v>
      </c>
      <c r="AI77" s="31">
        <f t="shared" si="13"/>
        <v>0</v>
      </c>
      <c r="AJ77" s="32">
        <v>0</v>
      </c>
      <c r="AK77" s="32">
        <v>0</v>
      </c>
      <c r="AL77" s="32">
        <v>0</v>
      </c>
      <c r="AM77" s="34">
        <v>0</v>
      </c>
    </row>
    <row r="78" spans="1:39" x14ac:dyDescent="0.3">
      <c r="A78" s="24" t="s">
        <v>273</v>
      </c>
      <c r="B78" s="25" t="s">
        <v>265</v>
      </c>
      <c r="C78" s="25" t="s">
        <v>265</v>
      </c>
      <c r="D78" s="25" t="s">
        <v>6</v>
      </c>
      <c r="E78" s="26" t="s">
        <v>152</v>
      </c>
      <c r="F78" s="27">
        <v>1</v>
      </c>
      <c r="G78" s="28">
        <f t="shared" si="7"/>
        <v>0</v>
      </c>
      <c r="H78" s="29">
        <v>0</v>
      </c>
      <c r="I78" s="29">
        <v>0</v>
      </c>
      <c r="J78" s="29">
        <v>0</v>
      </c>
      <c r="K78" s="30">
        <v>0</v>
      </c>
      <c r="L78" s="31">
        <f t="shared" si="8"/>
        <v>0</v>
      </c>
      <c r="M78" s="32">
        <v>0</v>
      </c>
      <c r="N78" s="32">
        <v>0</v>
      </c>
      <c r="O78" s="32">
        <v>0</v>
      </c>
      <c r="P78" s="33">
        <v>0</v>
      </c>
      <c r="Q78" s="31">
        <f t="shared" si="9"/>
        <v>0</v>
      </c>
      <c r="R78" s="32">
        <v>0</v>
      </c>
      <c r="S78" s="32">
        <v>0</v>
      </c>
      <c r="T78" s="32">
        <v>0</v>
      </c>
      <c r="U78" s="33">
        <v>0</v>
      </c>
      <c r="V78" s="31">
        <f t="shared" si="10"/>
        <v>0</v>
      </c>
      <c r="W78" s="32">
        <v>0</v>
      </c>
      <c r="X78" s="32">
        <v>0</v>
      </c>
      <c r="Y78" s="32">
        <v>0</v>
      </c>
      <c r="Z78" s="33">
        <v>0</v>
      </c>
      <c r="AA78" s="31">
        <f t="shared" si="11"/>
        <v>0</v>
      </c>
      <c r="AB78" s="32">
        <v>0</v>
      </c>
      <c r="AC78" s="33">
        <v>0</v>
      </c>
      <c r="AD78" s="31">
        <f t="shared" si="12"/>
        <v>0</v>
      </c>
      <c r="AE78" s="32">
        <v>0</v>
      </c>
      <c r="AF78" s="32">
        <v>0</v>
      </c>
      <c r="AG78" s="32">
        <v>0</v>
      </c>
      <c r="AH78" s="33">
        <v>0</v>
      </c>
      <c r="AI78" s="31">
        <f t="shared" si="13"/>
        <v>0</v>
      </c>
      <c r="AJ78" s="32">
        <v>0</v>
      </c>
      <c r="AK78" s="32">
        <v>0</v>
      </c>
      <c r="AL78" s="32">
        <v>0</v>
      </c>
      <c r="AM78" s="34">
        <v>0</v>
      </c>
    </row>
    <row r="79" spans="1:39" x14ac:dyDescent="0.3">
      <c r="A79" s="24" t="s">
        <v>273</v>
      </c>
      <c r="B79" s="25" t="s">
        <v>265</v>
      </c>
      <c r="C79" s="25" t="s">
        <v>265</v>
      </c>
      <c r="D79" s="25" t="s">
        <v>6</v>
      </c>
      <c r="E79" s="26" t="s">
        <v>117</v>
      </c>
      <c r="F79" s="27">
        <v>1</v>
      </c>
      <c r="G79" s="28">
        <f t="shared" si="7"/>
        <v>7.25</v>
      </c>
      <c r="H79" s="29">
        <v>9</v>
      </c>
      <c r="I79" s="29">
        <v>10</v>
      </c>
      <c r="J79" s="29">
        <v>5</v>
      </c>
      <c r="K79" s="30">
        <v>5</v>
      </c>
      <c r="L79" s="31">
        <f t="shared" si="8"/>
        <v>1.7866919999999999</v>
      </c>
      <c r="M79" s="32">
        <v>3.0835590000000002</v>
      </c>
      <c r="N79" s="32">
        <v>2.5806719999999999</v>
      </c>
      <c r="O79" s="32">
        <v>0.74921300000000002</v>
      </c>
      <c r="P79" s="33">
        <v>0.612784</v>
      </c>
      <c r="Q79" s="31">
        <f t="shared" si="9"/>
        <v>0</v>
      </c>
      <c r="R79" s="32">
        <v>0</v>
      </c>
      <c r="S79" s="32">
        <v>0</v>
      </c>
      <c r="T79" s="32">
        <v>0</v>
      </c>
      <c r="U79" s="33">
        <v>0</v>
      </c>
      <c r="V79" s="31">
        <f t="shared" si="10"/>
        <v>1.149435</v>
      </c>
      <c r="W79" s="32">
        <v>2.5020799999999999</v>
      </c>
      <c r="X79" s="32">
        <v>1.97112</v>
      </c>
      <c r="Y79" s="32">
        <v>0.12454</v>
      </c>
      <c r="Z79" s="33">
        <v>0</v>
      </c>
      <c r="AA79" s="31">
        <f t="shared" si="11"/>
        <v>6.0269999999999997E-2</v>
      </c>
      <c r="AB79" s="32">
        <v>0.12053999999999999</v>
      </c>
      <c r="AC79" s="33">
        <v>0</v>
      </c>
      <c r="AD79" s="31">
        <f t="shared" si="12"/>
        <v>0.57698700000000003</v>
      </c>
      <c r="AE79" s="32">
        <v>0.46093899999999999</v>
      </c>
      <c r="AF79" s="32">
        <v>0.60955199999999998</v>
      </c>
      <c r="AG79" s="32">
        <v>0.62467300000000003</v>
      </c>
      <c r="AH79" s="33">
        <v>0.612784</v>
      </c>
      <c r="AI79" s="31">
        <f t="shared" si="13"/>
        <v>0</v>
      </c>
      <c r="AJ79" s="32">
        <v>0</v>
      </c>
      <c r="AK79" s="32">
        <v>0</v>
      </c>
      <c r="AL79" s="32">
        <v>0</v>
      </c>
      <c r="AM79" s="34">
        <v>0</v>
      </c>
    </row>
    <row r="80" spans="1:39" x14ac:dyDescent="0.3">
      <c r="A80" s="24" t="s">
        <v>273</v>
      </c>
      <c r="B80" s="25" t="s">
        <v>265</v>
      </c>
      <c r="C80" s="25" t="s">
        <v>265</v>
      </c>
      <c r="D80" s="25" t="s">
        <v>7</v>
      </c>
      <c r="E80" s="26" t="s">
        <v>155</v>
      </c>
      <c r="F80" s="27">
        <v>2</v>
      </c>
      <c r="G80" s="28">
        <f t="shared" si="7"/>
        <v>3.5</v>
      </c>
      <c r="H80" s="29">
        <v>6</v>
      </c>
      <c r="I80" s="29">
        <v>3</v>
      </c>
      <c r="J80" s="29">
        <v>2</v>
      </c>
      <c r="K80" s="30">
        <v>3</v>
      </c>
      <c r="L80" s="31">
        <f t="shared" si="8"/>
        <v>1.77242375</v>
      </c>
      <c r="M80" s="32">
        <v>1.7858270000000001</v>
      </c>
      <c r="N80" s="32">
        <v>3.3835060000000001</v>
      </c>
      <c r="O80" s="32">
        <v>0.50824899999999995</v>
      </c>
      <c r="P80" s="33">
        <v>1.3540989999999999</v>
      </c>
      <c r="Q80" s="31">
        <f t="shared" si="9"/>
        <v>1.47611925</v>
      </c>
      <c r="R80" s="32">
        <v>1.5901259999999999</v>
      </c>
      <c r="S80" s="32">
        <v>3.3139460000000001</v>
      </c>
      <c r="T80" s="32">
        <v>0</v>
      </c>
      <c r="U80" s="33">
        <v>1.000405</v>
      </c>
      <c r="V80" s="31">
        <f t="shared" si="10"/>
        <v>0</v>
      </c>
      <c r="W80" s="32">
        <v>0</v>
      </c>
      <c r="X80" s="32">
        <v>0</v>
      </c>
      <c r="Y80" s="32">
        <v>0</v>
      </c>
      <c r="Z80" s="33">
        <v>0</v>
      </c>
      <c r="AA80" s="31">
        <f t="shared" si="11"/>
        <v>2.9007000000000002E-2</v>
      </c>
      <c r="AB80" s="32">
        <v>5.8014000000000003E-2</v>
      </c>
      <c r="AC80" s="33">
        <v>0</v>
      </c>
      <c r="AD80" s="31">
        <f t="shared" si="12"/>
        <v>0.26729749999999997</v>
      </c>
      <c r="AE80" s="32">
        <v>0.137687</v>
      </c>
      <c r="AF80" s="32">
        <v>6.9559999999999997E-2</v>
      </c>
      <c r="AG80" s="32">
        <v>0.50824899999999995</v>
      </c>
      <c r="AH80" s="33">
        <v>0.35369400000000001</v>
      </c>
      <c r="AI80" s="31">
        <f t="shared" si="13"/>
        <v>0</v>
      </c>
      <c r="AJ80" s="32">
        <v>0</v>
      </c>
      <c r="AK80" s="32">
        <v>0</v>
      </c>
      <c r="AL80" s="32">
        <v>0</v>
      </c>
      <c r="AM80" s="34">
        <v>0</v>
      </c>
    </row>
    <row r="81" spans="1:39" x14ac:dyDescent="0.3">
      <c r="A81" s="24" t="s">
        <v>273</v>
      </c>
      <c r="B81" s="25" t="s">
        <v>265</v>
      </c>
      <c r="C81" s="25" t="s">
        <v>265</v>
      </c>
      <c r="D81" s="25" t="s">
        <v>9</v>
      </c>
      <c r="E81" s="26" t="s">
        <v>94</v>
      </c>
      <c r="F81" s="27">
        <v>1</v>
      </c>
      <c r="G81" s="28">
        <f t="shared" si="7"/>
        <v>0.25</v>
      </c>
      <c r="H81" s="29">
        <v>0</v>
      </c>
      <c r="I81" s="29">
        <v>0</v>
      </c>
      <c r="J81" s="29">
        <v>0</v>
      </c>
      <c r="K81" s="30">
        <v>1</v>
      </c>
      <c r="L81" s="31">
        <f t="shared" si="8"/>
        <v>2.711875E-2</v>
      </c>
      <c r="M81" s="32">
        <v>0</v>
      </c>
      <c r="N81" s="32">
        <v>0</v>
      </c>
      <c r="O81" s="32">
        <v>0</v>
      </c>
      <c r="P81" s="33">
        <v>0.108475</v>
      </c>
      <c r="Q81" s="31">
        <f t="shared" si="9"/>
        <v>0</v>
      </c>
      <c r="R81" s="32">
        <v>0</v>
      </c>
      <c r="S81" s="32">
        <v>0</v>
      </c>
      <c r="T81" s="32">
        <v>0</v>
      </c>
      <c r="U81" s="33">
        <v>0</v>
      </c>
      <c r="V81" s="31">
        <f t="shared" si="10"/>
        <v>0</v>
      </c>
      <c r="W81" s="32">
        <v>0</v>
      </c>
      <c r="X81" s="32">
        <v>0</v>
      </c>
      <c r="Y81" s="32">
        <v>0</v>
      </c>
      <c r="Z81" s="33">
        <v>0</v>
      </c>
      <c r="AA81" s="31">
        <f t="shared" si="11"/>
        <v>0</v>
      </c>
      <c r="AB81" s="32">
        <v>0</v>
      </c>
      <c r="AC81" s="33">
        <v>0</v>
      </c>
      <c r="AD81" s="31">
        <f t="shared" si="12"/>
        <v>2.711875E-2</v>
      </c>
      <c r="AE81" s="32">
        <v>0</v>
      </c>
      <c r="AF81" s="32">
        <v>0</v>
      </c>
      <c r="AG81" s="32">
        <v>0</v>
      </c>
      <c r="AH81" s="33">
        <v>0.108475</v>
      </c>
      <c r="AI81" s="31">
        <f t="shared" si="13"/>
        <v>0</v>
      </c>
      <c r="AJ81" s="32">
        <v>0</v>
      </c>
      <c r="AK81" s="32">
        <v>0</v>
      </c>
      <c r="AL81" s="32">
        <v>0</v>
      </c>
      <c r="AM81" s="34">
        <v>0</v>
      </c>
    </row>
    <row r="82" spans="1:39" x14ac:dyDescent="0.3">
      <c r="A82" s="24" t="s">
        <v>273</v>
      </c>
      <c r="B82" s="25" t="s">
        <v>265</v>
      </c>
      <c r="C82" s="25" t="s">
        <v>265</v>
      </c>
      <c r="D82" s="25" t="s">
        <v>9</v>
      </c>
      <c r="E82" s="26" t="s">
        <v>108</v>
      </c>
      <c r="F82" s="27">
        <v>2</v>
      </c>
      <c r="G82" s="28">
        <f t="shared" si="7"/>
        <v>24.5</v>
      </c>
      <c r="H82" s="29">
        <v>35</v>
      </c>
      <c r="I82" s="29">
        <v>37</v>
      </c>
      <c r="J82" s="29">
        <v>12</v>
      </c>
      <c r="K82" s="30">
        <v>14</v>
      </c>
      <c r="L82" s="31">
        <f t="shared" si="8"/>
        <v>3.5014747500000003</v>
      </c>
      <c r="M82" s="32">
        <v>2.88951</v>
      </c>
      <c r="N82" s="32">
        <v>3.158649</v>
      </c>
      <c r="O82" s="32">
        <v>1.4758519999999999</v>
      </c>
      <c r="P82" s="33">
        <v>1.0335830000000001</v>
      </c>
      <c r="Q82" s="31">
        <f t="shared" si="9"/>
        <v>0.187891</v>
      </c>
      <c r="R82" s="32">
        <v>0</v>
      </c>
      <c r="S82" s="32">
        <v>0</v>
      </c>
      <c r="T82" s="32">
        <v>0.75156400000000001</v>
      </c>
      <c r="U82" s="33">
        <v>0</v>
      </c>
      <c r="V82" s="31">
        <f t="shared" si="10"/>
        <v>0</v>
      </c>
      <c r="W82" s="32">
        <v>0</v>
      </c>
      <c r="X82" s="32">
        <v>0</v>
      </c>
      <c r="Y82" s="32">
        <v>0</v>
      </c>
      <c r="Z82" s="33">
        <v>0</v>
      </c>
      <c r="AA82" s="31">
        <f t="shared" si="11"/>
        <v>2.7241525000000002</v>
      </c>
      <c r="AB82" s="32">
        <v>2.6545100000000001</v>
      </c>
      <c r="AC82" s="33">
        <v>2.7937950000000003</v>
      </c>
      <c r="AD82" s="31">
        <f t="shared" si="12"/>
        <v>0.58943125000000007</v>
      </c>
      <c r="AE82" s="32">
        <v>0.23499999999999999</v>
      </c>
      <c r="AF82" s="32">
        <v>0.36485400000000001</v>
      </c>
      <c r="AG82" s="32">
        <v>0.72428799999999993</v>
      </c>
      <c r="AH82" s="33">
        <v>1.0335830000000001</v>
      </c>
      <c r="AI82" s="31">
        <f t="shared" si="13"/>
        <v>0</v>
      </c>
      <c r="AJ82" s="32">
        <v>0</v>
      </c>
      <c r="AK82" s="32">
        <v>0</v>
      </c>
      <c r="AL82" s="32">
        <v>0</v>
      </c>
      <c r="AM82" s="34">
        <v>0</v>
      </c>
    </row>
    <row r="83" spans="1:39" x14ac:dyDescent="0.3">
      <c r="A83" s="24" t="s">
        <v>273</v>
      </c>
      <c r="B83" s="25" t="s">
        <v>265</v>
      </c>
      <c r="C83" s="25" t="s">
        <v>265</v>
      </c>
      <c r="D83" s="25" t="s">
        <v>14</v>
      </c>
      <c r="E83" s="26" t="s">
        <v>107</v>
      </c>
      <c r="F83" s="27">
        <v>1</v>
      </c>
      <c r="G83" s="28">
        <f t="shared" si="7"/>
        <v>0.5</v>
      </c>
      <c r="H83" s="29">
        <v>0</v>
      </c>
      <c r="I83" s="29">
        <v>0</v>
      </c>
      <c r="J83" s="29">
        <v>0</v>
      </c>
      <c r="K83" s="30">
        <v>2</v>
      </c>
      <c r="L83" s="31">
        <f t="shared" si="8"/>
        <v>4.0017249999999997E-2</v>
      </c>
      <c r="M83" s="32">
        <v>0</v>
      </c>
      <c r="N83" s="32">
        <v>0</v>
      </c>
      <c r="O83" s="32">
        <v>0</v>
      </c>
      <c r="P83" s="33">
        <v>0.16006899999999999</v>
      </c>
      <c r="Q83" s="31">
        <f t="shared" si="9"/>
        <v>0</v>
      </c>
      <c r="R83" s="32">
        <v>0</v>
      </c>
      <c r="S83" s="32">
        <v>0</v>
      </c>
      <c r="T83" s="32">
        <v>0</v>
      </c>
      <c r="U83" s="33">
        <v>0</v>
      </c>
      <c r="V83" s="31">
        <f t="shared" si="10"/>
        <v>0</v>
      </c>
      <c r="W83" s="32">
        <v>0</v>
      </c>
      <c r="X83" s="32">
        <v>0</v>
      </c>
      <c r="Y83" s="32">
        <v>0</v>
      </c>
      <c r="Z83" s="33">
        <v>0</v>
      </c>
      <c r="AA83" s="31">
        <f t="shared" si="11"/>
        <v>0</v>
      </c>
      <c r="AB83" s="32">
        <v>0</v>
      </c>
      <c r="AC83" s="33">
        <v>0</v>
      </c>
      <c r="AD83" s="31">
        <f t="shared" si="12"/>
        <v>4.0017249999999997E-2</v>
      </c>
      <c r="AE83" s="32">
        <v>0</v>
      </c>
      <c r="AF83" s="32">
        <v>0</v>
      </c>
      <c r="AG83" s="32">
        <v>0</v>
      </c>
      <c r="AH83" s="33">
        <v>0.16006899999999999</v>
      </c>
      <c r="AI83" s="31">
        <f t="shared" si="13"/>
        <v>0</v>
      </c>
      <c r="AJ83" s="32">
        <v>0</v>
      </c>
      <c r="AK83" s="32">
        <v>0</v>
      </c>
      <c r="AL83" s="32">
        <v>0</v>
      </c>
      <c r="AM83" s="34">
        <v>0</v>
      </c>
    </row>
    <row r="84" spans="1:39" x14ac:dyDescent="0.3">
      <c r="A84" s="24" t="s">
        <v>271</v>
      </c>
      <c r="B84" s="25" t="s">
        <v>18</v>
      </c>
      <c r="C84" s="25" t="s">
        <v>51</v>
      </c>
      <c r="D84" s="25" t="s">
        <v>16</v>
      </c>
      <c r="E84" s="26" t="s">
        <v>159</v>
      </c>
      <c r="F84" s="27">
        <v>12</v>
      </c>
      <c r="G84" s="28">
        <f t="shared" si="7"/>
        <v>1.25</v>
      </c>
      <c r="H84" s="29">
        <v>2</v>
      </c>
      <c r="I84" s="29">
        <v>0</v>
      </c>
      <c r="J84" s="29">
        <v>2</v>
      </c>
      <c r="K84" s="30">
        <v>1</v>
      </c>
      <c r="L84" s="31">
        <f t="shared" si="8"/>
        <v>0.41754525000000003</v>
      </c>
      <c r="M84" s="32">
        <v>1.51736</v>
      </c>
      <c r="N84" s="32">
        <v>0</v>
      </c>
      <c r="O84" s="32">
        <v>0.11433400000000001</v>
      </c>
      <c r="P84" s="33">
        <v>3.8487E-2</v>
      </c>
      <c r="Q84" s="31">
        <f t="shared" si="9"/>
        <v>0</v>
      </c>
      <c r="R84" s="32">
        <v>0</v>
      </c>
      <c r="S84" s="32">
        <v>0</v>
      </c>
      <c r="T84" s="32">
        <v>0</v>
      </c>
      <c r="U84" s="33">
        <v>0</v>
      </c>
      <c r="V84" s="31">
        <f t="shared" si="10"/>
        <v>0.37934000000000001</v>
      </c>
      <c r="W84" s="32">
        <v>1.51736</v>
      </c>
      <c r="X84" s="32">
        <v>0</v>
      </c>
      <c r="Y84" s="32">
        <v>0</v>
      </c>
      <c r="Z84" s="33">
        <v>0</v>
      </c>
      <c r="AA84" s="31">
        <f t="shared" si="11"/>
        <v>0</v>
      </c>
      <c r="AB84" s="32">
        <v>0</v>
      </c>
      <c r="AC84" s="33">
        <v>0</v>
      </c>
      <c r="AD84" s="31">
        <f t="shared" si="12"/>
        <v>3.8205250000000003E-2</v>
      </c>
      <c r="AE84" s="32">
        <v>0</v>
      </c>
      <c r="AF84" s="32">
        <v>0</v>
      </c>
      <c r="AG84" s="32">
        <v>0.11433400000000001</v>
      </c>
      <c r="AH84" s="33">
        <v>3.8487E-2</v>
      </c>
      <c r="AI84" s="31">
        <f t="shared" si="13"/>
        <v>0</v>
      </c>
      <c r="AJ84" s="32">
        <v>0</v>
      </c>
      <c r="AK84" s="32">
        <v>0</v>
      </c>
      <c r="AL84" s="32">
        <v>0</v>
      </c>
      <c r="AM84" s="34">
        <v>0</v>
      </c>
    </row>
    <row r="85" spans="1:39" x14ac:dyDescent="0.3">
      <c r="A85" s="24" t="s">
        <v>271</v>
      </c>
      <c r="B85" s="25" t="s">
        <v>18</v>
      </c>
      <c r="C85" s="25" t="s">
        <v>51</v>
      </c>
      <c r="D85" s="25" t="s">
        <v>16</v>
      </c>
      <c r="E85" s="26" t="s">
        <v>145</v>
      </c>
      <c r="F85" s="27">
        <v>41</v>
      </c>
      <c r="G85" s="28">
        <f t="shared" si="7"/>
        <v>133.5</v>
      </c>
      <c r="H85" s="29">
        <v>156</v>
      </c>
      <c r="I85" s="29">
        <v>129</v>
      </c>
      <c r="J85" s="29">
        <v>133</v>
      </c>
      <c r="K85" s="30">
        <v>116</v>
      </c>
      <c r="L85" s="31">
        <f t="shared" si="8"/>
        <v>90.32162725000002</v>
      </c>
      <c r="M85" s="32">
        <v>70.937476000000004</v>
      </c>
      <c r="N85" s="32">
        <v>90.718908000000013</v>
      </c>
      <c r="O85" s="32">
        <v>111.82640600000002</v>
      </c>
      <c r="P85" s="33">
        <v>68.774738999999997</v>
      </c>
      <c r="Q85" s="31">
        <f t="shared" si="9"/>
        <v>15.722525750000001</v>
      </c>
      <c r="R85" s="32">
        <v>19.253959000000002</v>
      </c>
      <c r="S85" s="32">
        <v>17.238206999999999</v>
      </c>
      <c r="T85" s="32">
        <v>20.497370000000004</v>
      </c>
      <c r="U85" s="33">
        <v>5.9005669999999997</v>
      </c>
      <c r="V85" s="31">
        <f t="shared" si="10"/>
        <v>45.463976500000001</v>
      </c>
      <c r="W85" s="32">
        <v>29.802809</v>
      </c>
      <c r="X85" s="32">
        <v>50.777069999999995</v>
      </c>
      <c r="Y85" s="32">
        <v>60.676051000000001</v>
      </c>
      <c r="Z85" s="33">
        <v>40.599976000000012</v>
      </c>
      <c r="AA85" s="31">
        <f t="shared" si="11"/>
        <v>9.5144900000000021</v>
      </c>
      <c r="AB85" s="32">
        <v>12.551828000000002</v>
      </c>
      <c r="AC85" s="33">
        <v>6.4771520000000002</v>
      </c>
      <c r="AD85" s="31">
        <f t="shared" si="12"/>
        <v>7.8953350000000002</v>
      </c>
      <c r="AE85" s="32">
        <v>2.6288800000000001</v>
      </c>
      <c r="AF85" s="32">
        <v>3.1050790000000004</v>
      </c>
      <c r="AG85" s="32">
        <v>12.973185000000001</v>
      </c>
      <c r="AH85" s="33">
        <v>12.874196000000001</v>
      </c>
      <c r="AI85" s="31">
        <f t="shared" si="13"/>
        <v>11.725300000000001</v>
      </c>
      <c r="AJ85" s="32">
        <v>6.6999999999999993</v>
      </c>
      <c r="AK85" s="32">
        <v>13.121400000000015</v>
      </c>
      <c r="AL85" s="32">
        <v>17.679800000000014</v>
      </c>
      <c r="AM85" s="34">
        <v>9.3999999999999808</v>
      </c>
    </row>
    <row r="86" spans="1:39" x14ac:dyDescent="0.3">
      <c r="A86" s="24" t="s">
        <v>271</v>
      </c>
      <c r="B86" s="25" t="s">
        <v>17</v>
      </c>
      <c r="C86" s="25" t="s">
        <v>43</v>
      </c>
      <c r="D86" s="25" t="s">
        <v>16</v>
      </c>
      <c r="E86" s="26" t="s">
        <v>132</v>
      </c>
      <c r="F86" s="27">
        <v>64</v>
      </c>
      <c r="G86" s="28">
        <f t="shared" si="7"/>
        <v>156</v>
      </c>
      <c r="H86" s="29">
        <v>176</v>
      </c>
      <c r="I86" s="29">
        <v>159</v>
      </c>
      <c r="J86" s="29">
        <v>149</v>
      </c>
      <c r="K86" s="30">
        <v>140</v>
      </c>
      <c r="L86" s="31">
        <f t="shared" si="8"/>
        <v>126.6335545</v>
      </c>
      <c r="M86" s="32">
        <v>119.19853499999999</v>
      </c>
      <c r="N86" s="32">
        <v>139.77499399999996</v>
      </c>
      <c r="O86" s="32">
        <v>126.66150999999998</v>
      </c>
      <c r="P86" s="33">
        <v>104.235153</v>
      </c>
      <c r="Q86" s="31">
        <f t="shared" si="9"/>
        <v>59.359619250000009</v>
      </c>
      <c r="R86" s="32">
        <v>59.873925000000007</v>
      </c>
      <c r="S86" s="32">
        <v>81.257825999999994</v>
      </c>
      <c r="T86" s="32">
        <v>52.683710000000005</v>
      </c>
      <c r="U86" s="33">
        <v>43.623016</v>
      </c>
      <c r="V86" s="31">
        <f t="shared" si="10"/>
        <v>37.167682249999999</v>
      </c>
      <c r="W86" s="32">
        <v>24.613250000000001</v>
      </c>
      <c r="X86" s="32">
        <v>33.105699999999999</v>
      </c>
      <c r="Y86" s="32">
        <v>50.455950000000001</v>
      </c>
      <c r="Z86" s="33">
        <v>40.495829000000001</v>
      </c>
      <c r="AA86" s="31">
        <f t="shared" si="11"/>
        <v>8.3320129999999999</v>
      </c>
      <c r="AB86" s="32">
        <v>9.7993970000000008</v>
      </c>
      <c r="AC86" s="33">
        <v>6.8646289999999999</v>
      </c>
      <c r="AD86" s="31">
        <f t="shared" si="12"/>
        <v>7.0536050000000001</v>
      </c>
      <c r="AE86" s="32">
        <v>4.747363</v>
      </c>
      <c r="AF86" s="32">
        <v>5.2898490000000002</v>
      </c>
      <c r="AG86" s="32">
        <v>7.7490600000000001</v>
      </c>
      <c r="AH86" s="33">
        <v>10.428148</v>
      </c>
      <c r="AI86" s="31">
        <f t="shared" si="13"/>
        <v>14.72063499999998</v>
      </c>
      <c r="AJ86" s="32">
        <v>20.164599999999986</v>
      </c>
      <c r="AK86" s="32">
        <v>13.25698999999997</v>
      </c>
      <c r="AL86" s="32">
        <v>15.772789999999972</v>
      </c>
      <c r="AM86" s="34">
        <v>9.6881599999999963</v>
      </c>
    </row>
    <row r="87" spans="1:39" x14ac:dyDescent="0.3">
      <c r="A87" s="24" t="s">
        <v>271</v>
      </c>
      <c r="B87" s="25" t="s">
        <v>17</v>
      </c>
      <c r="C87" s="25" t="s">
        <v>43</v>
      </c>
      <c r="D87" s="25" t="s">
        <v>6</v>
      </c>
      <c r="E87" s="26" t="s">
        <v>153</v>
      </c>
      <c r="F87" s="27">
        <v>9</v>
      </c>
      <c r="G87" s="28">
        <f t="shared" si="7"/>
        <v>4</v>
      </c>
      <c r="H87" s="29">
        <v>3</v>
      </c>
      <c r="I87" s="29">
        <v>4</v>
      </c>
      <c r="J87" s="29">
        <v>5</v>
      </c>
      <c r="K87" s="30">
        <v>4</v>
      </c>
      <c r="L87" s="31">
        <f t="shared" si="8"/>
        <v>2.4457800000000001</v>
      </c>
      <c r="M87" s="32">
        <v>2.4600400000000002</v>
      </c>
      <c r="N87" s="32">
        <v>2.4210799999999999</v>
      </c>
      <c r="O87" s="32">
        <v>2.7618</v>
      </c>
      <c r="P87" s="33">
        <v>2.1402000000000001</v>
      </c>
      <c r="Q87" s="31">
        <f t="shared" si="9"/>
        <v>2.1957800000000001</v>
      </c>
      <c r="R87" s="32">
        <v>2.4600400000000002</v>
      </c>
      <c r="S87" s="32">
        <v>2.4210799999999999</v>
      </c>
      <c r="T87" s="32">
        <v>2.7618</v>
      </c>
      <c r="U87" s="33">
        <v>1.1402000000000001</v>
      </c>
      <c r="V87" s="31">
        <f t="shared" si="10"/>
        <v>0</v>
      </c>
      <c r="W87" s="32">
        <v>0</v>
      </c>
      <c r="X87" s="32">
        <v>0</v>
      </c>
      <c r="Y87" s="32">
        <v>0</v>
      </c>
      <c r="Z87" s="33">
        <v>0</v>
      </c>
      <c r="AA87" s="31">
        <f t="shared" si="11"/>
        <v>0</v>
      </c>
      <c r="AB87" s="32">
        <v>0</v>
      </c>
      <c r="AC87" s="33">
        <v>0</v>
      </c>
      <c r="AD87" s="31">
        <f t="shared" si="12"/>
        <v>0</v>
      </c>
      <c r="AE87" s="32">
        <v>0</v>
      </c>
      <c r="AF87" s="32">
        <v>0</v>
      </c>
      <c r="AG87" s="32">
        <v>0</v>
      </c>
      <c r="AH87" s="33">
        <v>0</v>
      </c>
      <c r="AI87" s="31">
        <f t="shared" si="13"/>
        <v>0.25</v>
      </c>
      <c r="AJ87" s="32">
        <v>0</v>
      </c>
      <c r="AK87" s="32">
        <v>0</v>
      </c>
      <c r="AL87" s="32">
        <v>0</v>
      </c>
      <c r="AM87" s="34">
        <v>1</v>
      </c>
    </row>
    <row r="88" spans="1:39" x14ac:dyDescent="0.3">
      <c r="A88" s="24" t="s">
        <v>271</v>
      </c>
      <c r="B88" s="25" t="s">
        <v>17</v>
      </c>
      <c r="C88" s="25" t="s">
        <v>43</v>
      </c>
      <c r="D88" s="25" t="s">
        <v>6</v>
      </c>
      <c r="E88" s="26" t="s">
        <v>119</v>
      </c>
      <c r="F88" s="27">
        <v>24</v>
      </c>
      <c r="G88" s="28">
        <f t="shared" si="7"/>
        <v>5.5</v>
      </c>
      <c r="H88" s="29">
        <v>6</v>
      </c>
      <c r="I88" s="29">
        <v>7</v>
      </c>
      <c r="J88" s="29">
        <v>4</v>
      </c>
      <c r="K88" s="30">
        <v>5</v>
      </c>
      <c r="L88" s="31">
        <f t="shared" si="8"/>
        <v>2.4551077500000003</v>
      </c>
      <c r="M88" s="32">
        <v>2.7148100000000004</v>
      </c>
      <c r="N88" s="32">
        <v>4.8299789999999998</v>
      </c>
      <c r="O88" s="32">
        <v>1.3325929999999999</v>
      </c>
      <c r="P88" s="33">
        <v>0.56346600000000002</v>
      </c>
      <c r="Q88" s="31">
        <f t="shared" si="9"/>
        <v>0.92410650000000016</v>
      </c>
      <c r="R88" s="32">
        <v>2.2256340000000003</v>
      </c>
      <c r="S88" s="32">
        <v>1.201392</v>
      </c>
      <c r="T88" s="32">
        <v>0</v>
      </c>
      <c r="U88" s="33">
        <v>0.26939999999999997</v>
      </c>
      <c r="V88" s="31">
        <f t="shared" si="10"/>
        <v>1.2027399999999999</v>
      </c>
      <c r="W88" s="32">
        <v>0.42292000000000002</v>
      </c>
      <c r="X88" s="32">
        <v>3.2420900000000001</v>
      </c>
      <c r="Y88" s="32">
        <v>1.14595</v>
      </c>
      <c r="Z88" s="33">
        <v>0</v>
      </c>
      <c r="AA88" s="31">
        <f t="shared" si="11"/>
        <v>0.1897915</v>
      </c>
      <c r="AB88" s="32">
        <v>6.6255999999999995E-2</v>
      </c>
      <c r="AC88" s="33">
        <v>0.31332700000000002</v>
      </c>
      <c r="AD88" s="31">
        <f t="shared" si="12"/>
        <v>0.13846975</v>
      </c>
      <c r="AE88" s="32">
        <v>0</v>
      </c>
      <c r="AF88" s="32">
        <v>7.3169999999999999E-2</v>
      </c>
      <c r="AG88" s="32">
        <v>0.186643</v>
      </c>
      <c r="AH88" s="33">
        <v>0.29406599999999999</v>
      </c>
      <c r="AI88" s="31">
        <f t="shared" si="13"/>
        <v>1.0408340855860843E-17</v>
      </c>
      <c r="AJ88" s="32">
        <v>4.163336342344337E-17</v>
      </c>
      <c r="AK88" s="32">
        <v>0</v>
      </c>
      <c r="AL88" s="32">
        <v>0</v>
      </c>
      <c r="AM88" s="34">
        <v>0</v>
      </c>
    </row>
    <row r="89" spans="1:39" x14ac:dyDescent="0.3">
      <c r="A89" s="24" t="s">
        <v>271</v>
      </c>
      <c r="B89" s="25" t="s">
        <v>17</v>
      </c>
      <c r="C89" s="25" t="s">
        <v>43</v>
      </c>
      <c r="D89" s="25" t="s">
        <v>6</v>
      </c>
      <c r="E89" s="26" t="s">
        <v>120</v>
      </c>
      <c r="F89" s="27">
        <v>5</v>
      </c>
      <c r="G89" s="28">
        <f t="shared" si="7"/>
        <v>0</v>
      </c>
      <c r="H89" s="29">
        <v>0</v>
      </c>
      <c r="I89" s="29">
        <v>0</v>
      </c>
      <c r="J89" s="29">
        <v>0</v>
      </c>
      <c r="K89" s="30">
        <v>0</v>
      </c>
      <c r="L89" s="31">
        <f t="shared" si="8"/>
        <v>0</v>
      </c>
      <c r="M89" s="32">
        <v>0</v>
      </c>
      <c r="N89" s="32">
        <v>0</v>
      </c>
      <c r="O89" s="32">
        <v>0</v>
      </c>
      <c r="P89" s="33">
        <v>0</v>
      </c>
      <c r="Q89" s="31">
        <f t="shared" si="9"/>
        <v>0</v>
      </c>
      <c r="R89" s="32">
        <v>0</v>
      </c>
      <c r="S89" s="32">
        <v>0</v>
      </c>
      <c r="T89" s="32">
        <v>0</v>
      </c>
      <c r="U89" s="33">
        <v>0</v>
      </c>
      <c r="V89" s="31">
        <f t="shared" si="10"/>
        <v>0</v>
      </c>
      <c r="W89" s="32">
        <v>0</v>
      </c>
      <c r="X89" s="32">
        <v>0</v>
      </c>
      <c r="Y89" s="32">
        <v>0</v>
      </c>
      <c r="Z89" s="33">
        <v>0</v>
      </c>
      <c r="AA89" s="31">
        <f t="shared" si="11"/>
        <v>0</v>
      </c>
      <c r="AB89" s="32">
        <v>0</v>
      </c>
      <c r="AC89" s="33">
        <v>0</v>
      </c>
      <c r="AD89" s="31">
        <f t="shared" si="12"/>
        <v>0</v>
      </c>
      <c r="AE89" s="32">
        <v>0</v>
      </c>
      <c r="AF89" s="32">
        <v>0</v>
      </c>
      <c r="AG89" s="32">
        <v>0</v>
      </c>
      <c r="AH89" s="33">
        <v>0</v>
      </c>
      <c r="AI89" s="31">
        <f t="shared" si="13"/>
        <v>0</v>
      </c>
      <c r="AJ89" s="32">
        <v>0</v>
      </c>
      <c r="AK89" s="32">
        <v>0</v>
      </c>
      <c r="AL89" s="32">
        <v>0</v>
      </c>
      <c r="AM89" s="34">
        <v>0</v>
      </c>
    </row>
    <row r="90" spans="1:39" x14ac:dyDescent="0.3">
      <c r="A90" s="24" t="s">
        <v>271</v>
      </c>
      <c r="B90" s="25" t="s">
        <v>32</v>
      </c>
      <c r="C90" s="25" t="s">
        <v>42</v>
      </c>
      <c r="D90" s="25" t="s">
        <v>16</v>
      </c>
      <c r="E90" s="26" t="s">
        <v>60</v>
      </c>
      <c r="F90" s="27">
        <v>89</v>
      </c>
      <c r="G90" s="28">
        <f t="shared" si="7"/>
        <v>185.5</v>
      </c>
      <c r="H90" s="29">
        <v>183</v>
      </c>
      <c r="I90" s="29">
        <v>218</v>
      </c>
      <c r="J90" s="29">
        <v>162</v>
      </c>
      <c r="K90" s="30">
        <v>179</v>
      </c>
      <c r="L90" s="31">
        <f t="shared" si="8"/>
        <v>84.643559499999995</v>
      </c>
      <c r="M90" s="32">
        <v>84.522800999999987</v>
      </c>
      <c r="N90" s="32">
        <v>93.385704999999987</v>
      </c>
      <c r="O90" s="32">
        <v>82.947233000000011</v>
      </c>
      <c r="P90" s="33">
        <v>63.960973999999993</v>
      </c>
      <c r="Q90" s="31">
        <f t="shared" si="9"/>
        <v>24.21660825</v>
      </c>
      <c r="R90" s="32">
        <v>21.629531999999998</v>
      </c>
      <c r="S90" s="32">
        <v>27.749907</v>
      </c>
      <c r="T90" s="32">
        <v>29.908576999999998</v>
      </c>
      <c r="U90" s="33">
        <v>17.578416999999998</v>
      </c>
      <c r="V90" s="31">
        <f t="shared" si="10"/>
        <v>27.235631250000004</v>
      </c>
      <c r="W90" s="32">
        <v>20.070204</v>
      </c>
      <c r="X90" s="32">
        <v>40.394912000000005</v>
      </c>
      <c r="Y90" s="32">
        <v>26.776419000000001</v>
      </c>
      <c r="Z90" s="33">
        <v>21.700990000000001</v>
      </c>
      <c r="AA90" s="31">
        <f t="shared" si="11"/>
        <v>6.8787625000000006</v>
      </c>
      <c r="AB90" s="32">
        <v>8.3851380000000013</v>
      </c>
      <c r="AC90" s="33">
        <v>5.3723869999999998</v>
      </c>
      <c r="AD90" s="31">
        <f t="shared" si="12"/>
        <v>6.9884824999999999</v>
      </c>
      <c r="AE90" s="32">
        <v>4.1116270000000004</v>
      </c>
      <c r="AF90" s="32">
        <v>6.2384990000000018</v>
      </c>
      <c r="AG90" s="32">
        <v>7.3122369999999997</v>
      </c>
      <c r="AH90" s="33">
        <v>10.291566999999999</v>
      </c>
      <c r="AI90" s="31">
        <f t="shared" si="13"/>
        <v>19.324074999999997</v>
      </c>
      <c r="AJ90" s="32">
        <v>30.326299999999989</v>
      </c>
      <c r="AK90" s="32">
        <v>13.629999999999988</v>
      </c>
      <c r="AL90" s="32">
        <v>18.950000000000017</v>
      </c>
      <c r="AM90" s="34">
        <v>14.389999999999992</v>
      </c>
    </row>
    <row r="91" spans="1:39" x14ac:dyDescent="0.3">
      <c r="A91" s="24" t="s">
        <v>271</v>
      </c>
      <c r="B91" s="25" t="s">
        <v>32</v>
      </c>
      <c r="C91" s="25" t="s">
        <v>42</v>
      </c>
      <c r="D91" s="25" t="s">
        <v>6</v>
      </c>
      <c r="E91" s="26" t="s">
        <v>199</v>
      </c>
      <c r="F91" s="27">
        <v>10</v>
      </c>
      <c r="G91" s="28">
        <f t="shared" si="7"/>
        <v>1</v>
      </c>
      <c r="H91" s="29">
        <v>0</v>
      </c>
      <c r="I91" s="29">
        <v>0</v>
      </c>
      <c r="J91" s="29">
        <v>0</v>
      </c>
      <c r="K91" s="30">
        <v>4</v>
      </c>
      <c r="L91" s="31">
        <f t="shared" si="8"/>
        <v>0.81564100000000006</v>
      </c>
      <c r="M91" s="32">
        <v>0</v>
      </c>
      <c r="N91" s="32">
        <v>0</v>
      </c>
      <c r="O91" s="32">
        <v>0</v>
      </c>
      <c r="P91" s="33">
        <v>3.2625640000000002</v>
      </c>
      <c r="Q91" s="31">
        <f t="shared" si="9"/>
        <v>0</v>
      </c>
      <c r="R91" s="32">
        <v>0</v>
      </c>
      <c r="S91" s="32">
        <v>0</v>
      </c>
      <c r="T91" s="32">
        <v>0</v>
      </c>
      <c r="U91" s="33">
        <v>0</v>
      </c>
      <c r="V91" s="31">
        <f t="shared" si="10"/>
        <v>0</v>
      </c>
      <c r="W91" s="32">
        <v>0</v>
      </c>
      <c r="X91" s="32">
        <v>0</v>
      </c>
      <c r="Y91" s="32">
        <v>0</v>
      </c>
      <c r="Z91" s="33">
        <v>0</v>
      </c>
      <c r="AA91" s="31">
        <f t="shared" si="11"/>
        <v>0</v>
      </c>
      <c r="AB91" s="32">
        <v>0</v>
      </c>
      <c r="AC91" s="33">
        <v>0</v>
      </c>
      <c r="AD91" s="31">
        <f t="shared" si="12"/>
        <v>6.5641000000000005E-2</v>
      </c>
      <c r="AE91" s="32">
        <v>0</v>
      </c>
      <c r="AF91" s="32">
        <v>0</v>
      </c>
      <c r="AG91" s="32">
        <v>0</v>
      </c>
      <c r="AH91" s="33">
        <v>0.26256400000000002</v>
      </c>
      <c r="AI91" s="31">
        <f t="shared" si="13"/>
        <v>0.75</v>
      </c>
      <c r="AJ91" s="32">
        <v>0</v>
      </c>
      <c r="AK91" s="32">
        <v>0</v>
      </c>
      <c r="AL91" s="32">
        <v>0</v>
      </c>
      <c r="AM91" s="34">
        <v>3</v>
      </c>
    </row>
    <row r="92" spans="1:39" x14ac:dyDescent="0.3">
      <c r="A92" s="24" t="s">
        <v>271</v>
      </c>
      <c r="B92" s="25" t="s">
        <v>32</v>
      </c>
      <c r="C92" s="25" t="s">
        <v>42</v>
      </c>
      <c r="D92" s="25" t="s">
        <v>6</v>
      </c>
      <c r="E92" s="26" t="s">
        <v>188</v>
      </c>
      <c r="F92" s="27">
        <v>12</v>
      </c>
      <c r="G92" s="28">
        <f t="shared" si="7"/>
        <v>3.5</v>
      </c>
      <c r="H92" s="29">
        <v>4</v>
      </c>
      <c r="I92" s="29">
        <v>6</v>
      </c>
      <c r="J92" s="29">
        <v>1</v>
      </c>
      <c r="K92" s="30">
        <v>3</v>
      </c>
      <c r="L92" s="31">
        <f t="shared" si="8"/>
        <v>1.5065592500000002</v>
      </c>
      <c r="M92" s="32">
        <v>1.865011</v>
      </c>
      <c r="N92" s="32">
        <v>2.8295680000000001</v>
      </c>
      <c r="O92" s="32">
        <v>0.13997399999999999</v>
      </c>
      <c r="P92" s="33">
        <v>1.141316</v>
      </c>
      <c r="Q92" s="31">
        <f t="shared" si="9"/>
        <v>1.21376675</v>
      </c>
      <c r="R92" s="32">
        <v>1.502893</v>
      </c>
      <c r="S92" s="32">
        <v>2.3261279999999998</v>
      </c>
      <c r="T92" s="32">
        <v>0</v>
      </c>
      <c r="U92" s="33">
        <v>1.026046</v>
      </c>
      <c r="V92" s="31">
        <f t="shared" si="10"/>
        <v>0.20379750000000002</v>
      </c>
      <c r="W92" s="32">
        <v>0.31175000000000003</v>
      </c>
      <c r="X92" s="32">
        <v>0.50344</v>
      </c>
      <c r="Y92" s="32">
        <v>0</v>
      </c>
      <c r="Z92" s="33">
        <v>0</v>
      </c>
      <c r="AA92" s="31">
        <f t="shared" si="11"/>
        <v>2.5184000000000002E-2</v>
      </c>
      <c r="AB92" s="32">
        <v>5.0368000000000003E-2</v>
      </c>
      <c r="AC92" s="33">
        <v>0</v>
      </c>
      <c r="AD92" s="31">
        <f t="shared" si="12"/>
        <v>6.3810999999999993E-2</v>
      </c>
      <c r="AE92" s="32">
        <v>0</v>
      </c>
      <c r="AF92" s="32">
        <v>0</v>
      </c>
      <c r="AG92" s="32">
        <v>0.13997399999999999</v>
      </c>
      <c r="AH92" s="33">
        <v>0.11527</v>
      </c>
      <c r="AI92" s="31">
        <f t="shared" si="13"/>
        <v>8.3266726846886741E-17</v>
      </c>
      <c r="AJ92" s="32">
        <v>0</v>
      </c>
      <c r="AK92" s="32">
        <v>3.3306690738754696E-16</v>
      </c>
      <c r="AL92" s="32">
        <v>0</v>
      </c>
      <c r="AM92" s="34">
        <v>0</v>
      </c>
    </row>
    <row r="93" spans="1:39" x14ac:dyDescent="0.3">
      <c r="A93" s="24" t="s">
        <v>271</v>
      </c>
      <c r="B93" s="25" t="s">
        <v>32</v>
      </c>
      <c r="C93" s="25" t="s">
        <v>42</v>
      </c>
      <c r="D93" s="25" t="s">
        <v>6</v>
      </c>
      <c r="E93" s="26" t="s">
        <v>160</v>
      </c>
      <c r="F93" s="27">
        <v>8</v>
      </c>
      <c r="G93" s="28">
        <f t="shared" si="7"/>
        <v>3.75</v>
      </c>
      <c r="H93" s="29">
        <v>8</v>
      </c>
      <c r="I93" s="29">
        <v>4</v>
      </c>
      <c r="J93" s="29">
        <v>1</v>
      </c>
      <c r="K93" s="30">
        <v>2</v>
      </c>
      <c r="L93" s="31">
        <f t="shared" si="8"/>
        <v>1.8158732500000001</v>
      </c>
      <c r="M93" s="32">
        <v>4.9882229999999996</v>
      </c>
      <c r="N93" s="32">
        <v>1.03447</v>
      </c>
      <c r="O93" s="32">
        <v>0.30935000000000001</v>
      </c>
      <c r="P93" s="33">
        <v>0.93145</v>
      </c>
      <c r="Q93" s="31">
        <f t="shared" si="9"/>
        <v>0.73200200000000004</v>
      </c>
      <c r="R93" s="32">
        <v>1.807928</v>
      </c>
      <c r="S93" s="32">
        <v>0.30602000000000001</v>
      </c>
      <c r="T93" s="32">
        <v>0.30935000000000001</v>
      </c>
      <c r="U93" s="33">
        <v>0.50470999999999999</v>
      </c>
      <c r="V93" s="31">
        <f t="shared" si="10"/>
        <v>0.94567625</v>
      </c>
      <c r="W93" s="32">
        <v>3.1802950000000001</v>
      </c>
      <c r="X93" s="32">
        <v>0.60241</v>
      </c>
      <c r="Y93" s="32">
        <v>0</v>
      </c>
      <c r="Z93" s="33">
        <v>0</v>
      </c>
      <c r="AA93" s="31">
        <f t="shared" si="11"/>
        <v>0</v>
      </c>
      <c r="AB93" s="32">
        <v>0</v>
      </c>
      <c r="AC93" s="33">
        <v>0</v>
      </c>
      <c r="AD93" s="31">
        <f t="shared" si="12"/>
        <v>0.13819500000000001</v>
      </c>
      <c r="AE93" s="32">
        <v>0</v>
      </c>
      <c r="AF93" s="32">
        <v>0.12604000000000001</v>
      </c>
      <c r="AG93" s="32">
        <v>0</v>
      </c>
      <c r="AH93" s="33">
        <v>0.42674000000000001</v>
      </c>
      <c r="AI93" s="31">
        <f t="shared" si="13"/>
        <v>0</v>
      </c>
      <c r="AJ93" s="32">
        <v>0</v>
      </c>
      <c r="AK93" s="32">
        <v>0</v>
      </c>
      <c r="AL93" s="32">
        <v>0</v>
      </c>
      <c r="AM93" s="34">
        <v>0</v>
      </c>
    </row>
    <row r="94" spans="1:39" x14ac:dyDescent="0.3">
      <c r="A94" s="24" t="s">
        <v>271</v>
      </c>
      <c r="B94" s="25" t="s">
        <v>27</v>
      </c>
      <c r="C94" s="25" t="s">
        <v>52</v>
      </c>
      <c r="D94" s="25" t="s">
        <v>6</v>
      </c>
      <c r="E94" s="26" t="s">
        <v>100</v>
      </c>
      <c r="F94" s="27">
        <v>143</v>
      </c>
      <c r="G94" s="28">
        <f t="shared" si="7"/>
        <v>123.5</v>
      </c>
      <c r="H94" s="29">
        <v>81</v>
      </c>
      <c r="I94" s="29">
        <v>149</v>
      </c>
      <c r="J94" s="29">
        <v>133</v>
      </c>
      <c r="K94" s="30">
        <v>131</v>
      </c>
      <c r="L94" s="31">
        <f t="shared" si="8"/>
        <v>88.747218250000003</v>
      </c>
      <c r="M94" s="32">
        <v>51.047607999999997</v>
      </c>
      <c r="N94" s="32">
        <v>103.81398299999998</v>
      </c>
      <c r="O94" s="32">
        <v>100.34467800000002</v>
      </c>
      <c r="P94" s="33">
        <v>91.486334999999997</v>
      </c>
      <c r="Q94" s="31">
        <f t="shared" si="9"/>
        <v>19.5809885</v>
      </c>
      <c r="R94" s="32">
        <v>14.373760000000001</v>
      </c>
      <c r="S94" s="32">
        <v>18.213857999999998</v>
      </c>
      <c r="T94" s="32">
        <v>27.438267</v>
      </c>
      <c r="U94" s="33">
        <v>18.298069000000002</v>
      </c>
      <c r="V94" s="31">
        <f t="shared" si="10"/>
        <v>49.078548000000012</v>
      </c>
      <c r="W94" s="32">
        <v>17.849230000000002</v>
      </c>
      <c r="X94" s="32">
        <v>68.604791000000006</v>
      </c>
      <c r="Y94" s="32">
        <v>55.276380000000003</v>
      </c>
      <c r="Z94" s="33">
        <v>54.583791000000005</v>
      </c>
      <c r="AA94" s="31">
        <f t="shared" si="11"/>
        <v>4.1481344999999994</v>
      </c>
      <c r="AB94" s="32">
        <v>4.9781789999999999</v>
      </c>
      <c r="AC94" s="33">
        <v>3.3180899999999998</v>
      </c>
      <c r="AD94" s="31">
        <f t="shared" si="12"/>
        <v>4.04318475</v>
      </c>
      <c r="AE94" s="32">
        <v>1.1757789999999999</v>
      </c>
      <c r="AF94" s="32">
        <v>1.941014</v>
      </c>
      <c r="AG94" s="32">
        <v>5.2366609999999998</v>
      </c>
      <c r="AH94" s="33">
        <v>7.8192849999999998</v>
      </c>
      <c r="AI94" s="31">
        <f t="shared" si="13"/>
        <v>11.896362499999993</v>
      </c>
      <c r="AJ94" s="32">
        <v>12.670659999999989</v>
      </c>
      <c r="AK94" s="32">
        <v>11.736229999999971</v>
      </c>
      <c r="AL94" s="32">
        <v>12.393370000000017</v>
      </c>
      <c r="AM94" s="34">
        <v>10.785189999999993</v>
      </c>
    </row>
    <row r="95" spans="1:39" x14ac:dyDescent="0.3">
      <c r="A95" s="24" t="s">
        <v>271</v>
      </c>
      <c r="B95" s="25" t="s">
        <v>27</v>
      </c>
      <c r="C95" s="25" t="s">
        <v>52</v>
      </c>
      <c r="D95" s="25" t="s">
        <v>6</v>
      </c>
      <c r="E95" s="26" t="s">
        <v>149</v>
      </c>
      <c r="F95" s="27">
        <v>7</v>
      </c>
      <c r="G95" s="28">
        <f t="shared" si="7"/>
        <v>3.75</v>
      </c>
      <c r="H95" s="29">
        <v>3</v>
      </c>
      <c r="I95" s="29">
        <v>1</v>
      </c>
      <c r="J95" s="29">
        <v>5</v>
      </c>
      <c r="K95" s="30">
        <v>6</v>
      </c>
      <c r="L95" s="31">
        <f t="shared" si="8"/>
        <v>1.6715250000000001</v>
      </c>
      <c r="M95" s="32">
        <v>0.58579300000000001</v>
      </c>
      <c r="N95" s="32">
        <v>0.303587</v>
      </c>
      <c r="O95" s="32">
        <v>2.6288079999999998</v>
      </c>
      <c r="P95" s="33">
        <v>3.1679120000000003</v>
      </c>
      <c r="Q95" s="31">
        <f t="shared" si="9"/>
        <v>1.1871100000000001</v>
      </c>
      <c r="R95" s="32">
        <v>0.39219999999999999</v>
      </c>
      <c r="S95" s="32">
        <v>0</v>
      </c>
      <c r="T95" s="32">
        <v>1.827045</v>
      </c>
      <c r="U95" s="33">
        <v>2.5291950000000001</v>
      </c>
      <c r="V95" s="31">
        <f t="shared" si="10"/>
        <v>0.33262749999999996</v>
      </c>
      <c r="W95" s="32">
        <v>0</v>
      </c>
      <c r="X95" s="32">
        <v>0</v>
      </c>
      <c r="Y95" s="32">
        <v>0.72300299999999995</v>
      </c>
      <c r="Z95" s="33">
        <v>0.60750700000000002</v>
      </c>
      <c r="AA95" s="31">
        <f t="shared" si="11"/>
        <v>0</v>
      </c>
      <c r="AB95" s="32">
        <v>0</v>
      </c>
      <c r="AC95" s="33">
        <v>0</v>
      </c>
      <c r="AD95" s="31">
        <f t="shared" si="12"/>
        <v>0.15178749999999996</v>
      </c>
      <c r="AE95" s="32">
        <v>0.19359299999999999</v>
      </c>
      <c r="AF95" s="32">
        <v>0.303587</v>
      </c>
      <c r="AG95" s="32">
        <v>7.8759999999999997E-2</v>
      </c>
      <c r="AH95" s="33">
        <v>3.1210000000000002E-2</v>
      </c>
      <c r="AI95" s="31">
        <f t="shared" si="13"/>
        <v>4.5102810375396984E-17</v>
      </c>
      <c r="AJ95" s="32">
        <v>0</v>
      </c>
      <c r="AK95" s="32">
        <v>0</v>
      </c>
      <c r="AL95" s="32">
        <v>0</v>
      </c>
      <c r="AM95" s="34">
        <v>1.8041124150158794E-16</v>
      </c>
    </row>
    <row r="96" spans="1:39" x14ac:dyDescent="0.3">
      <c r="A96" s="24" t="s">
        <v>271</v>
      </c>
      <c r="B96" s="25" t="s">
        <v>27</v>
      </c>
      <c r="C96" s="25" t="s">
        <v>52</v>
      </c>
      <c r="D96" s="25" t="s">
        <v>6</v>
      </c>
      <c r="E96" s="26" t="s">
        <v>215</v>
      </c>
      <c r="F96" s="27">
        <v>14</v>
      </c>
      <c r="G96" s="28">
        <f t="shared" si="7"/>
        <v>0.5</v>
      </c>
      <c r="H96" s="29">
        <v>1</v>
      </c>
      <c r="I96" s="29">
        <v>0</v>
      </c>
      <c r="J96" s="29">
        <v>0</v>
      </c>
      <c r="K96" s="30">
        <v>1</v>
      </c>
      <c r="L96" s="31">
        <f t="shared" si="8"/>
        <v>4.4867749999999998E-2</v>
      </c>
      <c r="M96" s="32">
        <v>6.1463999999999998E-2</v>
      </c>
      <c r="N96" s="32">
        <v>0</v>
      </c>
      <c r="O96" s="32">
        <v>0</v>
      </c>
      <c r="P96" s="33">
        <v>5.6543000000000003E-2</v>
      </c>
      <c r="Q96" s="31">
        <f t="shared" si="9"/>
        <v>0</v>
      </c>
      <c r="R96" s="32">
        <v>0</v>
      </c>
      <c r="S96" s="32">
        <v>0</v>
      </c>
      <c r="T96" s="32">
        <v>0</v>
      </c>
      <c r="U96" s="33">
        <v>0</v>
      </c>
      <c r="V96" s="31">
        <f t="shared" si="10"/>
        <v>0</v>
      </c>
      <c r="W96" s="32">
        <v>0</v>
      </c>
      <c r="X96" s="32">
        <v>0</v>
      </c>
      <c r="Y96" s="32">
        <v>0</v>
      </c>
      <c r="Z96" s="33">
        <v>0</v>
      </c>
      <c r="AA96" s="31">
        <f t="shared" si="11"/>
        <v>3.0731999999999999E-2</v>
      </c>
      <c r="AB96" s="32">
        <v>6.1463999999999998E-2</v>
      </c>
      <c r="AC96" s="33">
        <v>0</v>
      </c>
      <c r="AD96" s="31">
        <f t="shared" si="12"/>
        <v>1.4135750000000001E-2</v>
      </c>
      <c r="AE96" s="32">
        <v>0</v>
      </c>
      <c r="AF96" s="32">
        <v>0</v>
      </c>
      <c r="AG96" s="32">
        <v>0</v>
      </c>
      <c r="AH96" s="33">
        <v>5.6543000000000003E-2</v>
      </c>
      <c r="AI96" s="31">
        <f t="shared" si="13"/>
        <v>0</v>
      </c>
      <c r="AJ96" s="32">
        <v>0</v>
      </c>
      <c r="AK96" s="32">
        <v>0</v>
      </c>
      <c r="AL96" s="32">
        <v>0</v>
      </c>
      <c r="AM96" s="34">
        <v>0</v>
      </c>
    </row>
    <row r="97" spans="1:39" x14ac:dyDescent="0.3">
      <c r="A97" s="24" t="s">
        <v>271</v>
      </c>
      <c r="B97" s="25" t="s">
        <v>27</v>
      </c>
      <c r="C97" s="25" t="s">
        <v>52</v>
      </c>
      <c r="D97" s="25" t="s">
        <v>6</v>
      </c>
      <c r="E97" s="26" t="s">
        <v>152</v>
      </c>
      <c r="F97" s="27">
        <v>43</v>
      </c>
      <c r="G97" s="28">
        <f t="shared" si="7"/>
        <v>12.5</v>
      </c>
      <c r="H97" s="29">
        <v>11</v>
      </c>
      <c r="I97" s="29">
        <v>9</v>
      </c>
      <c r="J97" s="29">
        <v>11</v>
      </c>
      <c r="K97" s="30">
        <v>19</v>
      </c>
      <c r="L97" s="31">
        <f t="shared" si="8"/>
        <v>7.9545619999999992</v>
      </c>
      <c r="M97" s="32">
        <v>3.7479939999999994</v>
      </c>
      <c r="N97" s="32">
        <v>5.3276269999999997</v>
      </c>
      <c r="O97" s="32">
        <v>8.1511309999999995</v>
      </c>
      <c r="P97" s="33">
        <v>12.927406</v>
      </c>
      <c r="Q97" s="31">
        <f t="shared" si="9"/>
        <v>5.5985434999999999</v>
      </c>
      <c r="R97" s="32">
        <v>1.507692</v>
      </c>
      <c r="S97" s="32">
        <v>4.227379</v>
      </c>
      <c r="T97" s="32">
        <v>7.342363999999999</v>
      </c>
      <c r="U97" s="33">
        <v>9.3167390000000001</v>
      </c>
      <c r="V97" s="31">
        <f t="shared" si="10"/>
        <v>0.7233750000000001</v>
      </c>
      <c r="W97" s="32">
        <v>0.30840000000000001</v>
      </c>
      <c r="X97" s="32">
        <v>0.24739</v>
      </c>
      <c r="Y97" s="32">
        <v>0</v>
      </c>
      <c r="Z97" s="33">
        <v>2.3377100000000004</v>
      </c>
      <c r="AA97" s="31">
        <f t="shared" si="11"/>
        <v>0.83204500000000003</v>
      </c>
      <c r="AB97" s="32">
        <v>1.4559070000000001</v>
      </c>
      <c r="AC97" s="33">
        <v>0.20818300000000001</v>
      </c>
      <c r="AD97" s="31">
        <f t="shared" si="12"/>
        <v>0.72316849999999999</v>
      </c>
      <c r="AE97" s="32">
        <v>0.16627500000000001</v>
      </c>
      <c r="AF97" s="32">
        <v>0.64467500000000011</v>
      </c>
      <c r="AG97" s="32">
        <v>0.80876700000000001</v>
      </c>
      <c r="AH97" s="33">
        <v>1.2729569999999999</v>
      </c>
      <c r="AI97" s="31">
        <f t="shared" si="13"/>
        <v>7.7429999999999818E-2</v>
      </c>
      <c r="AJ97" s="32">
        <v>0.30971999999999927</v>
      </c>
      <c r="AK97" s="32">
        <v>0</v>
      </c>
      <c r="AL97" s="32">
        <v>0</v>
      </c>
      <c r="AM97" s="34">
        <v>0</v>
      </c>
    </row>
    <row r="98" spans="1:39" x14ac:dyDescent="0.3">
      <c r="A98" s="24" t="s">
        <v>271</v>
      </c>
      <c r="B98" s="25" t="s">
        <v>27</v>
      </c>
      <c r="C98" s="25" t="s">
        <v>52</v>
      </c>
      <c r="D98" s="25" t="s">
        <v>6</v>
      </c>
      <c r="E98" s="26" t="s">
        <v>91</v>
      </c>
      <c r="F98" s="27">
        <v>39</v>
      </c>
      <c r="G98" s="28">
        <f t="shared" si="7"/>
        <v>10.5</v>
      </c>
      <c r="H98" s="29">
        <v>5</v>
      </c>
      <c r="I98" s="29">
        <v>9</v>
      </c>
      <c r="J98" s="29">
        <v>7</v>
      </c>
      <c r="K98" s="30">
        <v>21</v>
      </c>
      <c r="L98" s="31">
        <f t="shared" si="8"/>
        <v>5.7380719999999998</v>
      </c>
      <c r="M98" s="32">
        <v>2.0613289999999997</v>
      </c>
      <c r="N98" s="32">
        <v>2.7946460000000002</v>
      </c>
      <c r="O98" s="32">
        <v>7.1773669999999994</v>
      </c>
      <c r="P98" s="33">
        <v>9.5993780000000015</v>
      </c>
      <c r="Q98" s="31">
        <f t="shared" si="9"/>
        <v>2.234648</v>
      </c>
      <c r="R98" s="32">
        <v>1.8188219999999999</v>
      </c>
      <c r="S98" s="32">
        <v>1.6024370000000001</v>
      </c>
      <c r="T98" s="32">
        <v>2.0050809999999997</v>
      </c>
      <c r="U98" s="33">
        <v>3.5122520000000002</v>
      </c>
      <c r="V98" s="31">
        <f t="shared" si="10"/>
        <v>2.4651695</v>
      </c>
      <c r="W98" s="32">
        <v>0</v>
      </c>
      <c r="X98" s="32">
        <v>0</v>
      </c>
      <c r="Y98" s="32">
        <v>4.6467179999999999</v>
      </c>
      <c r="Z98" s="33">
        <v>5.2139600000000002</v>
      </c>
      <c r="AA98" s="31">
        <f t="shared" si="11"/>
        <v>0.65978400000000004</v>
      </c>
      <c r="AB98" s="32">
        <v>0.24250700000000003</v>
      </c>
      <c r="AC98" s="33">
        <v>1.077061</v>
      </c>
      <c r="AD98" s="31">
        <f t="shared" si="12"/>
        <v>0.37847050000000004</v>
      </c>
      <c r="AE98" s="32">
        <v>0</v>
      </c>
      <c r="AF98" s="32">
        <v>0.115148</v>
      </c>
      <c r="AG98" s="32">
        <v>0.52556800000000004</v>
      </c>
      <c r="AH98" s="33">
        <v>0.873166</v>
      </c>
      <c r="AI98" s="31">
        <f t="shared" si="13"/>
        <v>3.0531133177191805E-16</v>
      </c>
      <c r="AJ98" s="32">
        <v>0</v>
      </c>
      <c r="AK98" s="32">
        <v>0</v>
      </c>
      <c r="AL98" s="32">
        <v>0</v>
      </c>
      <c r="AM98" s="34">
        <v>1.2212453270876722E-15</v>
      </c>
    </row>
    <row r="99" spans="1:39" x14ac:dyDescent="0.3">
      <c r="A99" s="24" t="s">
        <v>271</v>
      </c>
      <c r="B99" s="25" t="s">
        <v>27</v>
      </c>
      <c r="C99" s="25" t="s">
        <v>52</v>
      </c>
      <c r="D99" s="25" t="s">
        <v>6</v>
      </c>
      <c r="E99" s="26" t="s">
        <v>117</v>
      </c>
      <c r="F99" s="27">
        <v>33</v>
      </c>
      <c r="G99" s="28">
        <f t="shared" si="7"/>
        <v>39</v>
      </c>
      <c r="H99" s="29">
        <v>43</v>
      </c>
      <c r="I99" s="29">
        <v>37</v>
      </c>
      <c r="J99" s="29">
        <v>32</v>
      </c>
      <c r="K99" s="30">
        <v>44</v>
      </c>
      <c r="L99" s="31">
        <f t="shared" si="8"/>
        <v>14.502776000000001</v>
      </c>
      <c r="M99" s="32">
        <v>14.053614999999999</v>
      </c>
      <c r="N99" s="32">
        <v>11.880911999999999</v>
      </c>
      <c r="O99" s="32">
        <v>10.270063</v>
      </c>
      <c r="P99" s="33">
        <v>15.409844000000001</v>
      </c>
      <c r="Q99" s="31">
        <f t="shared" si="9"/>
        <v>1.691754</v>
      </c>
      <c r="R99" s="32">
        <v>2.69841</v>
      </c>
      <c r="S99" s="32">
        <v>0.59199999999999997</v>
      </c>
      <c r="T99" s="32">
        <v>1.8471449999999998</v>
      </c>
      <c r="U99" s="33">
        <v>1.629461</v>
      </c>
      <c r="V99" s="31">
        <f t="shared" si="10"/>
        <v>2.9423000000000004</v>
      </c>
      <c r="W99" s="32">
        <v>4.1920299999999999</v>
      </c>
      <c r="X99" s="32">
        <v>5.0316600000000005</v>
      </c>
      <c r="Y99" s="32">
        <v>2.1345100000000001</v>
      </c>
      <c r="Z99" s="33">
        <v>0.41099999999999998</v>
      </c>
      <c r="AA99" s="31">
        <f t="shared" si="11"/>
        <v>3.1983350000000002</v>
      </c>
      <c r="AB99" s="32">
        <v>3.4288780000000001</v>
      </c>
      <c r="AC99" s="33">
        <v>2.9677920000000002</v>
      </c>
      <c r="AD99" s="31">
        <f t="shared" si="12"/>
        <v>3.1453870000000004</v>
      </c>
      <c r="AE99" s="32">
        <v>1.8342969999999998</v>
      </c>
      <c r="AF99" s="32">
        <v>0.98946000000000001</v>
      </c>
      <c r="AG99" s="32">
        <v>4.7884080000000004</v>
      </c>
      <c r="AH99" s="33">
        <v>4.9693830000000005</v>
      </c>
      <c r="AI99" s="31">
        <f t="shared" si="13"/>
        <v>3.524999999999999</v>
      </c>
      <c r="AJ99" s="32">
        <v>1.8999999999999981</v>
      </c>
      <c r="AK99" s="32">
        <v>2.2999999999999972</v>
      </c>
      <c r="AL99" s="32">
        <v>1.5</v>
      </c>
      <c r="AM99" s="34">
        <v>8.4</v>
      </c>
    </row>
    <row r="100" spans="1:39" x14ac:dyDescent="0.3">
      <c r="A100" s="24" t="s">
        <v>271</v>
      </c>
      <c r="B100" s="25" t="s">
        <v>267</v>
      </c>
      <c r="C100" s="25" t="s">
        <v>267</v>
      </c>
      <c r="D100" s="25" t="s">
        <v>16</v>
      </c>
      <c r="E100" s="26" t="s">
        <v>113</v>
      </c>
      <c r="F100" s="27">
        <v>45</v>
      </c>
      <c r="G100" s="28">
        <f t="shared" si="7"/>
        <v>11</v>
      </c>
      <c r="H100" s="29">
        <v>14</v>
      </c>
      <c r="I100" s="29">
        <v>10</v>
      </c>
      <c r="J100" s="29">
        <v>11</v>
      </c>
      <c r="K100" s="30">
        <v>9</v>
      </c>
      <c r="L100" s="31">
        <f t="shared" si="8"/>
        <v>5.32643925</v>
      </c>
      <c r="M100" s="32">
        <v>4.4280989999999996</v>
      </c>
      <c r="N100" s="32">
        <v>4.3573490000000001</v>
      </c>
      <c r="O100" s="32">
        <v>5.7519899999999993</v>
      </c>
      <c r="P100" s="33">
        <v>6.4401809999999999</v>
      </c>
      <c r="Q100" s="31">
        <f t="shared" si="9"/>
        <v>2.5259217500000002</v>
      </c>
      <c r="R100" s="32">
        <v>0.50246999999999997</v>
      </c>
      <c r="S100" s="32">
        <v>0</v>
      </c>
      <c r="T100" s="32">
        <v>3.9972019999999997</v>
      </c>
      <c r="U100" s="33">
        <v>5.6040150000000004</v>
      </c>
      <c r="V100" s="31">
        <f t="shared" si="10"/>
        <v>2.2078699999999998</v>
      </c>
      <c r="W100" s="32">
        <v>3.2349299999999999</v>
      </c>
      <c r="X100" s="32">
        <v>3.8813900000000001</v>
      </c>
      <c r="Y100" s="32">
        <v>1.46492</v>
      </c>
      <c r="Z100" s="33">
        <v>0.25024000000000002</v>
      </c>
      <c r="AA100" s="31">
        <f t="shared" si="11"/>
        <v>0.16406900000000002</v>
      </c>
      <c r="AB100" s="32">
        <v>0.19181500000000001</v>
      </c>
      <c r="AC100" s="33">
        <v>0.136323</v>
      </c>
      <c r="AD100" s="31">
        <f t="shared" si="12"/>
        <v>0.42857849999999997</v>
      </c>
      <c r="AE100" s="32">
        <v>0.49888399999999999</v>
      </c>
      <c r="AF100" s="32">
        <v>0.33963599999999999</v>
      </c>
      <c r="AG100" s="32">
        <v>0.28986800000000001</v>
      </c>
      <c r="AH100" s="33">
        <v>0.58592600000000006</v>
      </c>
      <c r="AI100" s="31">
        <f t="shared" si="13"/>
        <v>0</v>
      </c>
      <c r="AJ100" s="32">
        <v>0</v>
      </c>
      <c r="AK100" s="32">
        <v>0</v>
      </c>
      <c r="AL100" s="32">
        <v>0</v>
      </c>
      <c r="AM100" s="34">
        <v>0</v>
      </c>
    </row>
    <row r="101" spans="1:39" x14ac:dyDescent="0.3">
      <c r="A101" s="24" t="s">
        <v>271</v>
      </c>
      <c r="B101" s="25" t="s">
        <v>267</v>
      </c>
      <c r="C101" s="25" t="s">
        <v>267</v>
      </c>
      <c r="D101" s="25" t="s">
        <v>16</v>
      </c>
      <c r="E101" s="26" t="s">
        <v>98</v>
      </c>
      <c r="F101" s="27">
        <v>101</v>
      </c>
      <c r="G101" s="28">
        <f t="shared" si="7"/>
        <v>114.75</v>
      </c>
      <c r="H101" s="29">
        <v>124</v>
      </c>
      <c r="I101" s="29">
        <v>119</v>
      </c>
      <c r="J101" s="29">
        <v>119</v>
      </c>
      <c r="K101" s="30">
        <v>97</v>
      </c>
      <c r="L101" s="31">
        <f t="shared" si="8"/>
        <v>61.648815499999998</v>
      </c>
      <c r="M101" s="32">
        <v>77.892187000000007</v>
      </c>
      <c r="N101" s="32">
        <v>53.636249000000014</v>
      </c>
      <c r="O101" s="32">
        <v>59.203815999999982</v>
      </c>
      <c r="P101" s="33">
        <v>41.568925999999998</v>
      </c>
      <c r="Q101" s="31">
        <f t="shared" si="9"/>
        <v>21.305007</v>
      </c>
      <c r="R101" s="32">
        <v>32.143781000000004</v>
      </c>
      <c r="S101" s="32">
        <v>13.563806999999999</v>
      </c>
      <c r="T101" s="32">
        <v>27.291907999999996</v>
      </c>
      <c r="U101" s="33">
        <v>12.220532</v>
      </c>
      <c r="V101" s="31">
        <f t="shared" si="10"/>
        <v>22.089057499999999</v>
      </c>
      <c r="W101" s="32">
        <v>28.932814000000004</v>
      </c>
      <c r="X101" s="32">
        <v>25.818187999999999</v>
      </c>
      <c r="Y101" s="32">
        <v>17.236617999999996</v>
      </c>
      <c r="Z101" s="33">
        <v>16.36861</v>
      </c>
      <c r="AA101" s="31">
        <f t="shared" si="11"/>
        <v>7.1470420000000008</v>
      </c>
      <c r="AB101" s="32">
        <v>7.5496180000000006</v>
      </c>
      <c r="AC101" s="33">
        <v>6.7444660000000001</v>
      </c>
      <c r="AD101" s="31">
        <f t="shared" si="12"/>
        <v>6.7563265000000001</v>
      </c>
      <c r="AE101" s="32">
        <v>2.8659740000000005</v>
      </c>
      <c r="AF101" s="32">
        <v>3.2597879999999999</v>
      </c>
      <c r="AG101" s="32">
        <v>9.7697600000000016</v>
      </c>
      <c r="AH101" s="33">
        <v>11.129784000000001</v>
      </c>
      <c r="AI101" s="31">
        <f t="shared" si="13"/>
        <v>4.3513825000000006</v>
      </c>
      <c r="AJ101" s="32">
        <v>6.3999999999999977</v>
      </c>
      <c r="AK101" s="32">
        <v>4.2500000000000178</v>
      </c>
      <c r="AL101" s="32">
        <v>4.9055299999999882</v>
      </c>
      <c r="AM101" s="34">
        <v>1.8499999999999979</v>
      </c>
    </row>
    <row r="102" spans="1:39" x14ac:dyDescent="0.3">
      <c r="A102" s="24" t="s">
        <v>271</v>
      </c>
      <c r="B102" s="25" t="s">
        <v>267</v>
      </c>
      <c r="C102" s="25" t="s">
        <v>267</v>
      </c>
      <c r="D102" s="25" t="s">
        <v>16</v>
      </c>
      <c r="E102" s="26" t="s">
        <v>97</v>
      </c>
      <c r="F102" s="27">
        <v>23</v>
      </c>
      <c r="G102" s="28">
        <f t="shared" si="7"/>
        <v>4.25</v>
      </c>
      <c r="H102" s="29">
        <v>2</v>
      </c>
      <c r="I102" s="29">
        <v>1</v>
      </c>
      <c r="J102" s="29">
        <v>7</v>
      </c>
      <c r="K102" s="30">
        <v>7</v>
      </c>
      <c r="L102" s="31">
        <f t="shared" si="8"/>
        <v>1.4377365</v>
      </c>
      <c r="M102" s="32">
        <v>1.244122</v>
      </c>
      <c r="N102" s="32">
        <v>0.496</v>
      </c>
      <c r="O102" s="32">
        <v>2.1147679999999998</v>
      </c>
      <c r="P102" s="33">
        <v>1.785069</v>
      </c>
      <c r="Q102" s="31">
        <f t="shared" si="9"/>
        <v>0.65034800000000004</v>
      </c>
      <c r="R102" s="32">
        <v>1.000075</v>
      </c>
      <c r="S102" s="32">
        <v>0.29599999999999999</v>
      </c>
      <c r="T102" s="32">
        <v>0.80497700000000005</v>
      </c>
      <c r="U102" s="33">
        <v>0.50034000000000001</v>
      </c>
      <c r="V102" s="31">
        <f t="shared" si="10"/>
        <v>0</v>
      </c>
      <c r="W102" s="32">
        <v>0</v>
      </c>
      <c r="X102" s="32">
        <v>0</v>
      </c>
      <c r="Y102" s="32">
        <v>0</v>
      </c>
      <c r="Z102" s="33">
        <v>0</v>
      </c>
      <c r="AA102" s="31">
        <f t="shared" si="11"/>
        <v>5.5493500000000001E-2</v>
      </c>
      <c r="AB102" s="32">
        <v>0.110987</v>
      </c>
      <c r="AC102" s="33">
        <v>0</v>
      </c>
      <c r="AD102" s="31">
        <f t="shared" si="12"/>
        <v>0.68189499999999992</v>
      </c>
      <c r="AE102" s="32">
        <v>0.13306000000000001</v>
      </c>
      <c r="AF102" s="32">
        <v>0</v>
      </c>
      <c r="AG102" s="32">
        <v>1.3097909999999999</v>
      </c>
      <c r="AH102" s="33">
        <v>1.284729</v>
      </c>
      <c r="AI102" s="31">
        <f t="shared" si="13"/>
        <v>0.05</v>
      </c>
      <c r="AJ102" s="32">
        <v>0</v>
      </c>
      <c r="AK102" s="32">
        <v>0.2</v>
      </c>
      <c r="AL102" s="32">
        <v>0</v>
      </c>
      <c r="AM102" s="34">
        <v>0</v>
      </c>
    </row>
    <row r="103" spans="1:39" x14ac:dyDescent="0.3">
      <c r="A103" s="24" t="s">
        <v>271</v>
      </c>
      <c r="B103" s="25" t="s">
        <v>266</v>
      </c>
      <c r="C103" s="25" t="s">
        <v>266</v>
      </c>
      <c r="D103" s="25" t="s">
        <v>16</v>
      </c>
      <c r="E103" s="26" t="s">
        <v>69</v>
      </c>
      <c r="F103" s="27">
        <v>20</v>
      </c>
      <c r="G103" s="28">
        <f t="shared" si="7"/>
        <v>13.5</v>
      </c>
      <c r="H103" s="29">
        <v>17</v>
      </c>
      <c r="I103" s="29">
        <v>14</v>
      </c>
      <c r="J103" s="29">
        <v>12</v>
      </c>
      <c r="K103" s="30">
        <v>11</v>
      </c>
      <c r="L103" s="31">
        <f t="shared" si="8"/>
        <v>13.979334250000001</v>
      </c>
      <c r="M103" s="32">
        <v>11.041994000000001</v>
      </c>
      <c r="N103" s="32">
        <v>6.0257050000000003</v>
      </c>
      <c r="O103" s="32">
        <v>13.893532</v>
      </c>
      <c r="P103" s="33">
        <v>23.556916999999999</v>
      </c>
      <c r="Q103" s="31">
        <f t="shared" si="9"/>
        <v>2.7692759999999996</v>
      </c>
      <c r="R103" s="32">
        <v>7.4566799999999995</v>
      </c>
      <c r="S103" s="32">
        <v>1.3075450000000002</v>
      </c>
      <c r="T103" s="32">
        <v>1.9445190000000001</v>
      </c>
      <c r="U103" s="33">
        <v>0.36836000000000002</v>
      </c>
      <c r="V103" s="31">
        <f t="shared" si="10"/>
        <v>7.2932600000000001</v>
      </c>
      <c r="W103" s="32">
        <v>2.2270599999999998</v>
      </c>
      <c r="X103" s="32">
        <v>1.83748</v>
      </c>
      <c r="Y103" s="32">
        <v>8.47058</v>
      </c>
      <c r="Z103" s="33">
        <v>16.637920000000001</v>
      </c>
      <c r="AA103" s="31">
        <f t="shared" si="11"/>
        <v>0.69959450000000001</v>
      </c>
      <c r="AB103" s="32">
        <v>0.67990400000000006</v>
      </c>
      <c r="AC103" s="33">
        <v>0.71928499999999995</v>
      </c>
      <c r="AD103" s="31">
        <f t="shared" si="12"/>
        <v>2.9672037500000004</v>
      </c>
      <c r="AE103" s="32">
        <v>0.17835000000000001</v>
      </c>
      <c r="AF103" s="32">
        <v>2.1613950000000002</v>
      </c>
      <c r="AG103" s="32">
        <v>3.1784330000000001</v>
      </c>
      <c r="AH103" s="33">
        <v>6.3506369999999999</v>
      </c>
      <c r="AI103" s="31">
        <f t="shared" si="13"/>
        <v>0.25000000000000011</v>
      </c>
      <c r="AJ103" s="32">
        <v>0.50000000000000133</v>
      </c>
      <c r="AK103" s="32">
        <v>0</v>
      </c>
      <c r="AL103" s="32">
        <v>0.30000000000000071</v>
      </c>
      <c r="AM103" s="34">
        <v>0.1999999999999984</v>
      </c>
    </row>
    <row r="104" spans="1:39" x14ac:dyDescent="0.3">
      <c r="A104" s="24" t="s">
        <v>271</v>
      </c>
      <c r="B104" s="25" t="s">
        <v>266</v>
      </c>
      <c r="C104" s="25" t="s">
        <v>266</v>
      </c>
      <c r="D104" s="25" t="s">
        <v>16</v>
      </c>
      <c r="E104" s="26" t="s">
        <v>111</v>
      </c>
      <c r="F104" s="27">
        <v>80</v>
      </c>
      <c r="G104" s="28">
        <f t="shared" si="7"/>
        <v>46</v>
      </c>
      <c r="H104" s="29">
        <v>40</v>
      </c>
      <c r="I104" s="29">
        <v>51</v>
      </c>
      <c r="J104" s="29">
        <v>44</v>
      </c>
      <c r="K104" s="30">
        <v>49</v>
      </c>
      <c r="L104" s="31">
        <f t="shared" si="8"/>
        <v>29.467605499999998</v>
      </c>
      <c r="M104" s="32">
        <v>30.450064999999999</v>
      </c>
      <c r="N104" s="32">
        <v>27.991288000000001</v>
      </c>
      <c r="O104" s="32">
        <v>26.751215999999999</v>
      </c>
      <c r="P104" s="33">
        <v>30.025184999999997</v>
      </c>
      <c r="Q104" s="31">
        <f t="shared" si="9"/>
        <v>14.694691500000001</v>
      </c>
      <c r="R104" s="32">
        <v>16.888612000000002</v>
      </c>
      <c r="S104" s="32">
        <v>11.569609000000002</v>
      </c>
      <c r="T104" s="32">
        <v>13.732930999999999</v>
      </c>
      <c r="U104" s="33">
        <v>16.587614000000006</v>
      </c>
      <c r="V104" s="31">
        <f t="shared" si="10"/>
        <v>9.7435749999999999</v>
      </c>
      <c r="W104" s="32">
        <v>9.4661899999999992</v>
      </c>
      <c r="X104" s="32">
        <v>12.438110000000002</v>
      </c>
      <c r="Y104" s="32">
        <v>8.7892599999999987</v>
      </c>
      <c r="Z104" s="33">
        <v>8.2807399999999998</v>
      </c>
      <c r="AA104" s="31">
        <f t="shared" si="11"/>
        <v>1.3263340000000001</v>
      </c>
      <c r="AB104" s="32">
        <v>1.4120740000000001</v>
      </c>
      <c r="AC104" s="33">
        <v>1.240594</v>
      </c>
      <c r="AD104" s="31">
        <f t="shared" si="12"/>
        <v>3.19686</v>
      </c>
      <c r="AE104" s="32">
        <v>1.471209</v>
      </c>
      <c r="AF104" s="32">
        <v>2.4303750000000002</v>
      </c>
      <c r="AG104" s="32">
        <v>4.0290249999999999</v>
      </c>
      <c r="AH104" s="33">
        <v>4.8568310000000006</v>
      </c>
      <c r="AI104" s="31">
        <f t="shared" si="13"/>
        <v>0.50614499999999651</v>
      </c>
      <c r="AJ104" s="32">
        <v>1.2119799999999974</v>
      </c>
      <c r="AK104" s="32">
        <v>0.31259999999999577</v>
      </c>
      <c r="AL104" s="32">
        <v>0.20000000000000195</v>
      </c>
      <c r="AM104" s="34">
        <v>0.29999999999999094</v>
      </c>
    </row>
    <row r="105" spans="1:39" x14ac:dyDescent="0.3">
      <c r="A105" s="24" t="s">
        <v>271</v>
      </c>
      <c r="B105" s="25" t="s">
        <v>266</v>
      </c>
      <c r="C105" s="25" t="s">
        <v>266</v>
      </c>
      <c r="D105" s="25" t="s">
        <v>16</v>
      </c>
      <c r="E105" s="26" t="s">
        <v>140</v>
      </c>
      <c r="F105" s="27">
        <v>31</v>
      </c>
      <c r="G105" s="28">
        <f t="shared" si="7"/>
        <v>21.5</v>
      </c>
      <c r="H105" s="29">
        <v>18</v>
      </c>
      <c r="I105" s="29">
        <v>19</v>
      </c>
      <c r="J105" s="29">
        <v>27</v>
      </c>
      <c r="K105" s="30">
        <v>22</v>
      </c>
      <c r="L105" s="31">
        <f t="shared" si="8"/>
        <v>10.364036500000001</v>
      </c>
      <c r="M105" s="32">
        <v>5.674086</v>
      </c>
      <c r="N105" s="32">
        <v>3.9748950000000001</v>
      </c>
      <c r="O105" s="32">
        <v>15.976901999999999</v>
      </c>
      <c r="P105" s="33">
        <v>13.301943</v>
      </c>
      <c r="Q105" s="31">
        <f t="shared" si="9"/>
        <v>3.8596802500000003</v>
      </c>
      <c r="R105" s="32">
        <v>2.6549260000000001</v>
      </c>
      <c r="S105" s="32">
        <v>0.27060000000000001</v>
      </c>
      <c r="T105" s="32">
        <v>5.8813849999999999</v>
      </c>
      <c r="U105" s="33">
        <v>6.6318100000000006</v>
      </c>
      <c r="V105" s="31">
        <f t="shared" si="10"/>
        <v>4.3661624999999997</v>
      </c>
      <c r="W105" s="32">
        <v>1.4260000000000002</v>
      </c>
      <c r="X105" s="32">
        <v>2.0039099999999999</v>
      </c>
      <c r="Y105" s="32">
        <v>8.6329199999999986</v>
      </c>
      <c r="Z105" s="33">
        <v>5.4018199999999998</v>
      </c>
      <c r="AA105" s="31">
        <f t="shared" si="11"/>
        <v>1.26416</v>
      </c>
      <c r="AB105" s="32">
        <v>1.1596739999999999</v>
      </c>
      <c r="AC105" s="33">
        <v>1.368646</v>
      </c>
      <c r="AD105" s="31">
        <f t="shared" si="12"/>
        <v>0.87403374999999994</v>
      </c>
      <c r="AE105" s="32">
        <v>0.43348599999999998</v>
      </c>
      <c r="AF105" s="32">
        <v>0.33173900000000001</v>
      </c>
      <c r="AG105" s="32">
        <v>1.4625969999999999</v>
      </c>
      <c r="AH105" s="33">
        <v>1.268313</v>
      </c>
      <c r="AI105" s="31">
        <f t="shared" si="13"/>
        <v>0</v>
      </c>
      <c r="AJ105" s="32">
        <v>0</v>
      </c>
      <c r="AK105" s="32">
        <v>0</v>
      </c>
      <c r="AL105" s="32">
        <v>0</v>
      </c>
      <c r="AM105" s="34">
        <v>0</v>
      </c>
    </row>
    <row r="106" spans="1:39" x14ac:dyDescent="0.3">
      <c r="A106" s="24" t="s">
        <v>271</v>
      </c>
      <c r="B106" s="25" t="s">
        <v>266</v>
      </c>
      <c r="C106" s="25" t="s">
        <v>266</v>
      </c>
      <c r="D106" s="25" t="s">
        <v>16</v>
      </c>
      <c r="E106" s="26" t="s">
        <v>59</v>
      </c>
      <c r="F106" s="27">
        <v>17</v>
      </c>
      <c r="G106" s="28">
        <f t="shared" si="7"/>
        <v>17.75</v>
      </c>
      <c r="H106" s="29">
        <v>24</v>
      </c>
      <c r="I106" s="29">
        <v>21</v>
      </c>
      <c r="J106" s="29">
        <v>13</v>
      </c>
      <c r="K106" s="30">
        <v>13</v>
      </c>
      <c r="L106" s="31">
        <f t="shared" si="8"/>
        <v>20.226480250000002</v>
      </c>
      <c r="M106" s="32">
        <v>23.912168999999999</v>
      </c>
      <c r="N106" s="32">
        <v>25.684493</v>
      </c>
      <c r="O106" s="32">
        <v>17.573808</v>
      </c>
      <c r="P106" s="33">
        <v>12.944003</v>
      </c>
      <c r="Q106" s="31">
        <f t="shared" si="9"/>
        <v>15.225646000000001</v>
      </c>
      <c r="R106" s="32">
        <v>16.220123999999998</v>
      </c>
      <c r="S106" s="32">
        <v>22.055317000000002</v>
      </c>
      <c r="T106" s="32">
        <v>13.28228</v>
      </c>
      <c r="U106" s="33">
        <v>9.3448630000000001</v>
      </c>
      <c r="V106" s="31">
        <f t="shared" si="10"/>
        <v>2.8357725</v>
      </c>
      <c r="W106" s="32">
        <v>5.6367500000000001</v>
      </c>
      <c r="X106" s="32">
        <v>1.8630100000000001</v>
      </c>
      <c r="Y106" s="32">
        <v>2.24058</v>
      </c>
      <c r="Z106" s="33">
        <v>1.6027499999999999</v>
      </c>
      <c r="AA106" s="31">
        <f t="shared" si="11"/>
        <v>0.39572400000000002</v>
      </c>
      <c r="AB106" s="32">
        <v>0.33563300000000001</v>
      </c>
      <c r="AC106" s="33">
        <v>0.45581500000000003</v>
      </c>
      <c r="AD106" s="31">
        <f t="shared" si="12"/>
        <v>0.66933774999999995</v>
      </c>
      <c r="AE106" s="32">
        <v>0.71966200000000002</v>
      </c>
      <c r="AF106" s="32">
        <v>0.71035099999999995</v>
      </c>
      <c r="AG106" s="32">
        <v>0.85094800000000004</v>
      </c>
      <c r="AH106" s="33">
        <v>0.39639000000000002</v>
      </c>
      <c r="AI106" s="31">
        <f t="shared" si="13"/>
        <v>1.0999999999999994</v>
      </c>
      <c r="AJ106" s="32">
        <v>1</v>
      </c>
      <c r="AK106" s="32">
        <v>0.59999999999999742</v>
      </c>
      <c r="AL106" s="32">
        <v>1.1999999999999995</v>
      </c>
      <c r="AM106" s="34">
        <v>1.6000000000000003</v>
      </c>
    </row>
    <row r="107" spans="1:39" x14ac:dyDescent="0.3">
      <c r="A107" s="24" t="s">
        <v>272</v>
      </c>
      <c r="B107" s="25" t="s">
        <v>2</v>
      </c>
      <c r="C107" s="25" t="s">
        <v>44</v>
      </c>
      <c r="D107" s="25" t="s">
        <v>21</v>
      </c>
      <c r="E107" s="26" t="s">
        <v>63</v>
      </c>
      <c r="F107" s="27">
        <v>20</v>
      </c>
      <c r="G107" s="28">
        <f t="shared" si="7"/>
        <v>8.5</v>
      </c>
      <c r="H107" s="29">
        <v>7</v>
      </c>
      <c r="I107" s="29">
        <v>8</v>
      </c>
      <c r="J107" s="29">
        <v>11</v>
      </c>
      <c r="K107" s="30">
        <v>8</v>
      </c>
      <c r="L107" s="31">
        <f t="shared" si="8"/>
        <v>4.9630490000000007</v>
      </c>
      <c r="M107" s="32">
        <v>4.8047969999999998</v>
      </c>
      <c r="N107" s="32">
        <v>6.2928829999999998</v>
      </c>
      <c r="O107" s="32">
        <v>6.1804199999999998</v>
      </c>
      <c r="P107" s="33">
        <v>2.5740959999999999</v>
      </c>
      <c r="Q107" s="31">
        <f t="shared" si="9"/>
        <v>3.8126902500000002</v>
      </c>
      <c r="R107" s="32">
        <v>4.5979999999999999</v>
      </c>
      <c r="S107" s="32">
        <v>5.9021499999999998</v>
      </c>
      <c r="T107" s="32">
        <v>2.378206</v>
      </c>
      <c r="U107" s="33">
        <v>2.3724050000000001</v>
      </c>
      <c r="V107" s="31">
        <f t="shared" si="10"/>
        <v>0.90420500000000004</v>
      </c>
      <c r="W107" s="32">
        <v>0</v>
      </c>
      <c r="X107" s="32">
        <v>0</v>
      </c>
      <c r="Y107" s="32">
        <v>3.6168200000000001</v>
      </c>
      <c r="Z107" s="33">
        <v>0</v>
      </c>
      <c r="AA107" s="31">
        <f t="shared" si="11"/>
        <v>0</v>
      </c>
      <c r="AB107" s="32">
        <v>0</v>
      </c>
      <c r="AC107" s="33">
        <v>0</v>
      </c>
      <c r="AD107" s="31">
        <f t="shared" si="12"/>
        <v>0.24615375</v>
      </c>
      <c r="AE107" s="32">
        <v>0.20679699999999998</v>
      </c>
      <c r="AF107" s="32">
        <v>0.390733</v>
      </c>
      <c r="AG107" s="32">
        <v>0.185394</v>
      </c>
      <c r="AH107" s="33">
        <v>0.20169100000000001</v>
      </c>
      <c r="AI107" s="31">
        <f t="shared" si="13"/>
        <v>0</v>
      </c>
      <c r="AJ107" s="32">
        <v>0</v>
      </c>
      <c r="AK107" s="32">
        <v>0</v>
      </c>
      <c r="AL107" s="32">
        <v>0</v>
      </c>
      <c r="AM107" s="34">
        <v>0</v>
      </c>
    </row>
    <row r="108" spans="1:39" x14ac:dyDescent="0.3">
      <c r="A108" s="24" t="s">
        <v>272</v>
      </c>
      <c r="B108" s="25" t="s">
        <v>2</v>
      </c>
      <c r="C108" s="25" t="s">
        <v>44</v>
      </c>
      <c r="D108" s="25" t="s">
        <v>21</v>
      </c>
      <c r="E108" s="26" t="s">
        <v>147</v>
      </c>
      <c r="F108" s="27">
        <v>52</v>
      </c>
      <c r="G108" s="28">
        <f t="shared" si="7"/>
        <v>47.75</v>
      </c>
      <c r="H108" s="29">
        <v>56</v>
      </c>
      <c r="I108" s="29">
        <v>58</v>
      </c>
      <c r="J108" s="29">
        <v>37</v>
      </c>
      <c r="K108" s="30">
        <v>40</v>
      </c>
      <c r="L108" s="31">
        <f t="shared" si="8"/>
        <v>34.387798250000003</v>
      </c>
      <c r="M108" s="32">
        <v>31.957934999999999</v>
      </c>
      <c r="N108" s="32">
        <v>43.540377999999997</v>
      </c>
      <c r="O108" s="32">
        <v>32.576098000000002</v>
      </c>
      <c r="P108" s="33">
        <v>20.851171000000001</v>
      </c>
      <c r="Q108" s="31">
        <f t="shared" si="9"/>
        <v>5.7805012500000004</v>
      </c>
      <c r="R108" s="32">
        <v>5.3921260000000002</v>
      </c>
      <c r="S108" s="32">
        <v>5.6742059999999999</v>
      </c>
      <c r="T108" s="32">
        <v>6.6591890000000005</v>
      </c>
      <c r="U108" s="33">
        <v>5.3964839999999992</v>
      </c>
      <c r="V108" s="31">
        <f t="shared" si="10"/>
        <v>13.2333265</v>
      </c>
      <c r="W108" s="32">
        <v>13.217550000000001</v>
      </c>
      <c r="X108" s="32">
        <v>18.215335999999997</v>
      </c>
      <c r="Y108" s="32">
        <v>10.901160000000001</v>
      </c>
      <c r="Z108" s="33">
        <v>10.599259999999999</v>
      </c>
      <c r="AA108" s="31">
        <f t="shared" si="11"/>
        <v>4.3128054999999996</v>
      </c>
      <c r="AB108" s="32">
        <v>5.6794029999999989</v>
      </c>
      <c r="AC108" s="33">
        <v>2.9462079999999999</v>
      </c>
      <c r="AD108" s="31">
        <f t="shared" si="12"/>
        <v>1.5872875</v>
      </c>
      <c r="AE108" s="32">
        <v>0.46885599999999994</v>
      </c>
      <c r="AF108" s="32">
        <v>1.5546279999999999</v>
      </c>
      <c r="AG108" s="32">
        <v>2.0857490000000003</v>
      </c>
      <c r="AH108" s="33">
        <v>2.2399170000000002</v>
      </c>
      <c r="AI108" s="31">
        <f t="shared" si="13"/>
        <v>9.4738775000000004</v>
      </c>
      <c r="AJ108" s="32">
        <v>7.1999999999999984</v>
      </c>
      <c r="AK108" s="32">
        <v>15.150000000000004</v>
      </c>
      <c r="AL108" s="32">
        <v>12.93</v>
      </c>
      <c r="AM108" s="34">
        <v>2.6155100000000022</v>
      </c>
    </row>
    <row r="109" spans="1:39" x14ac:dyDescent="0.3">
      <c r="A109" s="24" t="s">
        <v>272</v>
      </c>
      <c r="B109" s="25" t="s">
        <v>2</v>
      </c>
      <c r="C109" s="25" t="s">
        <v>44</v>
      </c>
      <c r="D109" s="25" t="s">
        <v>21</v>
      </c>
      <c r="E109" s="26" t="s">
        <v>164</v>
      </c>
      <c r="F109" s="27">
        <v>6</v>
      </c>
      <c r="G109" s="28">
        <f t="shared" si="7"/>
        <v>2</v>
      </c>
      <c r="H109" s="29">
        <v>2</v>
      </c>
      <c r="I109" s="29">
        <v>3</v>
      </c>
      <c r="J109" s="29">
        <v>2</v>
      </c>
      <c r="K109" s="30">
        <v>1</v>
      </c>
      <c r="L109" s="31">
        <f t="shared" si="8"/>
        <v>2.4327590000000003</v>
      </c>
      <c r="M109" s="32">
        <v>5.2326100000000002</v>
      </c>
      <c r="N109" s="32">
        <v>2.046713</v>
      </c>
      <c r="O109" s="32">
        <v>1.3950400000000001</v>
      </c>
      <c r="P109" s="33">
        <v>1.0102500000000001</v>
      </c>
      <c r="Q109" s="31">
        <f t="shared" si="9"/>
        <v>1.0524675000000001</v>
      </c>
      <c r="R109" s="32">
        <v>1.8147200000000001</v>
      </c>
      <c r="S109" s="32">
        <v>1.0001100000000001</v>
      </c>
      <c r="T109" s="32">
        <v>1.3950400000000001</v>
      </c>
      <c r="U109" s="33">
        <v>0</v>
      </c>
      <c r="V109" s="31">
        <f t="shared" si="10"/>
        <v>1.3570800000000001</v>
      </c>
      <c r="W109" s="32">
        <v>3.4178899999999999</v>
      </c>
      <c r="X109" s="32">
        <v>1.0001800000000001</v>
      </c>
      <c r="Y109" s="32">
        <v>0</v>
      </c>
      <c r="Z109" s="33">
        <v>1.0102500000000001</v>
      </c>
      <c r="AA109" s="31">
        <f t="shared" si="11"/>
        <v>2.3211499999999999E-2</v>
      </c>
      <c r="AB109" s="32">
        <v>0</v>
      </c>
      <c r="AC109" s="33">
        <v>4.6422999999999999E-2</v>
      </c>
      <c r="AD109" s="31">
        <f t="shared" si="12"/>
        <v>0</v>
      </c>
      <c r="AE109" s="32">
        <v>0</v>
      </c>
      <c r="AF109" s="32">
        <v>0</v>
      </c>
      <c r="AG109" s="32">
        <v>0</v>
      </c>
      <c r="AH109" s="33">
        <v>0</v>
      </c>
      <c r="AI109" s="31">
        <f t="shared" si="13"/>
        <v>0</v>
      </c>
      <c r="AJ109" s="32">
        <v>0</v>
      </c>
      <c r="AK109" s="32">
        <v>0</v>
      </c>
      <c r="AL109" s="32">
        <v>0</v>
      </c>
      <c r="AM109" s="34">
        <v>0</v>
      </c>
    </row>
    <row r="110" spans="1:39" x14ac:dyDescent="0.3">
      <c r="A110" s="24" t="s">
        <v>272</v>
      </c>
      <c r="B110" s="25" t="s">
        <v>2</v>
      </c>
      <c r="C110" s="25" t="s">
        <v>44</v>
      </c>
      <c r="D110" s="25" t="s">
        <v>21</v>
      </c>
      <c r="E110" s="26" t="s">
        <v>102</v>
      </c>
      <c r="F110" s="27">
        <v>27</v>
      </c>
      <c r="G110" s="28">
        <f t="shared" si="7"/>
        <v>9.75</v>
      </c>
      <c r="H110" s="29">
        <v>13</v>
      </c>
      <c r="I110" s="29">
        <v>10</v>
      </c>
      <c r="J110" s="29">
        <v>7</v>
      </c>
      <c r="K110" s="30">
        <v>9</v>
      </c>
      <c r="L110" s="31">
        <f t="shared" si="8"/>
        <v>4.6736445</v>
      </c>
      <c r="M110" s="32">
        <v>4.6090600000000004</v>
      </c>
      <c r="N110" s="32">
        <v>4.8917470000000005</v>
      </c>
      <c r="O110" s="32">
        <v>4.955902</v>
      </c>
      <c r="P110" s="33">
        <v>3.553426</v>
      </c>
      <c r="Q110" s="31">
        <f t="shared" si="9"/>
        <v>4.0435142500000003</v>
      </c>
      <c r="R110" s="32">
        <v>4.0556130000000001</v>
      </c>
      <c r="S110" s="32">
        <v>4.4927570000000001</v>
      </c>
      <c r="T110" s="32">
        <v>4.8318530000000006</v>
      </c>
      <c r="U110" s="33">
        <v>2.7938339999999999</v>
      </c>
      <c r="V110" s="31">
        <f t="shared" si="10"/>
        <v>0</v>
      </c>
      <c r="W110" s="32">
        <v>0</v>
      </c>
      <c r="X110" s="32">
        <v>0</v>
      </c>
      <c r="Y110" s="32">
        <v>0</v>
      </c>
      <c r="Z110" s="33">
        <v>0</v>
      </c>
      <c r="AA110" s="31">
        <f t="shared" si="11"/>
        <v>0.34222149999999996</v>
      </c>
      <c r="AB110" s="32">
        <v>0.42813299999999999</v>
      </c>
      <c r="AC110" s="33">
        <v>0.25630999999999998</v>
      </c>
      <c r="AD110" s="31">
        <f t="shared" si="12"/>
        <v>0.28790875000000005</v>
      </c>
      <c r="AE110" s="32">
        <v>0.12531400000000001</v>
      </c>
      <c r="AF110" s="32">
        <v>0.14268</v>
      </c>
      <c r="AG110" s="32">
        <v>0.12404899999999999</v>
      </c>
      <c r="AH110" s="33">
        <v>0.75959200000000004</v>
      </c>
      <c r="AI110" s="31">
        <f t="shared" si="13"/>
        <v>1.6653345369377348E-16</v>
      </c>
      <c r="AJ110" s="32">
        <v>2.4980018054066022E-16</v>
      </c>
      <c r="AK110" s="32">
        <v>4.163336342344337E-16</v>
      </c>
      <c r="AL110" s="32">
        <v>0</v>
      </c>
      <c r="AM110" s="34">
        <v>0</v>
      </c>
    </row>
    <row r="111" spans="1:39" x14ac:dyDescent="0.3">
      <c r="A111" s="24" t="s">
        <v>272</v>
      </c>
      <c r="B111" s="25" t="s">
        <v>2</v>
      </c>
      <c r="C111" s="25" t="s">
        <v>44</v>
      </c>
      <c r="D111" s="25" t="s">
        <v>21</v>
      </c>
      <c r="E111" s="26" t="s">
        <v>129</v>
      </c>
      <c r="F111" s="27">
        <v>30</v>
      </c>
      <c r="G111" s="28">
        <f t="shared" si="7"/>
        <v>9.5</v>
      </c>
      <c r="H111" s="29">
        <v>13</v>
      </c>
      <c r="I111" s="29">
        <v>9</v>
      </c>
      <c r="J111" s="29">
        <v>9</v>
      </c>
      <c r="K111" s="30">
        <v>7</v>
      </c>
      <c r="L111" s="31">
        <f t="shared" si="8"/>
        <v>6.5904759999999998</v>
      </c>
      <c r="M111" s="32">
        <v>7.2724260000000003</v>
      </c>
      <c r="N111" s="32">
        <v>10.493338999999999</v>
      </c>
      <c r="O111" s="32">
        <v>4.2285239999999993</v>
      </c>
      <c r="P111" s="33">
        <v>3.326908</v>
      </c>
      <c r="Q111" s="31">
        <f t="shared" si="9"/>
        <v>1.1887650000000001</v>
      </c>
      <c r="R111" s="32">
        <v>1.2482500000000001</v>
      </c>
      <c r="S111" s="32">
        <v>1.000702</v>
      </c>
      <c r="T111" s="32">
        <v>2.0008080000000001</v>
      </c>
      <c r="U111" s="33">
        <v>0.50529999999999997</v>
      </c>
      <c r="V111" s="31">
        <f t="shared" si="10"/>
        <v>4.4916274999999999</v>
      </c>
      <c r="W111" s="32">
        <v>5.10602</v>
      </c>
      <c r="X111" s="32">
        <v>9.1884099999999993</v>
      </c>
      <c r="Y111" s="32">
        <v>1.4092600000000002</v>
      </c>
      <c r="Z111" s="33">
        <v>2.2628200000000001</v>
      </c>
      <c r="AA111" s="31">
        <f t="shared" si="11"/>
        <v>0.52035350000000002</v>
      </c>
      <c r="AB111" s="32">
        <v>0.73648000000000002</v>
      </c>
      <c r="AC111" s="33">
        <v>0.30422700000000003</v>
      </c>
      <c r="AD111" s="31">
        <f t="shared" si="12"/>
        <v>0.38973000000000002</v>
      </c>
      <c r="AE111" s="32">
        <v>0.181676</v>
      </c>
      <c r="AF111" s="32">
        <v>0</v>
      </c>
      <c r="AG111" s="32">
        <v>0.81845600000000007</v>
      </c>
      <c r="AH111" s="33">
        <v>0.55878799999999995</v>
      </c>
      <c r="AI111" s="31">
        <f t="shared" si="13"/>
        <v>1.5265566588595902E-16</v>
      </c>
      <c r="AJ111" s="32">
        <v>6.106226635438361E-16</v>
      </c>
      <c r="AK111" s="32">
        <v>0</v>
      </c>
      <c r="AL111" s="32">
        <v>0</v>
      </c>
      <c r="AM111" s="34">
        <v>0</v>
      </c>
    </row>
    <row r="112" spans="1:39" x14ac:dyDescent="0.3">
      <c r="A112" s="24" t="s">
        <v>272</v>
      </c>
      <c r="B112" s="25" t="s">
        <v>2</v>
      </c>
      <c r="C112" s="25" t="s">
        <v>44</v>
      </c>
      <c r="D112" s="25" t="s">
        <v>21</v>
      </c>
      <c r="E112" s="26" t="s">
        <v>146</v>
      </c>
      <c r="F112" s="27">
        <v>19</v>
      </c>
      <c r="G112" s="28">
        <f t="shared" si="7"/>
        <v>12.25</v>
      </c>
      <c r="H112" s="29">
        <v>15</v>
      </c>
      <c r="I112" s="29">
        <v>15</v>
      </c>
      <c r="J112" s="29">
        <v>8</v>
      </c>
      <c r="K112" s="30">
        <v>11</v>
      </c>
      <c r="L112" s="31">
        <f t="shared" si="8"/>
        <v>8.7624257500000002</v>
      </c>
      <c r="M112" s="32">
        <v>10.163833</v>
      </c>
      <c r="N112" s="32">
        <v>13.067209</v>
      </c>
      <c r="O112" s="32">
        <v>3.8974129999999998</v>
      </c>
      <c r="P112" s="33">
        <v>7.2809500000000007</v>
      </c>
      <c r="Q112" s="31">
        <f t="shared" si="9"/>
        <v>5.08902375</v>
      </c>
      <c r="R112" s="32">
        <v>7.6701879999999996</v>
      </c>
      <c r="S112" s="32">
        <v>9.0559209999999997</v>
      </c>
      <c r="T112" s="32">
        <v>1.783496</v>
      </c>
      <c r="U112" s="33">
        <v>1.84649</v>
      </c>
      <c r="V112" s="31">
        <f t="shared" si="10"/>
        <v>3.0572875000000002</v>
      </c>
      <c r="W112" s="32">
        <v>1.2212099999999999</v>
      </c>
      <c r="X112" s="32">
        <v>3.6240500000000004</v>
      </c>
      <c r="Y112" s="32">
        <v>1.94943</v>
      </c>
      <c r="Z112" s="33">
        <v>5.4344600000000005</v>
      </c>
      <c r="AA112" s="31">
        <f t="shared" si="11"/>
        <v>0.32014899999999996</v>
      </c>
      <c r="AB112" s="32">
        <v>0.53749799999999992</v>
      </c>
      <c r="AC112" s="33">
        <v>0.1028</v>
      </c>
      <c r="AD112" s="31">
        <f t="shared" si="12"/>
        <v>0.29596549999999999</v>
      </c>
      <c r="AE112" s="32">
        <v>0.73493699999999995</v>
      </c>
      <c r="AF112" s="32">
        <v>0.28443799999999997</v>
      </c>
      <c r="AG112" s="32">
        <v>0.16448699999999999</v>
      </c>
      <c r="AH112" s="33">
        <v>0</v>
      </c>
      <c r="AI112" s="31">
        <f t="shared" si="13"/>
        <v>2.4980018054066022E-16</v>
      </c>
      <c r="AJ112" s="32">
        <v>9.9920072216264089E-16</v>
      </c>
      <c r="AK112" s="32">
        <v>0</v>
      </c>
      <c r="AL112" s="32">
        <v>0</v>
      </c>
      <c r="AM112" s="34">
        <v>0</v>
      </c>
    </row>
    <row r="113" spans="1:39" x14ac:dyDescent="0.3">
      <c r="A113" s="24" t="s">
        <v>272</v>
      </c>
      <c r="B113" s="25" t="s">
        <v>2</v>
      </c>
      <c r="C113" s="25" t="s">
        <v>44</v>
      </c>
      <c r="D113" s="25" t="s">
        <v>21</v>
      </c>
      <c r="E113" s="26" t="s">
        <v>112</v>
      </c>
      <c r="F113" s="27">
        <v>55</v>
      </c>
      <c r="G113" s="28">
        <f t="shared" si="7"/>
        <v>17.25</v>
      </c>
      <c r="H113" s="29">
        <v>18</v>
      </c>
      <c r="I113" s="29">
        <v>18</v>
      </c>
      <c r="J113" s="29">
        <v>17</v>
      </c>
      <c r="K113" s="30">
        <v>16</v>
      </c>
      <c r="L113" s="31">
        <f t="shared" si="8"/>
        <v>7.6281305000000001</v>
      </c>
      <c r="M113" s="32">
        <v>4.8370839999999999</v>
      </c>
      <c r="N113" s="32">
        <v>9.1957039999999992</v>
      </c>
      <c r="O113" s="32">
        <v>6.9694929999999999</v>
      </c>
      <c r="P113" s="33">
        <v>6.6635210000000002</v>
      </c>
      <c r="Q113" s="31">
        <f t="shared" si="9"/>
        <v>3.47372725</v>
      </c>
      <c r="R113" s="32">
        <v>1.6981700000000002</v>
      </c>
      <c r="S113" s="32">
        <v>5.1737900000000003</v>
      </c>
      <c r="T113" s="32">
        <v>4.6632990000000003</v>
      </c>
      <c r="U113" s="33">
        <v>2.3596499999999998</v>
      </c>
      <c r="V113" s="31">
        <f t="shared" si="10"/>
        <v>1.543215</v>
      </c>
      <c r="W113" s="32">
        <v>1.4163399999999999</v>
      </c>
      <c r="X113" s="32">
        <v>2.5253999999999999</v>
      </c>
      <c r="Y113" s="32">
        <v>0.10752</v>
      </c>
      <c r="Z113" s="33">
        <v>2.1236000000000002</v>
      </c>
      <c r="AA113" s="31">
        <f t="shared" si="11"/>
        <v>1.42336</v>
      </c>
      <c r="AB113" s="32">
        <v>1.6721629999999998</v>
      </c>
      <c r="AC113" s="33">
        <v>1.1745570000000001</v>
      </c>
      <c r="AD113" s="31">
        <f t="shared" si="12"/>
        <v>1.0878282499999998</v>
      </c>
      <c r="AE113" s="32">
        <v>5.0410999999999997E-2</v>
      </c>
      <c r="AF113" s="32">
        <v>0.32195699999999999</v>
      </c>
      <c r="AG113" s="32">
        <v>2.198674</v>
      </c>
      <c r="AH113" s="33">
        <v>1.7802709999999999</v>
      </c>
      <c r="AI113" s="31">
        <f t="shared" si="13"/>
        <v>0.1000000000000002</v>
      </c>
      <c r="AJ113" s="32">
        <v>0</v>
      </c>
      <c r="AK113" s="32">
        <v>0</v>
      </c>
      <c r="AL113" s="32">
        <v>0</v>
      </c>
      <c r="AM113" s="34">
        <v>0.4000000000000008</v>
      </c>
    </row>
    <row r="114" spans="1:39" x14ac:dyDescent="0.3">
      <c r="A114" s="24" t="s">
        <v>272</v>
      </c>
      <c r="B114" s="25" t="s">
        <v>2</v>
      </c>
      <c r="C114" s="25" t="s">
        <v>44</v>
      </c>
      <c r="D114" s="25" t="s">
        <v>21</v>
      </c>
      <c r="E114" s="26" t="s">
        <v>166</v>
      </c>
      <c r="F114" s="27">
        <v>147</v>
      </c>
      <c r="G114" s="28">
        <f t="shared" si="7"/>
        <v>83.75</v>
      </c>
      <c r="H114" s="29">
        <v>64</v>
      </c>
      <c r="I114" s="29">
        <v>94</v>
      </c>
      <c r="J114" s="29">
        <v>83</v>
      </c>
      <c r="K114" s="30">
        <v>94</v>
      </c>
      <c r="L114" s="31">
        <f t="shared" si="8"/>
        <v>66.303661250000005</v>
      </c>
      <c r="M114" s="32">
        <v>53.445256999999991</v>
      </c>
      <c r="N114" s="32">
        <v>76.99657000000002</v>
      </c>
      <c r="O114" s="32">
        <v>64.410249999999991</v>
      </c>
      <c r="P114" s="33">
        <v>68.420789999999997</v>
      </c>
      <c r="Q114" s="31">
        <f t="shared" si="9"/>
        <v>24.790272500000004</v>
      </c>
      <c r="R114" s="32">
        <v>18.277869000000003</v>
      </c>
      <c r="S114" s="32">
        <v>40.013117000000008</v>
      </c>
      <c r="T114" s="32">
        <v>24.528353999999997</v>
      </c>
      <c r="U114" s="33">
        <v>16.341750000000001</v>
      </c>
      <c r="V114" s="31">
        <f t="shared" si="10"/>
        <v>34.322472499999996</v>
      </c>
      <c r="W114" s="32">
        <v>24.770910000000001</v>
      </c>
      <c r="X114" s="32">
        <v>33.144529999999996</v>
      </c>
      <c r="Y114" s="32">
        <v>34.590280000000007</v>
      </c>
      <c r="Z114" s="33">
        <v>44.784169999999996</v>
      </c>
      <c r="AA114" s="31">
        <f t="shared" si="11"/>
        <v>0.97088900000000011</v>
      </c>
      <c r="AB114" s="32">
        <v>0.88356500000000004</v>
      </c>
      <c r="AC114" s="33">
        <v>1.0582130000000001</v>
      </c>
      <c r="AD114" s="31">
        <f t="shared" si="12"/>
        <v>3.2197197500000003</v>
      </c>
      <c r="AE114" s="32">
        <v>1.347753</v>
      </c>
      <c r="AF114" s="32">
        <v>1.78027</v>
      </c>
      <c r="AG114" s="32">
        <v>5.1883460000000001</v>
      </c>
      <c r="AH114" s="33">
        <v>4.5625100000000005</v>
      </c>
      <c r="AI114" s="31">
        <f t="shared" si="13"/>
        <v>3.0003074999999972</v>
      </c>
      <c r="AJ114" s="32">
        <v>8.165159999999986</v>
      </c>
      <c r="AK114" s="32">
        <v>1.0004400000000151</v>
      </c>
      <c r="AL114" s="32">
        <v>0.10326999999999043</v>
      </c>
      <c r="AM114" s="34">
        <v>2.7323599999999955</v>
      </c>
    </row>
    <row r="115" spans="1:39" x14ac:dyDescent="0.3">
      <c r="A115" s="24" t="s">
        <v>272</v>
      </c>
      <c r="B115" s="25" t="s">
        <v>2</v>
      </c>
      <c r="C115" s="25" t="s">
        <v>44</v>
      </c>
      <c r="D115" s="25" t="s">
        <v>25</v>
      </c>
      <c r="E115" s="26" t="s">
        <v>211</v>
      </c>
      <c r="F115" s="27">
        <v>5</v>
      </c>
      <c r="G115" s="28">
        <f t="shared" si="7"/>
        <v>3</v>
      </c>
      <c r="H115" s="29">
        <v>1</v>
      </c>
      <c r="I115" s="29">
        <v>4</v>
      </c>
      <c r="J115" s="29">
        <v>3</v>
      </c>
      <c r="K115" s="30">
        <v>4</v>
      </c>
      <c r="L115" s="31">
        <f t="shared" si="8"/>
        <v>5.5961099999999995</v>
      </c>
      <c r="M115" s="32">
        <v>0.2</v>
      </c>
      <c r="N115" s="32">
        <v>10.156409999999999</v>
      </c>
      <c r="O115" s="32">
        <v>3.5136859999999999</v>
      </c>
      <c r="P115" s="33">
        <v>8.5143439999999995</v>
      </c>
      <c r="Q115" s="31">
        <f t="shared" si="9"/>
        <v>2.1815034999999998</v>
      </c>
      <c r="R115" s="32">
        <v>0</v>
      </c>
      <c r="S115" s="32">
        <v>6.22417</v>
      </c>
      <c r="T115" s="32">
        <v>0</v>
      </c>
      <c r="U115" s="33">
        <v>2.5018440000000002</v>
      </c>
      <c r="V115" s="31">
        <f t="shared" si="10"/>
        <v>1.5646065</v>
      </c>
      <c r="W115" s="32">
        <v>0</v>
      </c>
      <c r="X115" s="32">
        <v>3.73224</v>
      </c>
      <c r="Y115" s="32">
        <v>1.5136859999999999</v>
      </c>
      <c r="Z115" s="33">
        <v>1.0125</v>
      </c>
      <c r="AA115" s="31">
        <f t="shared" si="11"/>
        <v>0</v>
      </c>
      <c r="AB115" s="32">
        <v>0</v>
      </c>
      <c r="AC115" s="33">
        <v>0</v>
      </c>
      <c r="AD115" s="31">
        <f t="shared" si="12"/>
        <v>0</v>
      </c>
      <c r="AE115" s="32">
        <v>0</v>
      </c>
      <c r="AF115" s="32">
        <v>0</v>
      </c>
      <c r="AG115" s="32">
        <v>0</v>
      </c>
      <c r="AH115" s="33">
        <v>0</v>
      </c>
      <c r="AI115" s="31">
        <f t="shared" si="13"/>
        <v>1.8499999999999996</v>
      </c>
      <c r="AJ115" s="32">
        <v>0.2</v>
      </c>
      <c r="AK115" s="32">
        <v>0.19999999999999929</v>
      </c>
      <c r="AL115" s="32">
        <v>2</v>
      </c>
      <c r="AM115" s="34">
        <v>4.9999999999999991</v>
      </c>
    </row>
    <row r="116" spans="1:39" x14ac:dyDescent="0.3">
      <c r="A116" s="24" t="s">
        <v>272</v>
      </c>
      <c r="B116" s="25" t="s">
        <v>2</v>
      </c>
      <c r="C116" s="25" t="s">
        <v>44</v>
      </c>
      <c r="D116" s="25" t="s">
        <v>25</v>
      </c>
      <c r="E116" s="26" t="s">
        <v>198</v>
      </c>
      <c r="F116" s="27">
        <v>20</v>
      </c>
      <c r="G116" s="28">
        <f t="shared" si="7"/>
        <v>4.25</v>
      </c>
      <c r="H116" s="29">
        <v>2</v>
      </c>
      <c r="I116" s="29">
        <v>0</v>
      </c>
      <c r="J116" s="29">
        <v>11</v>
      </c>
      <c r="K116" s="30">
        <v>4</v>
      </c>
      <c r="L116" s="31">
        <f t="shared" si="8"/>
        <v>4.5101200000000006</v>
      </c>
      <c r="M116" s="32">
        <v>1.001433</v>
      </c>
      <c r="N116" s="32">
        <v>0</v>
      </c>
      <c r="O116" s="32">
        <v>15.572129</v>
      </c>
      <c r="P116" s="33">
        <v>1.4669179999999999</v>
      </c>
      <c r="Q116" s="31">
        <f t="shared" si="9"/>
        <v>1.8265445000000002</v>
      </c>
      <c r="R116" s="32">
        <v>1.001433</v>
      </c>
      <c r="S116" s="32">
        <v>0</v>
      </c>
      <c r="T116" s="32">
        <v>6.3047450000000005</v>
      </c>
      <c r="U116" s="33">
        <v>0</v>
      </c>
      <c r="V116" s="31">
        <f t="shared" si="10"/>
        <v>2.511965</v>
      </c>
      <c r="W116" s="32">
        <v>0</v>
      </c>
      <c r="X116" s="32">
        <v>0</v>
      </c>
      <c r="Y116" s="32">
        <v>8.9447600000000005</v>
      </c>
      <c r="Z116" s="33">
        <v>1.1031</v>
      </c>
      <c r="AA116" s="31">
        <f t="shared" si="11"/>
        <v>0</v>
      </c>
      <c r="AB116" s="32">
        <v>0</v>
      </c>
      <c r="AC116" s="33">
        <v>0</v>
      </c>
      <c r="AD116" s="31">
        <f t="shared" si="12"/>
        <v>0.1716105</v>
      </c>
      <c r="AE116" s="32">
        <v>0</v>
      </c>
      <c r="AF116" s="32">
        <v>0</v>
      </c>
      <c r="AG116" s="32">
        <v>0.32262400000000002</v>
      </c>
      <c r="AH116" s="33">
        <v>0.36381800000000003</v>
      </c>
      <c r="AI116" s="31">
        <f t="shared" si="13"/>
        <v>0</v>
      </c>
      <c r="AJ116" s="32">
        <v>0</v>
      </c>
      <c r="AK116" s="32">
        <v>0</v>
      </c>
      <c r="AL116" s="32">
        <v>0</v>
      </c>
      <c r="AM116" s="34">
        <v>0</v>
      </c>
    </row>
    <row r="117" spans="1:39" x14ac:dyDescent="0.3">
      <c r="A117" s="24" t="s">
        <v>272</v>
      </c>
      <c r="B117" s="25" t="s">
        <v>2</v>
      </c>
      <c r="C117" s="25" t="s">
        <v>44</v>
      </c>
      <c r="D117" s="25" t="s">
        <v>25</v>
      </c>
      <c r="E117" s="26" t="s">
        <v>71</v>
      </c>
      <c r="F117" s="27">
        <v>48</v>
      </c>
      <c r="G117" s="28">
        <f t="shared" si="7"/>
        <v>17.5</v>
      </c>
      <c r="H117" s="29">
        <v>8</v>
      </c>
      <c r="I117" s="29">
        <v>31</v>
      </c>
      <c r="J117" s="29">
        <v>10</v>
      </c>
      <c r="K117" s="30">
        <v>21</v>
      </c>
      <c r="L117" s="31">
        <f t="shared" si="8"/>
        <v>12.080378250000001</v>
      </c>
      <c r="M117" s="32">
        <v>1.986923</v>
      </c>
      <c r="N117" s="32">
        <v>25.257329000000002</v>
      </c>
      <c r="O117" s="32">
        <v>5.8300490000000007</v>
      </c>
      <c r="P117" s="33">
        <v>13.367221000000001</v>
      </c>
      <c r="Q117" s="31">
        <f t="shared" si="9"/>
        <v>3.3386154999999995</v>
      </c>
      <c r="R117" s="32">
        <v>1.0033000000000001</v>
      </c>
      <c r="S117" s="32">
        <v>4.3175959999999991</v>
      </c>
      <c r="T117" s="32">
        <v>2.2686999999999999</v>
      </c>
      <c r="U117" s="33">
        <v>5.7648659999999996</v>
      </c>
      <c r="V117" s="31">
        <f t="shared" si="10"/>
        <v>4.2613460000000005</v>
      </c>
      <c r="W117" s="32">
        <v>0</v>
      </c>
      <c r="X117" s="32">
        <v>7.5926040000000006</v>
      </c>
      <c r="Y117" s="32">
        <v>2.9209800000000001</v>
      </c>
      <c r="Z117" s="33">
        <v>6.5318000000000005</v>
      </c>
      <c r="AA117" s="31">
        <f t="shared" si="11"/>
        <v>0.93999549999999998</v>
      </c>
      <c r="AB117" s="32">
        <v>0.58140700000000001</v>
      </c>
      <c r="AC117" s="33">
        <v>1.298584</v>
      </c>
      <c r="AD117" s="31">
        <f t="shared" si="12"/>
        <v>1.0404012499999999</v>
      </c>
      <c r="AE117" s="32">
        <v>0.40221599999999996</v>
      </c>
      <c r="AF117" s="32">
        <v>2.0484649999999998</v>
      </c>
      <c r="AG117" s="32">
        <v>0.64036899999999997</v>
      </c>
      <c r="AH117" s="33">
        <v>1.0705550000000001</v>
      </c>
      <c r="AI117" s="31">
        <f t="shared" si="13"/>
        <v>2.5000200000000006</v>
      </c>
      <c r="AJ117" s="32">
        <v>0</v>
      </c>
      <c r="AK117" s="32">
        <v>10.000080000000002</v>
      </c>
      <c r="AL117" s="32">
        <v>0</v>
      </c>
      <c r="AM117" s="34">
        <v>0</v>
      </c>
    </row>
    <row r="118" spans="1:39" x14ac:dyDescent="0.3">
      <c r="A118" s="24" t="s">
        <v>272</v>
      </c>
      <c r="B118" s="25" t="s">
        <v>2</v>
      </c>
      <c r="C118" s="25" t="s">
        <v>44</v>
      </c>
      <c r="D118" s="25" t="s">
        <v>25</v>
      </c>
      <c r="E118" s="26" t="s">
        <v>223</v>
      </c>
      <c r="F118" s="27">
        <v>10</v>
      </c>
      <c r="G118" s="28">
        <f t="shared" si="7"/>
        <v>1.5</v>
      </c>
      <c r="H118" s="29">
        <v>2</v>
      </c>
      <c r="I118" s="29">
        <v>2</v>
      </c>
      <c r="J118" s="29">
        <v>1</v>
      </c>
      <c r="K118" s="30">
        <v>1</v>
      </c>
      <c r="L118" s="31">
        <f t="shared" si="8"/>
        <v>0.73702025000000004</v>
      </c>
      <c r="M118" s="32">
        <v>0.39763799999999999</v>
      </c>
      <c r="N118" s="32">
        <v>1.2050050000000001</v>
      </c>
      <c r="O118" s="32">
        <v>1.0044</v>
      </c>
      <c r="P118" s="33">
        <v>0.25140000000000001</v>
      </c>
      <c r="Q118" s="31">
        <f t="shared" si="9"/>
        <v>0.64220124999999995</v>
      </c>
      <c r="R118" s="32">
        <v>0.308</v>
      </c>
      <c r="S118" s="32">
        <v>1.0050049999999999</v>
      </c>
      <c r="T118" s="32">
        <v>1.0044</v>
      </c>
      <c r="U118" s="33">
        <v>0.25140000000000001</v>
      </c>
      <c r="V118" s="31">
        <f t="shared" si="10"/>
        <v>0</v>
      </c>
      <c r="W118" s="32">
        <v>0</v>
      </c>
      <c r="X118" s="32">
        <v>0</v>
      </c>
      <c r="Y118" s="32">
        <v>0</v>
      </c>
      <c r="Z118" s="33">
        <v>0</v>
      </c>
      <c r="AA118" s="31">
        <f t="shared" si="11"/>
        <v>4.4818999999999998E-2</v>
      </c>
      <c r="AB118" s="32">
        <v>8.9637999999999995E-2</v>
      </c>
      <c r="AC118" s="33">
        <v>0</v>
      </c>
      <c r="AD118" s="31">
        <f t="shared" si="12"/>
        <v>0</v>
      </c>
      <c r="AE118" s="32">
        <v>0</v>
      </c>
      <c r="AF118" s="32">
        <v>0</v>
      </c>
      <c r="AG118" s="32">
        <v>0</v>
      </c>
      <c r="AH118" s="33">
        <v>0</v>
      </c>
      <c r="AI118" s="31">
        <f t="shared" si="13"/>
        <v>5.0000000000000044E-2</v>
      </c>
      <c r="AJ118" s="32">
        <v>0</v>
      </c>
      <c r="AK118" s="32">
        <v>0.20000000000000018</v>
      </c>
      <c r="AL118" s="32">
        <v>0</v>
      </c>
      <c r="AM118" s="34">
        <v>0</v>
      </c>
    </row>
    <row r="119" spans="1:39" x14ac:dyDescent="0.3">
      <c r="A119" s="24" t="s">
        <v>272</v>
      </c>
      <c r="B119" s="25" t="s">
        <v>2</v>
      </c>
      <c r="C119" s="25" t="s">
        <v>44</v>
      </c>
      <c r="D119" s="25" t="s">
        <v>25</v>
      </c>
      <c r="E119" s="26" t="s">
        <v>206</v>
      </c>
      <c r="F119" s="27">
        <v>6</v>
      </c>
      <c r="G119" s="28">
        <f t="shared" si="7"/>
        <v>0.75</v>
      </c>
      <c r="H119" s="29">
        <v>1</v>
      </c>
      <c r="I119" s="29">
        <v>0</v>
      </c>
      <c r="J119" s="29">
        <v>2</v>
      </c>
      <c r="K119" s="30">
        <v>0</v>
      </c>
      <c r="L119" s="31">
        <f t="shared" si="8"/>
        <v>1.2921367500000001</v>
      </c>
      <c r="M119" s="32">
        <v>1.0008269999999999</v>
      </c>
      <c r="N119" s="32">
        <v>0</v>
      </c>
      <c r="O119" s="32">
        <v>4.1677200000000001</v>
      </c>
      <c r="P119" s="33">
        <v>0</v>
      </c>
      <c r="Q119" s="31">
        <f t="shared" si="9"/>
        <v>0.25020674999999998</v>
      </c>
      <c r="R119" s="32">
        <v>1.0008269999999999</v>
      </c>
      <c r="S119" s="32">
        <v>0</v>
      </c>
      <c r="T119" s="32">
        <v>0</v>
      </c>
      <c r="U119" s="33">
        <v>0</v>
      </c>
      <c r="V119" s="31">
        <f t="shared" si="10"/>
        <v>1.04193</v>
      </c>
      <c r="W119" s="32">
        <v>0</v>
      </c>
      <c r="X119" s="32">
        <v>0</v>
      </c>
      <c r="Y119" s="32">
        <v>4.1677200000000001</v>
      </c>
      <c r="Z119" s="33">
        <v>0</v>
      </c>
      <c r="AA119" s="31">
        <f t="shared" si="11"/>
        <v>0</v>
      </c>
      <c r="AB119" s="32">
        <v>0</v>
      </c>
      <c r="AC119" s="33">
        <v>0</v>
      </c>
      <c r="AD119" s="31">
        <f t="shared" si="12"/>
        <v>0</v>
      </c>
      <c r="AE119" s="32">
        <v>0</v>
      </c>
      <c r="AF119" s="32">
        <v>0</v>
      </c>
      <c r="AG119" s="32">
        <v>0</v>
      </c>
      <c r="AH119" s="33">
        <v>0</v>
      </c>
      <c r="AI119" s="31">
        <f t="shared" si="13"/>
        <v>0</v>
      </c>
      <c r="AJ119" s="32">
        <v>0</v>
      </c>
      <c r="AK119" s="32">
        <v>0</v>
      </c>
      <c r="AL119" s="32">
        <v>0</v>
      </c>
      <c r="AM119" s="34">
        <v>0</v>
      </c>
    </row>
    <row r="120" spans="1:39" x14ac:dyDescent="0.3">
      <c r="A120" s="24" t="s">
        <v>272</v>
      </c>
      <c r="B120" s="25" t="s">
        <v>2</v>
      </c>
      <c r="C120" s="25" t="s">
        <v>44</v>
      </c>
      <c r="D120" s="25" t="s">
        <v>25</v>
      </c>
      <c r="E120" s="26" t="s">
        <v>222</v>
      </c>
      <c r="F120" s="27">
        <v>5</v>
      </c>
      <c r="G120" s="28">
        <f t="shared" si="7"/>
        <v>0</v>
      </c>
      <c r="H120" s="29">
        <v>0</v>
      </c>
      <c r="I120" s="29">
        <v>0</v>
      </c>
      <c r="J120" s="29">
        <v>0</v>
      </c>
      <c r="K120" s="30">
        <v>0</v>
      </c>
      <c r="L120" s="31">
        <f t="shared" si="8"/>
        <v>0</v>
      </c>
      <c r="M120" s="32">
        <v>0</v>
      </c>
      <c r="N120" s="32">
        <v>0</v>
      </c>
      <c r="O120" s="32">
        <v>0</v>
      </c>
      <c r="P120" s="33">
        <v>0</v>
      </c>
      <c r="Q120" s="31">
        <f t="shared" si="9"/>
        <v>0</v>
      </c>
      <c r="R120" s="32">
        <v>0</v>
      </c>
      <c r="S120" s="32">
        <v>0</v>
      </c>
      <c r="T120" s="32">
        <v>0</v>
      </c>
      <c r="U120" s="33">
        <v>0</v>
      </c>
      <c r="V120" s="31">
        <f t="shared" si="10"/>
        <v>0</v>
      </c>
      <c r="W120" s="32">
        <v>0</v>
      </c>
      <c r="X120" s="32">
        <v>0</v>
      </c>
      <c r="Y120" s="32">
        <v>0</v>
      </c>
      <c r="Z120" s="33">
        <v>0</v>
      </c>
      <c r="AA120" s="31">
        <f t="shared" si="11"/>
        <v>0</v>
      </c>
      <c r="AB120" s="32">
        <v>0</v>
      </c>
      <c r="AC120" s="33">
        <v>0</v>
      </c>
      <c r="AD120" s="31">
        <f t="shared" si="12"/>
        <v>0</v>
      </c>
      <c r="AE120" s="32">
        <v>0</v>
      </c>
      <c r="AF120" s="32">
        <v>0</v>
      </c>
      <c r="AG120" s="32">
        <v>0</v>
      </c>
      <c r="AH120" s="33">
        <v>0</v>
      </c>
      <c r="AI120" s="31">
        <f t="shared" si="13"/>
        <v>0</v>
      </c>
      <c r="AJ120" s="32">
        <v>0</v>
      </c>
      <c r="AK120" s="32">
        <v>0</v>
      </c>
      <c r="AL120" s="32">
        <v>0</v>
      </c>
      <c r="AM120" s="34">
        <v>0</v>
      </c>
    </row>
    <row r="121" spans="1:39" x14ac:dyDescent="0.3">
      <c r="A121" s="24" t="s">
        <v>272</v>
      </c>
      <c r="B121" s="25" t="s">
        <v>2</v>
      </c>
      <c r="C121" s="25" t="s">
        <v>44</v>
      </c>
      <c r="D121" s="25" t="s">
        <v>25</v>
      </c>
      <c r="E121" s="26" t="s">
        <v>254</v>
      </c>
      <c r="F121" s="27">
        <v>1</v>
      </c>
      <c r="G121" s="28">
        <f t="shared" si="7"/>
        <v>0</v>
      </c>
      <c r="H121" s="29">
        <v>0</v>
      </c>
      <c r="I121" s="29">
        <v>0</v>
      </c>
      <c r="J121" s="29">
        <v>0</v>
      </c>
      <c r="K121" s="30">
        <v>0</v>
      </c>
      <c r="L121" s="31">
        <f t="shared" si="8"/>
        <v>0</v>
      </c>
      <c r="M121" s="32">
        <v>0</v>
      </c>
      <c r="N121" s="32">
        <v>0</v>
      </c>
      <c r="O121" s="32">
        <v>0</v>
      </c>
      <c r="P121" s="33">
        <v>0</v>
      </c>
      <c r="Q121" s="31">
        <f t="shared" si="9"/>
        <v>0</v>
      </c>
      <c r="R121" s="32">
        <v>0</v>
      </c>
      <c r="S121" s="32">
        <v>0</v>
      </c>
      <c r="T121" s="32">
        <v>0</v>
      </c>
      <c r="U121" s="33">
        <v>0</v>
      </c>
      <c r="V121" s="31">
        <f t="shared" si="10"/>
        <v>0</v>
      </c>
      <c r="W121" s="32">
        <v>0</v>
      </c>
      <c r="X121" s="32">
        <v>0</v>
      </c>
      <c r="Y121" s="32">
        <v>0</v>
      </c>
      <c r="Z121" s="33">
        <v>0</v>
      </c>
      <c r="AA121" s="31">
        <f t="shared" si="11"/>
        <v>0</v>
      </c>
      <c r="AB121" s="32">
        <v>0</v>
      </c>
      <c r="AC121" s="33">
        <v>0</v>
      </c>
      <c r="AD121" s="31">
        <f t="shared" si="12"/>
        <v>0</v>
      </c>
      <c r="AE121" s="32">
        <v>0</v>
      </c>
      <c r="AF121" s="32">
        <v>0</v>
      </c>
      <c r="AG121" s="32">
        <v>0</v>
      </c>
      <c r="AH121" s="33">
        <v>0</v>
      </c>
      <c r="AI121" s="31">
        <f t="shared" si="13"/>
        <v>0</v>
      </c>
      <c r="AJ121" s="32">
        <v>0</v>
      </c>
      <c r="AK121" s="32">
        <v>0</v>
      </c>
      <c r="AL121" s="32">
        <v>0</v>
      </c>
      <c r="AM121" s="34">
        <v>0</v>
      </c>
    </row>
    <row r="122" spans="1:39" x14ac:dyDescent="0.3">
      <c r="A122" s="24" t="s">
        <v>272</v>
      </c>
      <c r="B122" s="25" t="s">
        <v>2</v>
      </c>
      <c r="C122" s="25" t="s">
        <v>44</v>
      </c>
      <c r="D122" s="25" t="s">
        <v>25</v>
      </c>
      <c r="E122" s="26" t="s">
        <v>204</v>
      </c>
      <c r="F122" s="27">
        <v>15</v>
      </c>
      <c r="G122" s="28">
        <f t="shared" si="7"/>
        <v>10</v>
      </c>
      <c r="H122" s="29">
        <v>11</v>
      </c>
      <c r="I122" s="29">
        <v>10</v>
      </c>
      <c r="J122" s="29">
        <v>13</v>
      </c>
      <c r="K122" s="30">
        <v>6</v>
      </c>
      <c r="L122" s="31">
        <f t="shared" si="8"/>
        <v>6.2616007500000004</v>
      </c>
      <c r="M122" s="32">
        <v>8.2749240000000004</v>
      </c>
      <c r="N122" s="32">
        <v>4.837046</v>
      </c>
      <c r="O122" s="32">
        <v>8.6991130000000005</v>
      </c>
      <c r="P122" s="33">
        <v>3.0352160000000001</v>
      </c>
      <c r="Q122" s="31">
        <f t="shared" si="9"/>
        <v>3.4229547500000002</v>
      </c>
      <c r="R122" s="32">
        <v>4.81968</v>
      </c>
      <c r="S122" s="32">
        <v>2.9269659999999997</v>
      </c>
      <c r="T122" s="32">
        <v>5.0358770000000002</v>
      </c>
      <c r="U122" s="33">
        <v>0.90929599999999999</v>
      </c>
      <c r="V122" s="31">
        <f t="shared" si="10"/>
        <v>2.2708849999999998</v>
      </c>
      <c r="W122" s="32">
        <v>3.2551399999999999</v>
      </c>
      <c r="X122" s="32">
        <v>1.7665200000000001</v>
      </c>
      <c r="Y122" s="32">
        <v>2.73726</v>
      </c>
      <c r="Z122" s="33">
        <v>1.3246199999999999</v>
      </c>
      <c r="AA122" s="31">
        <f t="shared" si="11"/>
        <v>0.100052</v>
      </c>
      <c r="AB122" s="32">
        <v>0.200104</v>
      </c>
      <c r="AC122" s="33">
        <v>0</v>
      </c>
      <c r="AD122" s="31">
        <f t="shared" si="12"/>
        <v>0.16733900000000002</v>
      </c>
      <c r="AE122" s="32">
        <v>0</v>
      </c>
      <c r="AF122" s="32">
        <v>0.14355999999999999</v>
      </c>
      <c r="AG122" s="32">
        <v>0.52579600000000004</v>
      </c>
      <c r="AH122" s="33">
        <v>0</v>
      </c>
      <c r="AI122" s="31">
        <f t="shared" si="13"/>
        <v>0.3003700000000003</v>
      </c>
      <c r="AJ122" s="32">
        <v>4.9960036108132044E-16</v>
      </c>
      <c r="AK122" s="32">
        <v>0</v>
      </c>
      <c r="AL122" s="32">
        <v>0.40018000000000031</v>
      </c>
      <c r="AM122" s="34">
        <v>0.80130000000000035</v>
      </c>
    </row>
    <row r="123" spans="1:39" x14ac:dyDescent="0.3">
      <c r="A123" s="24" t="s">
        <v>272</v>
      </c>
      <c r="B123" s="25" t="s">
        <v>2</v>
      </c>
      <c r="C123" s="25" t="s">
        <v>44</v>
      </c>
      <c r="D123" s="25" t="s">
        <v>25</v>
      </c>
      <c r="E123" s="26" t="s">
        <v>191</v>
      </c>
      <c r="F123" s="27">
        <v>6</v>
      </c>
      <c r="G123" s="28">
        <f t="shared" si="7"/>
        <v>2.75</v>
      </c>
      <c r="H123" s="29">
        <v>3</v>
      </c>
      <c r="I123" s="29">
        <v>4</v>
      </c>
      <c r="J123" s="29">
        <v>2</v>
      </c>
      <c r="K123" s="30">
        <v>2</v>
      </c>
      <c r="L123" s="31">
        <f t="shared" si="8"/>
        <v>1.96131525</v>
      </c>
      <c r="M123" s="32">
        <v>1.5690529999999998</v>
      </c>
      <c r="N123" s="32">
        <v>3.0866600000000002</v>
      </c>
      <c r="O123" s="32">
        <v>1.5994029999999999</v>
      </c>
      <c r="P123" s="33">
        <v>1.523228</v>
      </c>
      <c r="Q123" s="31">
        <f t="shared" si="9"/>
        <v>0.75394699999999992</v>
      </c>
      <c r="R123" s="32">
        <v>1.5021359999999999</v>
      </c>
      <c r="S123" s="32">
        <v>0</v>
      </c>
      <c r="T123" s="32">
        <v>1.0008239999999999</v>
      </c>
      <c r="U123" s="33">
        <v>0.51282799999999995</v>
      </c>
      <c r="V123" s="31">
        <f t="shared" si="10"/>
        <v>1.1479550000000001</v>
      </c>
      <c r="W123" s="32">
        <v>0</v>
      </c>
      <c r="X123" s="32">
        <v>3.0866600000000002</v>
      </c>
      <c r="Y123" s="32">
        <v>0.49475999999999998</v>
      </c>
      <c r="Z123" s="33">
        <v>1.0104</v>
      </c>
      <c r="AA123" s="31">
        <f t="shared" si="11"/>
        <v>3.3458500000000002E-2</v>
      </c>
      <c r="AB123" s="32">
        <v>6.6917000000000004E-2</v>
      </c>
      <c r="AC123" s="33">
        <v>0</v>
      </c>
      <c r="AD123" s="31">
        <f t="shared" si="12"/>
        <v>2.5954749999999999E-2</v>
      </c>
      <c r="AE123" s="32">
        <v>0</v>
      </c>
      <c r="AF123" s="32">
        <v>0</v>
      </c>
      <c r="AG123" s="32">
        <v>0.10381899999999999</v>
      </c>
      <c r="AH123" s="33">
        <v>0</v>
      </c>
      <c r="AI123" s="31">
        <f t="shared" si="13"/>
        <v>5.5511151231257827E-17</v>
      </c>
      <c r="AJ123" s="32">
        <v>0</v>
      </c>
      <c r="AK123" s="32">
        <v>0</v>
      </c>
      <c r="AL123" s="32">
        <v>0</v>
      </c>
      <c r="AM123" s="34">
        <v>2.2204460492503131E-16</v>
      </c>
    </row>
    <row r="124" spans="1:39" x14ac:dyDescent="0.3">
      <c r="A124" s="24" t="s">
        <v>272</v>
      </c>
      <c r="B124" s="25" t="s">
        <v>2</v>
      </c>
      <c r="C124" s="25" t="s">
        <v>44</v>
      </c>
      <c r="D124" s="25" t="s">
        <v>25</v>
      </c>
      <c r="E124" s="26" t="s">
        <v>168</v>
      </c>
      <c r="F124" s="27">
        <v>9</v>
      </c>
      <c r="G124" s="28">
        <f t="shared" si="7"/>
        <v>1.5</v>
      </c>
      <c r="H124" s="29">
        <v>1</v>
      </c>
      <c r="I124" s="29">
        <v>2</v>
      </c>
      <c r="J124" s="29">
        <v>2</v>
      </c>
      <c r="K124" s="30">
        <v>1</v>
      </c>
      <c r="L124" s="31">
        <f t="shared" si="8"/>
        <v>0.3097975</v>
      </c>
      <c r="M124" s="32">
        <v>5.4518999999999998E-2</v>
      </c>
      <c r="N124" s="32">
        <v>0.91266400000000003</v>
      </c>
      <c r="O124" s="32">
        <v>0.15845199999999998</v>
      </c>
      <c r="P124" s="33">
        <v>0.113555</v>
      </c>
      <c r="Q124" s="31">
        <f t="shared" si="9"/>
        <v>0.22816600000000001</v>
      </c>
      <c r="R124" s="32">
        <v>0</v>
      </c>
      <c r="S124" s="32">
        <v>0.91266400000000003</v>
      </c>
      <c r="T124" s="32">
        <v>0</v>
      </c>
      <c r="U124" s="33">
        <v>0</v>
      </c>
      <c r="V124" s="31">
        <f t="shared" si="10"/>
        <v>0</v>
      </c>
      <c r="W124" s="32">
        <v>0</v>
      </c>
      <c r="X124" s="32">
        <v>0</v>
      </c>
      <c r="Y124" s="32">
        <v>0</v>
      </c>
      <c r="Z124" s="33">
        <v>0</v>
      </c>
      <c r="AA124" s="31">
        <f t="shared" si="11"/>
        <v>0</v>
      </c>
      <c r="AB124" s="32">
        <v>0</v>
      </c>
      <c r="AC124" s="33">
        <v>0</v>
      </c>
      <c r="AD124" s="31">
        <f t="shared" si="12"/>
        <v>8.1631499999999996E-2</v>
      </c>
      <c r="AE124" s="32">
        <v>5.4518999999999998E-2</v>
      </c>
      <c r="AF124" s="32">
        <v>0</v>
      </c>
      <c r="AG124" s="32">
        <v>0.15845199999999998</v>
      </c>
      <c r="AH124" s="33">
        <v>0.113555</v>
      </c>
      <c r="AI124" s="31">
        <f t="shared" si="13"/>
        <v>0</v>
      </c>
      <c r="AJ124" s="32">
        <v>0</v>
      </c>
      <c r="AK124" s="32">
        <v>0</v>
      </c>
      <c r="AL124" s="32">
        <v>0</v>
      </c>
      <c r="AM124" s="34">
        <v>0</v>
      </c>
    </row>
    <row r="125" spans="1:39" x14ac:dyDescent="0.3">
      <c r="A125" s="24" t="s">
        <v>272</v>
      </c>
      <c r="B125" s="25" t="s">
        <v>2</v>
      </c>
      <c r="C125" s="25" t="s">
        <v>44</v>
      </c>
      <c r="D125" s="25" t="s">
        <v>25</v>
      </c>
      <c r="E125" s="26" t="s">
        <v>224</v>
      </c>
      <c r="F125" s="27">
        <v>2</v>
      </c>
      <c r="G125" s="28">
        <f t="shared" si="7"/>
        <v>0.25</v>
      </c>
      <c r="H125" s="29">
        <v>0</v>
      </c>
      <c r="I125" s="29">
        <v>0</v>
      </c>
      <c r="J125" s="29">
        <v>0</v>
      </c>
      <c r="K125" s="30">
        <v>1</v>
      </c>
      <c r="L125" s="31">
        <f t="shared" si="8"/>
        <v>5.0599999999999999E-2</v>
      </c>
      <c r="M125" s="32">
        <v>0</v>
      </c>
      <c r="N125" s="32">
        <v>0</v>
      </c>
      <c r="O125" s="32">
        <v>0</v>
      </c>
      <c r="P125" s="33">
        <v>0.2024</v>
      </c>
      <c r="Q125" s="31">
        <f t="shared" si="9"/>
        <v>0</v>
      </c>
      <c r="R125" s="32">
        <v>0</v>
      </c>
      <c r="S125" s="32">
        <v>0</v>
      </c>
      <c r="T125" s="32">
        <v>0</v>
      </c>
      <c r="U125" s="33">
        <v>0</v>
      </c>
      <c r="V125" s="31">
        <f t="shared" si="10"/>
        <v>5.0599999999999999E-2</v>
      </c>
      <c r="W125" s="32">
        <v>0</v>
      </c>
      <c r="X125" s="32">
        <v>0</v>
      </c>
      <c r="Y125" s="32">
        <v>0</v>
      </c>
      <c r="Z125" s="33">
        <v>0.2024</v>
      </c>
      <c r="AA125" s="31">
        <f t="shared" si="11"/>
        <v>0</v>
      </c>
      <c r="AB125" s="32">
        <v>0</v>
      </c>
      <c r="AC125" s="33">
        <v>0</v>
      </c>
      <c r="AD125" s="31">
        <f t="shared" si="12"/>
        <v>0</v>
      </c>
      <c r="AE125" s="32">
        <v>0</v>
      </c>
      <c r="AF125" s="32">
        <v>0</v>
      </c>
      <c r="AG125" s="32">
        <v>0</v>
      </c>
      <c r="AH125" s="33">
        <v>0</v>
      </c>
      <c r="AI125" s="31">
        <f t="shared" si="13"/>
        <v>0</v>
      </c>
      <c r="AJ125" s="32">
        <v>0</v>
      </c>
      <c r="AK125" s="32">
        <v>0</v>
      </c>
      <c r="AL125" s="32">
        <v>0</v>
      </c>
      <c r="AM125" s="34">
        <v>0</v>
      </c>
    </row>
    <row r="126" spans="1:39" x14ac:dyDescent="0.3">
      <c r="A126" s="24" t="s">
        <v>272</v>
      </c>
      <c r="B126" s="25" t="s">
        <v>2</v>
      </c>
      <c r="C126" s="25" t="s">
        <v>44</v>
      </c>
      <c r="D126" s="25" t="s">
        <v>25</v>
      </c>
      <c r="E126" s="26" t="s">
        <v>169</v>
      </c>
      <c r="F126" s="27">
        <v>1</v>
      </c>
      <c r="G126" s="28">
        <f t="shared" si="7"/>
        <v>0</v>
      </c>
      <c r="H126" s="29">
        <v>0</v>
      </c>
      <c r="I126" s="29">
        <v>0</v>
      </c>
      <c r="J126" s="29">
        <v>0</v>
      </c>
      <c r="K126" s="30">
        <v>0</v>
      </c>
      <c r="L126" s="31">
        <f t="shared" si="8"/>
        <v>0</v>
      </c>
      <c r="M126" s="32">
        <v>0</v>
      </c>
      <c r="N126" s="32">
        <v>0</v>
      </c>
      <c r="O126" s="32">
        <v>0</v>
      </c>
      <c r="P126" s="33">
        <v>0</v>
      </c>
      <c r="Q126" s="31">
        <f t="shared" si="9"/>
        <v>0</v>
      </c>
      <c r="R126" s="32">
        <v>0</v>
      </c>
      <c r="S126" s="32">
        <v>0</v>
      </c>
      <c r="T126" s="32">
        <v>0</v>
      </c>
      <c r="U126" s="33">
        <v>0</v>
      </c>
      <c r="V126" s="31">
        <f t="shared" si="10"/>
        <v>0</v>
      </c>
      <c r="W126" s="32">
        <v>0</v>
      </c>
      <c r="X126" s="32">
        <v>0</v>
      </c>
      <c r="Y126" s="32">
        <v>0</v>
      </c>
      <c r="Z126" s="33">
        <v>0</v>
      </c>
      <c r="AA126" s="31">
        <f t="shared" si="11"/>
        <v>0</v>
      </c>
      <c r="AB126" s="32">
        <v>0</v>
      </c>
      <c r="AC126" s="33">
        <v>0</v>
      </c>
      <c r="AD126" s="31">
        <f t="shared" si="12"/>
        <v>0</v>
      </c>
      <c r="AE126" s="32">
        <v>0</v>
      </c>
      <c r="AF126" s="32">
        <v>0</v>
      </c>
      <c r="AG126" s="32">
        <v>0</v>
      </c>
      <c r="AH126" s="33">
        <v>0</v>
      </c>
      <c r="AI126" s="31">
        <f t="shared" si="13"/>
        <v>0</v>
      </c>
      <c r="AJ126" s="32">
        <v>0</v>
      </c>
      <c r="AK126" s="32">
        <v>0</v>
      </c>
      <c r="AL126" s="32">
        <v>0</v>
      </c>
      <c r="AM126" s="34">
        <v>0</v>
      </c>
    </row>
    <row r="127" spans="1:39" x14ac:dyDescent="0.3">
      <c r="A127" s="24" t="s">
        <v>272</v>
      </c>
      <c r="B127" s="25" t="s">
        <v>2</v>
      </c>
      <c r="C127" s="25" t="s">
        <v>44</v>
      </c>
      <c r="D127" s="25" t="s">
        <v>25</v>
      </c>
      <c r="E127" s="26" t="s">
        <v>243</v>
      </c>
      <c r="F127" s="27">
        <v>1</v>
      </c>
      <c r="G127" s="28">
        <f t="shared" si="7"/>
        <v>0.5</v>
      </c>
      <c r="H127" s="29">
        <v>0</v>
      </c>
      <c r="I127" s="29">
        <v>1</v>
      </c>
      <c r="J127" s="29">
        <v>1</v>
      </c>
      <c r="K127" s="30">
        <v>0</v>
      </c>
      <c r="L127" s="31">
        <f t="shared" si="8"/>
        <v>0.33002400000000004</v>
      </c>
      <c r="M127" s="32">
        <v>0</v>
      </c>
      <c r="N127" s="32">
        <v>0.30069600000000002</v>
      </c>
      <c r="O127" s="32">
        <v>1.0194000000000001</v>
      </c>
      <c r="P127" s="33">
        <v>0</v>
      </c>
      <c r="Q127" s="31">
        <f t="shared" si="9"/>
        <v>7.5174000000000005E-2</v>
      </c>
      <c r="R127" s="32">
        <v>0</v>
      </c>
      <c r="S127" s="32">
        <v>0.30069600000000002</v>
      </c>
      <c r="T127" s="32">
        <v>0</v>
      </c>
      <c r="U127" s="33">
        <v>0</v>
      </c>
      <c r="V127" s="31">
        <f t="shared" si="10"/>
        <v>0.25485000000000002</v>
      </c>
      <c r="W127" s="32">
        <v>0</v>
      </c>
      <c r="X127" s="32">
        <v>0</v>
      </c>
      <c r="Y127" s="32">
        <v>1.0194000000000001</v>
      </c>
      <c r="Z127" s="33">
        <v>0</v>
      </c>
      <c r="AA127" s="31">
        <f t="shared" si="11"/>
        <v>0</v>
      </c>
      <c r="AB127" s="32">
        <v>0</v>
      </c>
      <c r="AC127" s="33">
        <v>0</v>
      </c>
      <c r="AD127" s="31">
        <f t="shared" si="12"/>
        <v>0</v>
      </c>
      <c r="AE127" s="32">
        <v>0</v>
      </c>
      <c r="AF127" s="32">
        <v>0</v>
      </c>
      <c r="AG127" s="32">
        <v>0</v>
      </c>
      <c r="AH127" s="33">
        <v>0</v>
      </c>
      <c r="AI127" s="31">
        <f t="shared" si="13"/>
        <v>0</v>
      </c>
      <c r="AJ127" s="32">
        <v>0</v>
      </c>
      <c r="AK127" s="32">
        <v>0</v>
      </c>
      <c r="AL127" s="32">
        <v>0</v>
      </c>
      <c r="AM127" s="34">
        <v>0</v>
      </c>
    </row>
    <row r="128" spans="1:39" x14ac:dyDescent="0.3">
      <c r="A128" s="24" t="s">
        <v>272</v>
      </c>
      <c r="B128" s="25" t="s">
        <v>2</v>
      </c>
      <c r="C128" s="25" t="s">
        <v>44</v>
      </c>
      <c r="D128" s="25" t="s">
        <v>25</v>
      </c>
      <c r="E128" s="26" t="s">
        <v>183</v>
      </c>
      <c r="F128" s="27">
        <v>3</v>
      </c>
      <c r="G128" s="28">
        <f t="shared" si="7"/>
        <v>0.75</v>
      </c>
      <c r="H128" s="29">
        <v>1</v>
      </c>
      <c r="I128" s="29">
        <v>1</v>
      </c>
      <c r="J128" s="29">
        <v>1</v>
      </c>
      <c r="K128" s="30">
        <v>0</v>
      </c>
      <c r="L128" s="31">
        <f t="shared" si="8"/>
        <v>0.11861100000000001</v>
      </c>
      <c r="M128" s="32">
        <v>7.0920999999999998E-2</v>
      </c>
      <c r="N128" s="32">
        <v>0.32240000000000002</v>
      </c>
      <c r="O128" s="32">
        <v>8.1123000000000001E-2</v>
      </c>
      <c r="P128" s="33">
        <v>0</v>
      </c>
      <c r="Q128" s="31">
        <f t="shared" si="9"/>
        <v>8.0600000000000005E-2</v>
      </c>
      <c r="R128" s="32">
        <v>0</v>
      </c>
      <c r="S128" s="32">
        <v>0.32240000000000002</v>
      </c>
      <c r="T128" s="32">
        <v>0</v>
      </c>
      <c r="U128" s="33">
        <v>0</v>
      </c>
      <c r="V128" s="31">
        <f t="shared" si="10"/>
        <v>0</v>
      </c>
      <c r="W128" s="32">
        <v>0</v>
      </c>
      <c r="X128" s="32">
        <v>0</v>
      </c>
      <c r="Y128" s="32">
        <v>0</v>
      </c>
      <c r="Z128" s="33">
        <v>0</v>
      </c>
      <c r="AA128" s="31">
        <f t="shared" si="11"/>
        <v>0</v>
      </c>
      <c r="AB128" s="32">
        <v>0</v>
      </c>
      <c r="AC128" s="33">
        <v>0</v>
      </c>
      <c r="AD128" s="31">
        <f t="shared" si="12"/>
        <v>3.8011000000000003E-2</v>
      </c>
      <c r="AE128" s="32">
        <v>7.0920999999999998E-2</v>
      </c>
      <c r="AF128" s="32">
        <v>0</v>
      </c>
      <c r="AG128" s="32">
        <v>8.1123000000000001E-2</v>
      </c>
      <c r="AH128" s="33">
        <v>0</v>
      </c>
      <c r="AI128" s="31">
        <f t="shared" si="13"/>
        <v>0</v>
      </c>
      <c r="AJ128" s="32">
        <v>0</v>
      </c>
      <c r="AK128" s="32">
        <v>0</v>
      </c>
      <c r="AL128" s="32">
        <v>0</v>
      </c>
      <c r="AM128" s="34">
        <v>0</v>
      </c>
    </row>
    <row r="129" spans="1:39" x14ac:dyDescent="0.3">
      <c r="A129" s="24" t="s">
        <v>272</v>
      </c>
      <c r="B129" s="25" t="s">
        <v>2</v>
      </c>
      <c r="C129" s="25" t="s">
        <v>44</v>
      </c>
      <c r="D129" s="25" t="s">
        <v>25</v>
      </c>
      <c r="E129" s="26" t="s">
        <v>235</v>
      </c>
      <c r="F129" s="27">
        <v>2</v>
      </c>
      <c r="G129" s="28">
        <f t="shared" si="7"/>
        <v>0.25</v>
      </c>
      <c r="H129" s="29">
        <v>0</v>
      </c>
      <c r="I129" s="29">
        <v>0</v>
      </c>
      <c r="J129" s="29">
        <v>1</v>
      </c>
      <c r="K129" s="30">
        <v>0</v>
      </c>
      <c r="L129" s="31">
        <f t="shared" si="8"/>
        <v>0.12720500000000001</v>
      </c>
      <c r="M129" s="32">
        <v>0</v>
      </c>
      <c r="N129" s="32">
        <v>0</v>
      </c>
      <c r="O129" s="32">
        <v>0.50882000000000005</v>
      </c>
      <c r="P129" s="33">
        <v>0</v>
      </c>
      <c r="Q129" s="31">
        <f t="shared" si="9"/>
        <v>0.12720500000000001</v>
      </c>
      <c r="R129" s="32">
        <v>0</v>
      </c>
      <c r="S129" s="32">
        <v>0</v>
      </c>
      <c r="T129" s="32">
        <v>0.50882000000000005</v>
      </c>
      <c r="U129" s="33">
        <v>0</v>
      </c>
      <c r="V129" s="31">
        <f t="shared" si="10"/>
        <v>0</v>
      </c>
      <c r="W129" s="32">
        <v>0</v>
      </c>
      <c r="X129" s="32">
        <v>0</v>
      </c>
      <c r="Y129" s="32">
        <v>0</v>
      </c>
      <c r="Z129" s="33">
        <v>0</v>
      </c>
      <c r="AA129" s="31">
        <f t="shared" si="11"/>
        <v>0</v>
      </c>
      <c r="AB129" s="32">
        <v>0</v>
      </c>
      <c r="AC129" s="33">
        <v>0</v>
      </c>
      <c r="AD129" s="31">
        <f t="shared" si="12"/>
        <v>0</v>
      </c>
      <c r="AE129" s="32">
        <v>0</v>
      </c>
      <c r="AF129" s="32">
        <v>0</v>
      </c>
      <c r="AG129" s="32">
        <v>0</v>
      </c>
      <c r="AH129" s="33">
        <v>0</v>
      </c>
      <c r="AI129" s="31">
        <f t="shared" si="13"/>
        <v>0</v>
      </c>
      <c r="AJ129" s="32">
        <v>0</v>
      </c>
      <c r="AK129" s="32">
        <v>0</v>
      </c>
      <c r="AL129" s="32">
        <v>0</v>
      </c>
      <c r="AM129" s="34">
        <v>0</v>
      </c>
    </row>
    <row r="130" spans="1:39" x14ac:dyDescent="0.3">
      <c r="A130" s="24" t="s">
        <v>272</v>
      </c>
      <c r="B130" s="25" t="s">
        <v>2</v>
      </c>
      <c r="C130" s="25" t="s">
        <v>44</v>
      </c>
      <c r="D130" s="25" t="s">
        <v>25</v>
      </c>
      <c r="E130" s="26" t="s">
        <v>131</v>
      </c>
      <c r="F130" s="27">
        <v>66</v>
      </c>
      <c r="G130" s="28">
        <f t="shared" si="7"/>
        <v>28</v>
      </c>
      <c r="H130" s="29">
        <v>35</v>
      </c>
      <c r="I130" s="29">
        <v>31</v>
      </c>
      <c r="J130" s="29">
        <v>27</v>
      </c>
      <c r="K130" s="30">
        <v>19</v>
      </c>
      <c r="L130" s="31">
        <f t="shared" si="8"/>
        <v>16.163666000000003</v>
      </c>
      <c r="M130" s="32">
        <v>13.33656</v>
      </c>
      <c r="N130" s="32">
        <v>11.788017999999997</v>
      </c>
      <c r="O130" s="32">
        <v>26.504497000000001</v>
      </c>
      <c r="P130" s="33">
        <v>10.856056000000001</v>
      </c>
      <c r="Q130" s="31">
        <f t="shared" si="9"/>
        <v>5.5858045000000009</v>
      </c>
      <c r="R130" s="32">
        <v>8.1291250000000019</v>
      </c>
      <c r="S130" s="32">
        <v>5.4883030000000002</v>
      </c>
      <c r="T130" s="32">
        <v>3.6289500000000001</v>
      </c>
      <c r="U130" s="33">
        <v>5.0968400000000003</v>
      </c>
      <c r="V130" s="31">
        <f t="shared" si="10"/>
        <v>8.1664774999999992</v>
      </c>
      <c r="W130" s="32">
        <v>1.0038</v>
      </c>
      <c r="X130" s="32">
        <v>4.7622000000000009</v>
      </c>
      <c r="Y130" s="32">
        <v>21.767809999999997</v>
      </c>
      <c r="Z130" s="33">
        <v>5.1320999999999994</v>
      </c>
      <c r="AA130" s="31">
        <f t="shared" si="11"/>
        <v>1.0847665000000002</v>
      </c>
      <c r="AB130" s="32">
        <v>1.4968280000000003</v>
      </c>
      <c r="AC130" s="33">
        <v>0.672705</v>
      </c>
      <c r="AD130" s="31">
        <f t="shared" si="12"/>
        <v>0.75161750000000005</v>
      </c>
      <c r="AE130" s="32">
        <v>0.70680699999999996</v>
      </c>
      <c r="AF130" s="32">
        <v>0.86481000000000008</v>
      </c>
      <c r="AG130" s="32">
        <v>0.80773700000000015</v>
      </c>
      <c r="AH130" s="33">
        <v>0.62711600000000001</v>
      </c>
      <c r="AI130" s="31">
        <f t="shared" si="13"/>
        <v>0.57500000000000062</v>
      </c>
      <c r="AJ130" s="32">
        <v>1.9999999999999982</v>
      </c>
      <c r="AK130" s="32">
        <v>0</v>
      </c>
      <c r="AL130" s="32">
        <v>0.3000000000000036</v>
      </c>
      <c r="AM130" s="34">
        <v>8.8817841970012523E-16</v>
      </c>
    </row>
    <row r="131" spans="1:39" x14ac:dyDescent="0.3">
      <c r="A131" s="24" t="s">
        <v>272</v>
      </c>
      <c r="B131" s="25" t="s">
        <v>3</v>
      </c>
      <c r="C131" s="25" t="s">
        <v>45</v>
      </c>
      <c r="D131" s="25" t="s">
        <v>9</v>
      </c>
      <c r="E131" s="26" t="s">
        <v>142</v>
      </c>
      <c r="F131" s="27">
        <v>8</v>
      </c>
      <c r="G131" s="28">
        <f t="shared" si="7"/>
        <v>0</v>
      </c>
      <c r="H131" s="29">
        <v>0</v>
      </c>
      <c r="I131" s="29">
        <v>0</v>
      </c>
      <c r="J131" s="29">
        <v>0</v>
      </c>
      <c r="K131" s="30">
        <v>0</v>
      </c>
      <c r="L131" s="31">
        <f t="shared" si="8"/>
        <v>0</v>
      </c>
      <c r="M131" s="32">
        <v>0</v>
      </c>
      <c r="N131" s="32">
        <v>0</v>
      </c>
      <c r="O131" s="32">
        <v>0</v>
      </c>
      <c r="P131" s="33">
        <v>0</v>
      </c>
      <c r="Q131" s="31">
        <f t="shared" si="9"/>
        <v>0</v>
      </c>
      <c r="R131" s="32">
        <v>0</v>
      </c>
      <c r="S131" s="32">
        <v>0</v>
      </c>
      <c r="T131" s="32">
        <v>0</v>
      </c>
      <c r="U131" s="33">
        <v>0</v>
      </c>
      <c r="V131" s="31">
        <f t="shared" si="10"/>
        <v>0</v>
      </c>
      <c r="W131" s="32">
        <v>0</v>
      </c>
      <c r="X131" s="32">
        <v>0</v>
      </c>
      <c r="Y131" s="32">
        <v>0</v>
      </c>
      <c r="Z131" s="33">
        <v>0</v>
      </c>
      <c r="AA131" s="31">
        <f t="shared" si="11"/>
        <v>0</v>
      </c>
      <c r="AB131" s="32">
        <v>0</v>
      </c>
      <c r="AC131" s="33">
        <v>0</v>
      </c>
      <c r="AD131" s="31">
        <f t="shared" si="12"/>
        <v>0</v>
      </c>
      <c r="AE131" s="32">
        <v>0</v>
      </c>
      <c r="AF131" s="32">
        <v>0</v>
      </c>
      <c r="AG131" s="32">
        <v>0</v>
      </c>
      <c r="AH131" s="33">
        <v>0</v>
      </c>
      <c r="AI131" s="31">
        <f t="shared" si="13"/>
        <v>0</v>
      </c>
      <c r="AJ131" s="32">
        <v>0</v>
      </c>
      <c r="AK131" s="32">
        <v>0</v>
      </c>
      <c r="AL131" s="32">
        <v>0</v>
      </c>
      <c r="AM131" s="34">
        <v>0</v>
      </c>
    </row>
    <row r="132" spans="1:39" x14ac:dyDescent="0.3">
      <c r="A132" s="24" t="s">
        <v>272</v>
      </c>
      <c r="B132" s="25" t="s">
        <v>3</v>
      </c>
      <c r="C132" s="25" t="s">
        <v>45</v>
      </c>
      <c r="D132" s="25" t="s">
        <v>9</v>
      </c>
      <c r="E132" s="26" t="s">
        <v>118</v>
      </c>
      <c r="F132" s="27">
        <v>140</v>
      </c>
      <c r="G132" s="28">
        <f t="shared" si="7"/>
        <v>63</v>
      </c>
      <c r="H132" s="29">
        <v>55</v>
      </c>
      <c r="I132" s="29">
        <v>67</v>
      </c>
      <c r="J132" s="29">
        <v>61</v>
      </c>
      <c r="K132" s="30">
        <v>69</v>
      </c>
      <c r="L132" s="31">
        <f t="shared" si="8"/>
        <v>42.731279999999998</v>
      </c>
      <c r="M132" s="32">
        <v>27.268632999999998</v>
      </c>
      <c r="N132" s="32">
        <v>37.419616000000005</v>
      </c>
      <c r="O132" s="32">
        <v>56.019748999999997</v>
      </c>
      <c r="P132" s="33">
        <v>44.656067</v>
      </c>
      <c r="Q132" s="31">
        <f t="shared" si="9"/>
        <v>8.1903214999999996</v>
      </c>
      <c r="R132" s="32">
        <v>13.614998</v>
      </c>
      <c r="S132" s="32">
        <v>5.1556430000000004</v>
      </c>
      <c r="T132" s="32">
        <v>9.4435409999999997</v>
      </c>
      <c r="U132" s="33">
        <v>4.547104</v>
      </c>
      <c r="V132" s="31">
        <f t="shared" si="10"/>
        <v>15.410207499999999</v>
      </c>
      <c r="W132" s="32">
        <v>2.8583699999999999</v>
      </c>
      <c r="X132" s="32">
        <v>21.190779999999997</v>
      </c>
      <c r="Y132" s="32">
        <v>17.602959999999996</v>
      </c>
      <c r="Z132" s="33">
        <v>19.988720000000001</v>
      </c>
      <c r="AA132" s="31">
        <f t="shared" si="11"/>
        <v>2.7805275000000003</v>
      </c>
      <c r="AB132" s="32">
        <v>3.9229570000000002</v>
      </c>
      <c r="AC132" s="33">
        <v>1.6380980000000003</v>
      </c>
      <c r="AD132" s="31">
        <f t="shared" si="12"/>
        <v>2.0986034999999998</v>
      </c>
      <c r="AE132" s="32">
        <v>1.0730379999999999</v>
      </c>
      <c r="AF132" s="32">
        <v>1.660005</v>
      </c>
      <c r="AG132" s="32">
        <v>2.239268</v>
      </c>
      <c r="AH132" s="33">
        <v>3.4221029999999995</v>
      </c>
      <c r="AI132" s="31">
        <f t="shared" si="13"/>
        <v>14.251620000000003</v>
      </c>
      <c r="AJ132" s="32">
        <v>5.7992699999999964</v>
      </c>
      <c r="AK132" s="32">
        <v>7.7750900000000112</v>
      </c>
      <c r="AL132" s="32">
        <v>26.733979999999999</v>
      </c>
      <c r="AM132" s="34">
        <v>16.698140000000002</v>
      </c>
    </row>
    <row r="133" spans="1:39" x14ac:dyDescent="0.3">
      <c r="A133" s="24" t="s">
        <v>272</v>
      </c>
      <c r="B133" s="25" t="s">
        <v>3</v>
      </c>
      <c r="C133" s="25" t="s">
        <v>45</v>
      </c>
      <c r="D133" s="25" t="s">
        <v>9</v>
      </c>
      <c r="E133" s="26" t="s">
        <v>92</v>
      </c>
      <c r="F133" s="27">
        <v>12</v>
      </c>
      <c r="G133" s="28">
        <f t="shared" si="7"/>
        <v>5</v>
      </c>
      <c r="H133" s="29">
        <v>5</v>
      </c>
      <c r="I133" s="29">
        <v>5</v>
      </c>
      <c r="J133" s="29">
        <v>6</v>
      </c>
      <c r="K133" s="30">
        <v>4</v>
      </c>
      <c r="L133" s="31">
        <f t="shared" si="8"/>
        <v>2.5968705000000001</v>
      </c>
      <c r="M133" s="32">
        <v>1.5255529999999999</v>
      </c>
      <c r="N133" s="32">
        <v>1.2690330000000001</v>
      </c>
      <c r="O133" s="32">
        <v>3.8053660000000002</v>
      </c>
      <c r="P133" s="33">
        <v>3.2431160000000001</v>
      </c>
      <c r="Q133" s="31">
        <f t="shared" si="9"/>
        <v>1.8508054999999999</v>
      </c>
      <c r="R133" s="32">
        <v>1.006845</v>
      </c>
      <c r="S133" s="32">
        <v>0.50094399999999994</v>
      </c>
      <c r="T133" s="32">
        <v>2.7398610000000003</v>
      </c>
      <c r="U133" s="33">
        <v>3.1555719999999998</v>
      </c>
      <c r="V133" s="31">
        <f t="shared" si="10"/>
        <v>0.38281999999999999</v>
      </c>
      <c r="W133" s="32">
        <v>0</v>
      </c>
      <c r="X133" s="32">
        <v>0.51170000000000004</v>
      </c>
      <c r="Y133" s="32">
        <v>1.0195799999999999</v>
      </c>
      <c r="Z133" s="33">
        <v>0</v>
      </c>
      <c r="AA133" s="31">
        <f t="shared" si="11"/>
        <v>0.27220699999999998</v>
      </c>
      <c r="AB133" s="32">
        <v>0.46695500000000001</v>
      </c>
      <c r="AC133" s="33">
        <v>7.7459E-2</v>
      </c>
      <c r="AD133" s="31">
        <f t="shared" si="12"/>
        <v>9.1038000000000008E-2</v>
      </c>
      <c r="AE133" s="32">
        <v>5.1753E-2</v>
      </c>
      <c r="AF133" s="32">
        <v>0.17893000000000001</v>
      </c>
      <c r="AG133" s="32">
        <v>4.5925000000000001E-2</v>
      </c>
      <c r="AH133" s="33">
        <v>8.7543999999999997E-2</v>
      </c>
      <c r="AI133" s="31">
        <f t="shared" si="13"/>
        <v>7.2858385991025898E-17</v>
      </c>
      <c r="AJ133" s="32">
        <v>0</v>
      </c>
      <c r="AK133" s="32">
        <v>0</v>
      </c>
      <c r="AL133" s="32">
        <v>0</v>
      </c>
      <c r="AM133" s="34">
        <v>2.9143354396410359E-16</v>
      </c>
    </row>
    <row r="134" spans="1:39" x14ac:dyDescent="0.3">
      <c r="A134" s="24" t="s">
        <v>272</v>
      </c>
      <c r="B134" s="25" t="s">
        <v>3</v>
      </c>
      <c r="C134" s="25" t="s">
        <v>45</v>
      </c>
      <c r="D134" s="25" t="s">
        <v>9</v>
      </c>
      <c r="E134" s="26" t="s">
        <v>245</v>
      </c>
      <c r="F134" s="27">
        <v>2</v>
      </c>
      <c r="G134" s="28">
        <f t="shared" si="7"/>
        <v>0</v>
      </c>
      <c r="H134" s="29">
        <v>0</v>
      </c>
      <c r="I134" s="29">
        <v>0</v>
      </c>
      <c r="J134" s="29">
        <v>0</v>
      </c>
      <c r="K134" s="30">
        <v>0</v>
      </c>
      <c r="L134" s="31">
        <f t="shared" si="8"/>
        <v>0</v>
      </c>
      <c r="M134" s="32">
        <v>0</v>
      </c>
      <c r="N134" s="32">
        <v>0</v>
      </c>
      <c r="O134" s="32">
        <v>0</v>
      </c>
      <c r="P134" s="33">
        <v>0</v>
      </c>
      <c r="Q134" s="31">
        <f t="shared" si="9"/>
        <v>0</v>
      </c>
      <c r="R134" s="32">
        <v>0</v>
      </c>
      <c r="S134" s="32">
        <v>0</v>
      </c>
      <c r="T134" s="32">
        <v>0</v>
      </c>
      <c r="U134" s="33">
        <v>0</v>
      </c>
      <c r="V134" s="31">
        <f t="shared" si="10"/>
        <v>0</v>
      </c>
      <c r="W134" s="32">
        <v>0</v>
      </c>
      <c r="X134" s="32">
        <v>0</v>
      </c>
      <c r="Y134" s="32">
        <v>0</v>
      </c>
      <c r="Z134" s="33">
        <v>0</v>
      </c>
      <c r="AA134" s="31">
        <f t="shared" si="11"/>
        <v>0</v>
      </c>
      <c r="AB134" s="32">
        <v>0</v>
      </c>
      <c r="AC134" s="33">
        <v>0</v>
      </c>
      <c r="AD134" s="31">
        <f t="shared" si="12"/>
        <v>0</v>
      </c>
      <c r="AE134" s="32">
        <v>0</v>
      </c>
      <c r="AF134" s="32">
        <v>0</v>
      </c>
      <c r="AG134" s="32">
        <v>0</v>
      </c>
      <c r="AH134" s="33">
        <v>0</v>
      </c>
      <c r="AI134" s="31">
        <f t="shared" si="13"/>
        <v>0</v>
      </c>
      <c r="AJ134" s="32">
        <v>0</v>
      </c>
      <c r="AK134" s="32">
        <v>0</v>
      </c>
      <c r="AL134" s="32">
        <v>0</v>
      </c>
      <c r="AM134" s="34">
        <v>0</v>
      </c>
    </row>
    <row r="135" spans="1:39" x14ac:dyDescent="0.3">
      <c r="A135" s="24" t="s">
        <v>272</v>
      </c>
      <c r="B135" s="25" t="s">
        <v>3</v>
      </c>
      <c r="C135" s="25" t="s">
        <v>45</v>
      </c>
      <c r="D135" s="25" t="s">
        <v>9</v>
      </c>
      <c r="E135" s="26" t="s">
        <v>244</v>
      </c>
      <c r="F135" s="27">
        <v>4</v>
      </c>
      <c r="G135" s="28">
        <f t="shared" si="7"/>
        <v>0.75</v>
      </c>
      <c r="H135" s="29">
        <v>1</v>
      </c>
      <c r="I135" s="29">
        <v>1</v>
      </c>
      <c r="J135" s="29">
        <v>0</v>
      </c>
      <c r="K135" s="30">
        <v>1</v>
      </c>
      <c r="L135" s="31">
        <f t="shared" si="8"/>
        <v>0.23085699999999998</v>
      </c>
      <c r="M135" s="32">
        <v>0.32190000000000002</v>
      </c>
      <c r="N135" s="32">
        <v>0.31086000000000003</v>
      </c>
      <c r="O135" s="32">
        <v>0</v>
      </c>
      <c r="P135" s="33">
        <v>0.29066799999999998</v>
      </c>
      <c r="Q135" s="31">
        <f t="shared" si="9"/>
        <v>0.15819</v>
      </c>
      <c r="R135" s="32">
        <v>0.32190000000000002</v>
      </c>
      <c r="S135" s="32">
        <v>0.31086000000000003</v>
      </c>
      <c r="T135" s="32">
        <v>0</v>
      </c>
      <c r="U135" s="33">
        <v>0</v>
      </c>
      <c r="V135" s="31">
        <f t="shared" si="10"/>
        <v>7.2666999999999995E-2</v>
      </c>
      <c r="W135" s="32">
        <v>0</v>
      </c>
      <c r="X135" s="32">
        <v>0</v>
      </c>
      <c r="Y135" s="32">
        <v>0</v>
      </c>
      <c r="Z135" s="33">
        <v>0.29066799999999998</v>
      </c>
      <c r="AA135" s="31">
        <f t="shared" si="11"/>
        <v>0</v>
      </c>
      <c r="AB135" s="32">
        <v>0</v>
      </c>
      <c r="AC135" s="33">
        <v>0</v>
      </c>
      <c r="AD135" s="31">
        <f t="shared" si="12"/>
        <v>0</v>
      </c>
      <c r="AE135" s="32">
        <v>0</v>
      </c>
      <c r="AF135" s="32">
        <v>0</v>
      </c>
      <c r="AG135" s="32">
        <v>0</v>
      </c>
      <c r="AH135" s="33">
        <v>0</v>
      </c>
      <c r="AI135" s="31">
        <f t="shared" si="13"/>
        <v>0</v>
      </c>
      <c r="AJ135" s="32">
        <v>0</v>
      </c>
      <c r="AK135" s="32">
        <v>0</v>
      </c>
      <c r="AL135" s="32">
        <v>0</v>
      </c>
      <c r="AM135" s="34">
        <v>0</v>
      </c>
    </row>
    <row r="136" spans="1:39" x14ac:dyDescent="0.3">
      <c r="A136" s="24" t="s">
        <v>272</v>
      </c>
      <c r="B136" s="25" t="s">
        <v>3</v>
      </c>
      <c r="C136" s="25" t="s">
        <v>45</v>
      </c>
      <c r="D136" s="25" t="s">
        <v>9</v>
      </c>
      <c r="E136" s="26" t="s">
        <v>240</v>
      </c>
      <c r="F136" s="27">
        <v>7</v>
      </c>
      <c r="G136" s="28">
        <f t="shared" ref="G136:G199" si="14">SUM(H136:K136)/4</f>
        <v>2.5</v>
      </c>
      <c r="H136" s="29">
        <v>1</v>
      </c>
      <c r="I136" s="29">
        <v>1</v>
      </c>
      <c r="J136" s="29">
        <v>3</v>
      </c>
      <c r="K136" s="30">
        <v>5</v>
      </c>
      <c r="L136" s="31">
        <f t="shared" ref="L136:L199" si="15">Q136+V136+AA136+AD136+AI136</f>
        <v>2.2992132499999998</v>
      </c>
      <c r="M136" s="32">
        <v>3.0259999999999998</v>
      </c>
      <c r="N136" s="32">
        <v>0.3402</v>
      </c>
      <c r="O136" s="32">
        <v>3.2991890000000001</v>
      </c>
      <c r="P136" s="33">
        <v>2.5314640000000002</v>
      </c>
      <c r="Q136" s="31">
        <f t="shared" ref="Q136:Q199" si="16">SUM(R136:U136)/4</f>
        <v>2.1694119999999999</v>
      </c>
      <c r="R136" s="32">
        <v>3.0259999999999998</v>
      </c>
      <c r="S136" s="32">
        <v>0.3402</v>
      </c>
      <c r="T136" s="32">
        <v>3.0000740000000001</v>
      </c>
      <c r="U136" s="33">
        <v>2.3113740000000003</v>
      </c>
      <c r="V136" s="31">
        <f t="shared" ref="V136:V199" si="17">SUM(W136:Z136)/4</f>
        <v>0</v>
      </c>
      <c r="W136" s="32">
        <v>0</v>
      </c>
      <c r="X136" s="32">
        <v>0</v>
      </c>
      <c r="Y136" s="32">
        <v>0</v>
      </c>
      <c r="Z136" s="33">
        <v>0</v>
      </c>
      <c r="AA136" s="31">
        <f t="shared" ref="AA136:AA199" si="18">SUM(AB136:AC136)/2</f>
        <v>0</v>
      </c>
      <c r="AB136" s="32">
        <v>0</v>
      </c>
      <c r="AC136" s="33">
        <v>0</v>
      </c>
      <c r="AD136" s="31">
        <f t="shared" ref="AD136:AD199" si="19">SUM(AE136:AH136)/4</f>
        <v>0.12980125000000001</v>
      </c>
      <c r="AE136" s="32">
        <v>0</v>
      </c>
      <c r="AF136" s="32">
        <v>0</v>
      </c>
      <c r="AG136" s="32">
        <v>0.29911500000000002</v>
      </c>
      <c r="AH136" s="33">
        <v>0.22009000000000001</v>
      </c>
      <c r="AI136" s="31">
        <f t="shared" ref="AI136:AI199" si="20">SUM(AJ136:AM136)/4</f>
        <v>0</v>
      </c>
      <c r="AJ136" s="32">
        <v>0</v>
      </c>
      <c r="AK136" s="32">
        <v>0</v>
      </c>
      <c r="AL136" s="32">
        <v>0</v>
      </c>
      <c r="AM136" s="34">
        <v>0</v>
      </c>
    </row>
    <row r="137" spans="1:39" x14ac:dyDescent="0.3">
      <c r="A137" s="24" t="s">
        <v>272</v>
      </c>
      <c r="B137" s="25" t="s">
        <v>3</v>
      </c>
      <c r="C137" s="25" t="s">
        <v>45</v>
      </c>
      <c r="D137" s="25" t="s">
        <v>9</v>
      </c>
      <c r="E137" s="26" t="s">
        <v>108</v>
      </c>
      <c r="F137" s="27">
        <v>28</v>
      </c>
      <c r="G137" s="28">
        <f t="shared" si="14"/>
        <v>16</v>
      </c>
      <c r="H137" s="29">
        <v>15</v>
      </c>
      <c r="I137" s="29">
        <v>15</v>
      </c>
      <c r="J137" s="29">
        <v>18</v>
      </c>
      <c r="K137" s="30">
        <v>16</v>
      </c>
      <c r="L137" s="31">
        <f t="shared" si="15"/>
        <v>5.4243777500000006</v>
      </c>
      <c r="M137" s="32">
        <v>6.5117090000000006</v>
      </c>
      <c r="N137" s="32">
        <v>4.0394439999999996</v>
      </c>
      <c r="O137" s="32">
        <v>6.8590989999999996</v>
      </c>
      <c r="P137" s="33">
        <v>2.0937589999999999</v>
      </c>
      <c r="Q137" s="31">
        <f t="shared" si="16"/>
        <v>2.4706014999999999</v>
      </c>
      <c r="R137" s="32">
        <v>3.7172840000000003</v>
      </c>
      <c r="S137" s="32">
        <v>2.52054</v>
      </c>
      <c r="T137" s="32">
        <v>3.1434669999999998</v>
      </c>
      <c r="U137" s="33">
        <v>0.50111499999999998</v>
      </c>
      <c r="V137" s="31">
        <f t="shared" si="17"/>
        <v>0.58970999999999996</v>
      </c>
      <c r="W137" s="32">
        <v>0</v>
      </c>
      <c r="X137" s="32">
        <v>0</v>
      </c>
      <c r="Y137" s="32">
        <v>2.3588399999999998</v>
      </c>
      <c r="Z137" s="33">
        <v>0</v>
      </c>
      <c r="AA137" s="31">
        <f t="shared" si="18"/>
        <v>1.0967500000000001</v>
      </c>
      <c r="AB137" s="32">
        <v>1.697438</v>
      </c>
      <c r="AC137" s="33">
        <v>0.496062</v>
      </c>
      <c r="AD137" s="31">
        <f t="shared" si="19"/>
        <v>1.0923162500000001</v>
      </c>
      <c r="AE137" s="32">
        <v>1.0969869999999999</v>
      </c>
      <c r="AF137" s="32">
        <v>0.52284200000000003</v>
      </c>
      <c r="AG137" s="32">
        <v>1.3567920000000002</v>
      </c>
      <c r="AH137" s="33">
        <v>1.392644</v>
      </c>
      <c r="AI137" s="31">
        <f t="shared" si="20"/>
        <v>0.17499999999999988</v>
      </c>
      <c r="AJ137" s="32">
        <v>0</v>
      </c>
      <c r="AK137" s="32">
        <v>0.49999999999999956</v>
      </c>
      <c r="AL137" s="32">
        <v>0</v>
      </c>
      <c r="AM137" s="34">
        <v>0.19999999999999996</v>
      </c>
    </row>
    <row r="138" spans="1:39" x14ac:dyDescent="0.3">
      <c r="A138" s="24" t="s">
        <v>272</v>
      </c>
      <c r="B138" s="25" t="s">
        <v>3</v>
      </c>
      <c r="C138" s="25" t="s">
        <v>45</v>
      </c>
      <c r="D138" s="25" t="s">
        <v>5</v>
      </c>
      <c r="E138" s="26" t="s">
        <v>87</v>
      </c>
      <c r="F138" s="27">
        <v>94</v>
      </c>
      <c r="G138" s="28">
        <f t="shared" si="14"/>
        <v>41</v>
      </c>
      <c r="H138" s="29">
        <v>26</v>
      </c>
      <c r="I138" s="29">
        <v>55</v>
      </c>
      <c r="J138" s="29">
        <v>38</v>
      </c>
      <c r="K138" s="30">
        <v>45</v>
      </c>
      <c r="L138" s="31">
        <f t="shared" si="15"/>
        <v>27.724125750000002</v>
      </c>
      <c r="M138" s="32">
        <v>9.2227040000000002</v>
      </c>
      <c r="N138" s="32">
        <v>43.528820000000003</v>
      </c>
      <c r="O138" s="32">
        <v>24.626639999999998</v>
      </c>
      <c r="P138" s="33">
        <v>31.562268999999997</v>
      </c>
      <c r="Q138" s="31">
        <f t="shared" si="16"/>
        <v>6.1849092500000005</v>
      </c>
      <c r="R138" s="32">
        <v>1.7183679999999999</v>
      </c>
      <c r="S138" s="32">
        <v>6.0751800000000005</v>
      </c>
      <c r="T138" s="32">
        <v>11.302281000000001</v>
      </c>
      <c r="U138" s="33">
        <v>5.643807999999999</v>
      </c>
      <c r="V138" s="31">
        <f t="shared" si="17"/>
        <v>18.058888000000003</v>
      </c>
      <c r="W138" s="32">
        <v>2.6269100000000001</v>
      </c>
      <c r="X138" s="32">
        <v>35.560872000000003</v>
      </c>
      <c r="Y138" s="32">
        <v>10.273909999999999</v>
      </c>
      <c r="Z138" s="33">
        <v>23.773859999999999</v>
      </c>
      <c r="AA138" s="31">
        <f t="shared" si="18"/>
        <v>0.97803499999999999</v>
      </c>
      <c r="AB138" s="32">
        <v>1.255509</v>
      </c>
      <c r="AC138" s="33">
        <v>0.70056099999999999</v>
      </c>
      <c r="AD138" s="31">
        <f t="shared" si="19"/>
        <v>2.2022934999999997</v>
      </c>
      <c r="AE138" s="32">
        <v>2.6219169999999998</v>
      </c>
      <c r="AF138" s="32">
        <v>1.192207</v>
      </c>
      <c r="AG138" s="32">
        <v>2.8504489999999998</v>
      </c>
      <c r="AH138" s="33">
        <v>2.1446009999999998</v>
      </c>
      <c r="AI138" s="31">
        <f t="shared" si="20"/>
        <v>0.29999999999999971</v>
      </c>
      <c r="AJ138" s="32">
        <v>1</v>
      </c>
      <c r="AK138" s="32">
        <v>0</v>
      </c>
      <c r="AL138" s="32">
        <v>0.19999999999999885</v>
      </c>
      <c r="AM138" s="34">
        <v>0</v>
      </c>
    </row>
    <row r="139" spans="1:39" x14ac:dyDescent="0.3">
      <c r="A139" s="24" t="s">
        <v>272</v>
      </c>
      <c r="B139" s="25" t="s">
        <v>3</v>
      </c>
      <c r="C139" s="25" t="s">
        <v>45</v>
      </c>
      <c r="D139" s="25" t="s">
        <v>5</v>
      </c>
      <c r="E139" s="26" t="s">
        <v>209</v>
      </c>
      <c r="F139" s="27">
        <v>3</v>
      </c>
      <c r="G139" s="28">
        <f t="shared" si="14"/>
        <v>0</v>
      </c>
      <c r="H139" s="29">
        <v>0</v>
      </c>
      <c r="I139" s="29">
        <v>0</v>
      </c>
      <c r="J139" s="29">
        <v>0</v>
      </c>
      <c r="K139" s="30">
        <v>0</v>
      </c>
      <c r="L139" s="31">
        <f t="shared" si="15"/>
        <v>0</v>
      </c>
      <c r="M139" s="32">
        <v>0</v>
      </c>
      <c r="N139" s="32">
        <v>0</v>
      </c>
      <c r="O139" s="32">
        <v>0</v>
      </c>
      <c r="P139" s="33">
        <v>0</v>
      </c>
      <c r="Q139" s="31">
        <f t="shared" si="16"/>
        <v>0</v>
      </c>
      <c r="R139" s="32">
        <v>0</v>
      </c>
      <c r="S139" s="32">
        <v>0</v>
      </c>
      <c r="T139" s="32">
        <v>0</v>
      </c>
      <c r="U139" s="33">
        <v>0</v>
      </c>
      <c r="V139" s="31">
        <f t="shared" si="17"/>
        <v>0</v>
      </c>
      <c r="W139" s="32">
        <v>0</v>
      </c>
      <c r="X139" s="32">
        <v>0</v>
      </c>
      <c r="Y139" s="32">
        <v>0</v>
      </c>
      <c r="Z139" s="33">
        <v>0</v>
      </c>
      <c r="AA139" s="31">
        <f t="shared" si="18"/>
        <v>0</v>
      </c>
      <c r="AB139" s="32">
        <v>0</v>
      </c>
      <c r="AC139" s="33">
        <v>0</v>
      </c>
      <c r="AD139" s="31">
        <f t="shared" si="19"/>
        <v>0</v>
      </c>
      <c r="AE139" s="32">
        <v>0</v>
      </c>
      <c r="AF139" s="32">
        <v>0</v>
      </c>
      <c r="AG139" s="32">
        <v>0</v>
      </c>
      <c r="AH139" s="33">
        <v>0</v>
      </c>
      <c r="AI139" s="31">
        <f t="shared" si="20"/>
        <v>0</v>
      </c>
      <c r="AJ139" s="32">
        <v>0</v>
      </c>
      <c r="AK139" s="32">
        <v>0</v>
      </c>
      <c r="AL139" s="32">
        <v>0</v>
      </c>
      <c r="AM139" s="34">
        <v>0</v>
      </c>
    </row>
    <row r="140" spans="1:39" x14ac:dyDescent="0.3">
      <c r="A140" s="24" t="s">
        <v>272</v>
      </c>
      <c r="B140" s="25" t="s">
        <v>3</v>
      </c>
      <c r="C140" s="25" t="s">
        <v>45</v>
      </c>
      <c r="D140" s="25" t="s">
        <v>5</v>
      </c>
      <c r="E140" s="26" t="s">
        <v>220</v>
      </c>
      <c r="F140" s="27">
        <v>4</v>
      </c>
      <c r="G140" s="28">
        <f t="shared" si="14"/>
        <v>0.5</v>
      </c>
      <c r="H140" s="29">
        <v>0</v>
      </c>
      <c r="I140" s="29">
        <v>1</v>
      </c>
      <c r="J140" s="29">
        <v>1</v>
      </c>
      <c r="K140" s="30">
        <v>0</v>
      </c>
      <c r="L140" s="31">
        <f t="shared" si="15"/>
        <v>0.1353</v>
      </c>
      <c r="M140" s="32">
        <v>0</v>
      </c>
      <c r="N140" s="32">
        <v>0.51083999999999996</v>
      </c>
      <c r="O140" s="32">
        <v>3.0360000000000002E-2</v>
      </c>
      <c r="P140" s="33">
        <v>0</v>
      </c>
      <c r="Q140" s="31">
        <f t="shared" si="16"/>
        <v>0.12770999999999999</v>
      </c>
      <c r="R140" s="32">
        <v>0</v>
      </c>
      <c r="S140" s="32">
        <v>0.51083999999999996</v>
      </c>
      <c r="T140" s="32">
        <v>0</v>
      </c>
      <c r="U140" s="33">
        <v>0</v>
      </c>
      <c r="V140" s="31">
        <f t="shared" si="17"/>
        <v>0</v>
      </c>
      <c r="W140" s="32">
        <v>0</v>
      </c>
      <c r="X140" s="32">
        <v>0</v>
      </c>
      <c r="Y140" s="32">
        <v>0</v>
      </c>
      <c r="Z140" s="33">
        <v>0</v>
      </c>
      <c r="AA140" s="31">
        <f t="shared" si="18"/>
        <v>0</v>
      </c>
      <c r="AB140" s="32">
        <v>0</v>
      </c>
      <c r="AC140" s="33">
        <v>0</v>
      </c>
      <c r="AD140" s="31">
        <f t="shared" si="19"/>
        <v>7.5900000000000004E-3</v>
      </c>
      <c r="AE140" s="32">
        <v>0</v>
      </c>
      <c r="AF140" s="32">
        <v>0</v>
      </c>
      <c r="AG140" s="32">
        <v>3.0360000000000002E-2</v>
      </c>
      <c r="AH140" s="33">
        <v>0</v>
      </c>
      <c r="AI140" s="31">
        <f t="shared" si="20"/>
        <v>0</v>
      </c>
      <c r="AJ140" s="32">
        <v>0</v>
      </c>
      <c r="AK140" s="32">
        <v>0</v>
      </c>
      <c r="AL140" s="32">
        <v>0</v>
      </c>
      <c r="AM140" s="34">
        <v>0</v>
      </c>
    </row>
    <row r="141" spans="1:39" x14ac:dyDescent="0.3">
      <c r="A141" s="24" t="s">
        <v>272</v>
      </c>
      <c r="B141" s="25" t="s">
        <v>3</v>
      </c>
      <c r="C141" s="25" t="s">
        <v>45</v>
      </c>
      <c r="D141" s="25" t="s">
        <v>5</v>
      </c>
      <c r="E141" s="26" t="s">
        <v>221</v>
      </c>
      <c r="F141" s="27">
        <v>2</v>
      </c>
      <c r="G141" s="28">
        <f t="shared" si="14"/>
        <v>0</v>
      </c>
      <c r="H141" s="29">
        <v>0</v>
      </c>
      <c r="I141" s="29">
        <v>0</v>
      </c>
      <c r="J141" s="29">
        <v>0</v>
      </c>
      <c r="K141" s="30">
        <v>0</v>
      </c>
      <c r="L141" s="31">
        <f t="shared" si="15"/>
        <v>0</v>
      </c>
      <c r="M141" s="32">
        <v>0</v>
      </c>
      <c r="N141" s="32">
        <v>0</v>
      </c>
      <c r="O141" s="32">
        <v>0</v>
      </c>
      <c r="P141" s="33">
        <v>0</v>
      </c>
      <c r="Q141" s="31">
        <f t="shared" si="16"/>
        <v>0</v>
      </c>
      <c r="R141" s="32">
        <v>0</v>
      </c>
      <c r="S141" s="32">
        <v>0</v>
      </c>
      <c r="T141" s="32">
        <v>0</v>
      </c>
      <c r="U141" s="33">
        <v>0</v>
      </c>
      <c r="V141" s="31">
        <f t="shared" si="17"/>
        <v>0</v>
      </c>
      <c r="W141" s="32">
        <v>0</v>
      </c>
      <c r="X141" s="32">
        <v>0</v>
      </c>
      <c r="Y141" s="32">
        <v>0</v>
      </c>
      <c r="Z141" s="33">
        <v>0</v>
      </c>
      <c r="AA141" s="31">
        <f t="shared" si="18"/>
        <v>0</v>
      </c>
      <c r="AB141" s="32">
        <v>0</v>
      </c>
      <c r="AC141" s="33">
        <v>0</v>
      </c>
      <c r="AD141" s="31">
        <f t="shared" si="19"/>
        <v>0</v>
      </c>
      <c r="AE141" s="32">
        <v>0</v>
      </c>
      <c r="AF141" s="32">
        <v>0</v>
      </c>
      <c r="AG141" s="32">
        <v>0</v>
      </c>
      <c r="AH141" s="33">
        <v>0</v>
      </c>
      <c r="AI141" s="31">
        <f t="shared" si="20"/>
        <v>0</v>
      </c>
      <c r="AJ141" s="32">
        <v>0</v>
      </c>
      <c r="AK141" s="32">
        <v>0</v>
      </c>
      <c r="AL141" s="32">
        <v>0</v>
      </c>
      <c r="AM141" s="34">
        <v>0</v>
      </c>
    </row>
    <row r="142" spans="1:39" x14ac:dyDescent="0.3">
      <c r="A142" s="24" t="s">
        <v>272</v>
      </c>
      <c r="B142" s="25" t="s">
        <v>3</v>
      </c>
      <c r="C142" s="25" t="s">
        <v>45</v>
      </c>
      <c r="D142" s="25" t="s">
        <v>5</v>
      </c>
      <c r="E142" s="26" t="s">
        <v>115</v>
      </c>
      <c r="F142" s="27">
        <v>18</v>
      </c>
      <c r="G142" s="28">
        <f t="shared" si="14"/>
        <v>12.75</v>
      </c>
      <c r="H142" s="29">
        <v>15</v>
      </c>
      <c r="I142" s="29">
        <v>13</v>
      </c>
      <c r="J142" s="29">
        <v>12</v>
      </c>
      <c r="K142" s="30">
        <v>11</v>
      </c>
      <c r="L142" s="31">
        <f t="shared" si="15"/>
        <v>6.0236939999999999</v>
      </c>
      <c r="M142" s="32">
        <v>5.4173790000000004</v>
      </c>
      <c r="N142" s="32">
        <v>7.4149599999999998</v>
      </c>
      <c r="O142" s="32">
        <v>3.8967970000000003</v>
      </c>
      <c r="P142" s="33">
        <v>4.6730020000000003</v>
      </c>
      <c r="Q142" s="31">
        <f t="shared" si="16"/>
        <v>1.143308</v>
      </c>
      <c r="R142" s="32">
        <v>2.3823400000000001</v>
      </c>
      <c r="S142" s="32">
        <v>0.80093199999999998</v>
      </c>
      <c r="T142" s="32">
        <v>1.3899600000000001</v>
      </c>
      <c r="U142" s="33">
        <v>0</v>
      </c>
      <c r="V142" s="31">
        <f t="shared" si="17"/>
        <v>2.4047349999999996</v>
      </c>
      <c r="W142" s="32">
        <v>0</v>
      </c>
      <c r="X142" s="32">
        <v>5.87662</v>
      </c>
      <c r="Y142" s="32">
        <v>1.3368899999999999</v>
      </c>
      <c r="Z142" s="33">
        <v>2.40543</v>
      </c>
      <c r="AA142" s="31">
        <f t="shared" si="18"/>
        <v>1.3463189999999998</v>
      </c>
      <c r="AB142" s="32">
        <v>2.5997869999999996</v>
      </c>
      <c r="AC142" s="33">
        <v>9.2851000000000003E-2</v>
      </c>
      <c r="AD142" s="31">
        <f t="shared" si="19"/>
        <v>0.92933200000000005</v>
      </c>
      <c r="AE142" s="32">
        <v>0.13525200000000001</v>
      </c>
      <c r="AF142" s="32">
        <v>0.14455699999999999</v>
      </c>
      <c r="AG142" s="32">
        <v>1.1699470000000001</v>
      </c>
      <c r="AH142" s="33">
        <v>2.2675720000000004</v>
      </c>
      <c r="AI142" s="31">
        <f t="shared" si="20"/>
        <v>0.2</v>
      </c>
      <c r="AJ142" s="32">
        <v>0.3000000000000006</v>
      </c>
      <c r="AK142" s="32">
        <v>0.49999999999999939</v>
      </c>
      <c r="AL142" s="32">
        <v>0</v>
      </c>
      <c r="AM142" s="34">
        <v>0</v>
      </c>
    </row>
    <row r="143" spans="1:39" x14ac:dyDescent="0.3">
      <c r="A143" s="24" t="s">
        <v>272</v>
      </c>
      <c r="B143" s="25" t="s">
        <v>3</v>
      </c>
      <c r="C143" s="25" t="s">
        <v>45</v>
      </c>
      <c r="D143" s="25" t="s">
        <v>14</v>
      </c>
      <c r="E143" s="26" t="s">
        <v>65</v>
      </c>
      <c r="F143" s="27">
        <v>27</v>
      </c>
      <c r="G143" s="28">
        <f t="shared" si="14"/>
        <v>8.25</v>
      </c>
      <c r="H143" s="29">
        <v>7</v>
      </c>
      <c r="I143" s="29">
        <v>4</v>
      </c>
      <c r="J143" s="29">
        <v>8</v>
      </c>
      <c r="K143" s="30">
        <v>14</v>
      </c>
      <c r="L143" s="31">
        <f t="shared" si="15"/>
        <v>3.6148755000000001</v>
      </c>
      <c r="M143" s="32">
        <v>0.80342999999999998</v>
      </c>
      <c r="N143" s="32">
        <v>0.84368900000000002</v>
      </c>
      <c r="O143" s="32">
        <v>3.5895140000000003</v>
      </c>
      <c r="P143" s="33">
        <v>8.4709000000000003</v>
      </c>
      <c r="Q143" s="31">
        <f t="shared" si="16"/>
        <v>1.0048305</v>
      </c>
      <c r="R143" s="32">
        <v>0.33679999999999999</v>
      </c>
      <c r="S143" s="32">
        <v>0</v>
      </c>
      <c r="T143" s="32">
        <v>1.872298</v>
      </c>
      <c r="U143" s="33">
        <v>1.8102240000000001</v>
      </c>
      <c r="V143" s="31">
        <f t="shared" si="17"/>
        <v>1.2726549999999999</v>
      </c>
      <c r="W143" s="32">
        <v>0</v>
      </c>
      <c r="X143" s="32">
        <v>0.50871</v>
      </c>
      <c r="Y143" s="32">
        <v>1.3076000000000001</v>
      </c>
      <c r="Z143" s="33">
        <v>3.2743099999999998</v>
      </c>
      <c r="AA143" s="31">
        <f t="shared" si="18"/>
        <v>0.3759845</v>
      </c>
      <c r="AB143" s="32">
        <v>0.41698999999999997</v>
      </c>
      <c r="AC143" s="33">
        <v>0.33497900000000003</v>
      </c>
      <c r="AD143" s="31">
        <f t="shared" si="19"/>
        <v>0.23640549999999999</v>
      </c>
      <c r="AE143" s="32">
        <v>4.9639999999999997E-2</v>
      </c>
      <c r="AF143" s="32">
        <v>0</v>
      </c>
      <c r="AG143" s="32">
        <v>0.209616</v>
      </c>
      <c r="AH143" s="33">
        <v>0.68636600000000003</v>
      </c>
      <c r="AI143" s="31">
        <f t="shared" si="20"/>
        <v>0.7250000000000002</v>
      </c>
      <c r="AJ143" s="32">
        <v>0</v>
      </c>
      <c r="AK143" s="32">
        <v>0</v>
      </c>
      <c r="AL143" s="32">
        <v>0.20000000000000021</v>
      </c>
      <c r="AM143" s="34">
        <v>2.7000000000000006</v>
      </c>
    </row>
    <row r="144" spans="1:39" x14ac:dyDescent="0.3">
      <c r="A144" s="24" t="s">
        <v>272</v>
      </c>
      <c r="B144" s="25" t="s">
        <v>3</v>
      </c>
      <c r="C144" s="25" t="s">
        <v>45</v>
      </c>
      <c r="D144" s="25" t="s">
        <v>14</v>
      </c>
      <c r="E144" s="26" t="s">
        <v>182</v>
      </c>
      <c r="F144" s="27">
        <v>3</v>
      </c>
      <c r="G144" s="28">
        <f t="shared" si="14"/>
        <v>0</v>
      </c>
      <c r="H144" s="29">
        <v>0</v>
      </c>
      <c r="I144" s="29">
        <v>0</v>
      </c>
      <c r="J144" s="29">
        <v>0</v>
      </c>
      <c r="K144" s="30">
        <v>0</v>
      </c>
      <c r="L144" s="31">
        <f t="shared" si="15"/>
        <v>0</v>
      </c>
      <c r="M144" s="32">
        <v>0</v>
      </c>
      <c r="N144" s="32">
        <v>0</v>
      </c>
      <c r="O144" s="32">
        <v>0</v>
      </c>
      <c r="P144" s="33">
        <v>0</v>
      </c>
      <c r="Q144" s="31">
        <f t="shared" si="16"/>
        <v>0</v>
      </c>
      <c r="R144" s="32">
        <v>0</v>
      </c>
      <c r="S144" s="32">
        <v>0</v>
      </c>
      <c r="T144" s="32">
        <v>0</v>
      </c>
      <c r="U144" s="33">
        <v>0</v>
      </c>
      <c r="V144" s="31">
        <f t="shared" si="17"/>
        <v>0</v>
      </c>
      <c r="W144" s="32">
        <v>0</v>
      </c>
      <c r="X144" s="32">
        <v>0</v>
      </c>
      <c r="Y144" s="32">
        <v>0</v>
      </c>
      <c r="Z144" s="33">
        <v>0</v>
      </c>
      <c r="AA144" s="31">
        <f t="shared" si="18"/>
        <v>0</v>
      </c>
      <c r="AB144" s="32">
        <v>0</v>
      </c>
      <c r="AC144" s="33">
        <v>0</v>
      </c>
      <c r="AD144" s="31">
        <f t="shared" si="19"/>
        <v>0</v>
      </c>
      <c r="AE144" s="32">
        <v>0</v>
      </c>
      <c r="AF144" s="32">
        <v>0</v>
      </c>
      <c r="AG144" s="32">
        <v>0</v>
      </c>
      <c r="AH144" s="33">
        <v>0</v>
      </c>
      <c r="AI144" s="31">
        <f t="shared" si="20"/>
        <v>0</v>
      </c>
      <c r="AJ144" s="32">
        <v>0</v>
      </c>
      <c r="AK144" s="32">
        <v>0</v>
      </c>
      <c r="AL144" s="32">
        <v>0</v>
      </c>
      <c r="AM144" s="34">
        <v>0</v>
      </c>
    </row>
    <row r="145" spans="1:39" x14ac:dyDescent="0.3">
      <c r="A145" s="24" t="s">
        <v>272</v>
      </c>
      <c r="B145" s="25" t="s">
        <v>3</v>
      </c>
      <c r="C145" s="25" t="s">
        <v>45</v>
      </c>
      <c r="D145" s="25" t="s">
        <v>14</v>
      </c>
      <c r="E145" s="26" t="s">
        <v>128</v>
      </c>
      <c r="F145" s="27">
        <v>55</v>
      </c>
      <c r="G145" s="28">
        <f t="shared" si="14"/>
        <v>13.75</v>
      </c>
      <c r="H145" s="29">
        <v>17</v>
      </c>
      <c r="I145" s="29">
        <v>11</v>
      </c>
      <c r="J145" s="29">
        <v>11</v>
      </c>
      <c r="K145" s="30">
        <v>16</v>
      </c>
      <c r="L145" s="31">
        <f t="shared" si="15"/>
        <v>7.4003162500000004</v>
      </c>
      <c r="M145" s="32">
        <v>3.0786180000000001</v>
      </c>
      <c r="N145" s="32">
        <v>6.0830310000000001</v>
      </c>
      <c r="O145" s="32">
        <v>3.7642379999999998</v>
      </c>
      <c r="P145" s="33">
        <v>14.475956000000002</v>
      </c>
      <c r="Q145" s="31">
        <f t="shared" si="16"/>
        <v>1.57899075</v>
      </c>
      <c r="R145" s="32">
        <v>1.5629200000000001</v>
      </c>
      <c r="S145" s="32">
        <v>0.301172</v>
      </c>
      <c r="T145" s="32">
        <v>2.808916</v>
      </c>
      <c r="U145" s="33">
        <v>1.6429549999999999</v>
      </c>
      <c r="V145" s="31">
        <f t="shared" si="17"/>
        <v>1.8583425</v>
      </c>
      <c r="W145" s="32">
        <v>0</v>
      </c>
      <c r="X145" s="32">
        <v>0</v>
      </c>
      <c r="Y145" s="32">
        <v>0</v>
      </c>
      <c r="Z145" s="33">
        <v>7.43337</v>
      </c>
      <c r="AA145" s="31">
        <f t="shared" si="18"/>
        <v>1.0997110000000001</v>
      </c>
      <c r="AB145" s="32">
        <v>1.180823</v>
      </c>
      <c r="AC145" s="33">
        <v>1.018599</v>
      </c>
      <c r="AD145" s="31">
        <f t="shared" si="19"/>
        <v>0.72502449999999996</v>
      </c>
      <c r="AE145" s="32">
        <v>0.33487499999999998</v>
      </c>
      <c r="AF145" s="32">
        <v>0.24501000000000001</v>
      </c>
      <c r="AG145" s="32">
        <v>0.955322</v>
      </c>
      <c r="AH145" s="33">
        <v>1.3648909999999999</v>
      </c>
      <c r="AI145" s="31">
        <f t="shared" si="20"/>
        <v>2.1382475000000003</v>
      </c>
      <c r="AJ145" s="32">
        <v>0</v>
      </c>
      <c r="AK145" s="32">
        <v>4.5182500000000001</v>
      </c>
      <c r="AL145" s="32">
        <v>0</v>
      </c>
      <c r="AM145" s="34">
        <v>4.0347400000000011</v>
      </c>
    </row>
    <row r="146" spans="1:39" x14ac:dyDescent="0.3">
      <c r="A146" s="24" t="s">
        <v>272</v>
      </c>
      <c r="B146" s="25" t="s">
        <v>3</v>
      </c>
      <c r="C146" s="25" t="s">
        <v>45</v>
      </c>
      <c r="D146" s="25" t="s">
        <v>14</v>
      </c>
      <c r="E146" s="26" t="s">
        <v>186</v>
      </c>
      <c r="F146" s="27">
        <v>26</v>
      </c>
      <c r="G146" s="28">
        <f t="shared" si="14"/>
        <v>8.25</v>
      </c>
      <c r="H146" s="29">
        <v>13</v>
      </c>
      <c r="I146" s="29">
        <v>6</v>
      </c>
      <c r="J146" s="29">
        <v>7</v>
      </c>
      <c r="K146" s="30">
        <v>7</v>
      </c>
      <c r="L146" s="31">
        <f t="shared" si="15"/>
        <v>3.4664109999999999</v>
      </c>
      <c r="M146" s="32">
        <v>4.020467</v>
      </c>
      <c r="N146" s="32">
        <v>1.1282760000000001</v>
      </c>
      <c r="O146" s="32">
        <v>6.0038589999999994</v>
      </c>
      <c r="P146" s="33">
        <v>2.0505800000000001</v>
      </c>
      <c r="Q146" s="31">
        <f t="shared" si="16"/>
        <v>0.55816699999999997</v>
      </c>
      <c r="R146" s="32">
        <v>1.0025200000000001</v>
      </c>
      <c r="S146" s="32">
        <v>0</v>
      </c>
      <c r="T146" s="32">
        <v>0.91194799999999998</v>
      </c>
      <c r="U146" s="33">
        <v>0.31819999999999998</v>
      </c>
      <c r="V146" s="31">
        <f t="shared" si="17"/>
        <v>0.63255000000000006</v>
      </c>
      <c r="W146" s="32">
        <v>1.7101200000000001</v>
      </c>
      <c r="X146" s="32">
        <v>0</v>
      </c>
      <c r="Y146" s="32">
        <v>0.82008000000000003</v>
      </c>
      <c r="Z146" s="33">
        <v>0</v>
      </c>
      <c r="AA146" s="31">
        <f t="shared" si="18"/>
        <v>0.331231</v>
      </c>
      <c r="AB146" s="32">
        <v>0.37142199999999997</v>
      </c>
      <c r="AC146" s="33">
        <v>0.29104000000000002</v>
      </c>
      <c r="AD146" s="31">
        <f t="shared" si="19"/>
        <v>0.49446299999999999</v>
      </c>
      <c r="AE146" s="32">
        <v>0.636405</v>
      </c>
      <c r="AF146" s="32">
        <v>0.53723600000000005</v>
      </c>
      <c r="AG146" s="32">
        <v>0.27183099999999999</v>
      </c>
      <c r="AH146" s="33">
        <v>0.53238000000000008</v>
      </c>
      <c r="AI146" s="31">
        <f t="shared" si="20"/>
        <v>1.45</v>
      </c>
      <c r="AJ146" s="32">
        <v>0.29999999999999993</v>
      </c>
      <c r="AK146" s="32">
        <v>0.30000000000000004</v>
      </c>
      <c r="AL146" s="32">
        <v>3.9999999999999996</v>
      </c>
      <c r="AM146" s="34">
        <v>1.2</v>
      </c>
    </row>
    <row r="147" spans="1:39" x14ac:dyDescent="0.3">
      <c r="A147" s="24" t="s">
        <v>272</v>
      </c>
      <c r="B147" s="25" t="s">
        <v>3</v>
      </c>
      <c r="C147" s="25" t="s">
        <v>45</v>
      </c>
      <c r="D147" s="25" t="s">
        <v>14</v>
      </c>
      <c r="E147" s="26" t="s">
        <v>107</v>
      </c>
      <c r="F147" s="27">
        <v>1</v>
      </c>
      <c r="G147" s="28">
        <f t="shared" si="14"/>
        <v>37</v>
      </c>
      <c r="H147" s="29">
        <v>70</v>
      </c>
      <c r="I147" s="29">
        <v>32</v>
      </c>
      <c r="J147" s="29">
        <v>23</v>
      </c>
      <c r="K147" s="30">
        <v>23</v>
      </c>
      <c r="L147" s="31">
        <f t="shared" si="15"/>
        <v>51.710548500000009</v>
      </c>
      <c r="M147" s="32">
        <v>98.941405000000003</v>
      </c>
      <c r="N147" s="32">
        <v>43.750596000000002</v>
      </c>
      <c r="O147" s="32">
        <v>41.399270000000001</v>
      </c>
      <c r="P147" s="33">
        <v>20.939598</v>
      </c>
      <c r="Q147" s="31">
        <f t="shared" si="16"/>
        <v>0.100011</v>
      </c>
      <c r="R147" s="32">
        <v>0</v>
      </c>
      <c r="S147" s="32">
        <v>0.40004400000000001</v>
      </c>
      <c r="T147" s="32">
        <v>0</v>
      </c>
      <c r="U147" s="33">
        <v>0</v>
      </c>
      <c r="V147" s="31">
        <f t="shared" si="17"/>
        <v>50.363175000000005</v>
      </c>
      <c r="W147" s="32">
        <v>97.114410000000007</v>
      </c>
      <c r="X147" s="32">
        <v>42.569665999999998</v>
      </c>
      <c r="Y147" s="32">
        <v>41.330550000000002</v>
      </c>
      <c r="Z147" s="33">
        <v>20.438074</v>
      </c>
      <c r="AA147" s="31">
        <f t="shared" si="18"/>
        <v>0.90566250000000004</v>
      </c>
      <c r="AB147" s="32">
        <v>1.529979</v>
      </c>
      <c r="AC147" s="33">
        <v>0.28134599999999998</v>
      </c>
      <c r="AD147" s="31">
        <f t="shared" si="19"/>
        <v>0.3417</v>
      </c>
      <c r="AE147" s="32">
        <v>0.297016</v>
      </c>
      <c r="AF147" s="32">
        <v>0.49953999999999998</v>
      </c>
      <c r="AG147" s="32">
        <v>6.8720000000000003E-2</v>
      </c>
      <c r="AH147" s="33">
        <v>0.50152399999999997</v>
      </c>
      <c r="AI147" s="31">
        <f t="shared" si="20"/>
        <v>6.106226635438361E-16</v>
      </c>
      <c r="AJ147" s="32">
        <v>0</v>
      </c>
      <c r="AK147" s="32">
        <v>2.4424906541753444E-15</v>
      </c>
      <c r="AL147" s="32">
        <v>0</v>
      </c>
      <c r="AM147" s="34">
        <v>0</v>
      </c>
    </row>
    <row r="148" spans="1:39" x14ac:dyDescent="0.3">
      <c r="A148" s="24" t="s">
        <v>272</v>
      </c>
      <c r="B148" s="25" t="s">
        <v>3</v>
      </c>
      <c r="C148" s="25" t="s">
        <v>45</v>
      </c>
      <c r="D148" s="25" t="s">
        <v>14</v>
      </c>
      <c r="E148" s="26" t="s">
        <v>121</v>
      </c>
      <c r="F148" s="27">
        <v>33</v>
      </c>
      <c r="G148" s="28">
        <f t="shared" si="14"/>
        <v>7.75</v>
      </c>
      <c r="H148" s="29">
        <v>6</v>
      </c>
      <c r="I148" s="29">
        <v>8</v>
      </c>
      <c r="J148" s="29">
        <v>7</v>
      </c>
      <c r="K148" s="30">
        <v>10</v>
      </c>
      <c r="L148" s="31">
        <f t="shared" si="15"/>
        <v>3.6368277500000001</v>
      </c>
      <c r="M148" s="32">
        <v>1.8441169999999998</v>
      </c>
      <c r="N148" s="32">
        <v>2.3502039999999997</v>
      </c>
      <c r="O148" s="32">
        <v>4.278384</v>
      </c>
      <c r="P148" s="33">
        <v>5.0437720000000006</v>
      </c>
      <c r="Q148" s="31">
        <f t="shared" si="16"/>
        <v>1.8793009999999999</v>
      </c>
      <c r="R148" s="32">
        <v>1.3021389999999999</v>
      </c>
      <c r="S148" s="32">
        <v>1.0032300000000001</v>
      </c>
      <c r="T148" s="32">
        <v>2.560254</v>
      </c>
      <c r="U148" s="33">
        <v>2.6515810000000002</v>
      </c>
      <c r="V148" s="31">
        <f t="shared" si="17"/>
        <v>0.12610925000000001</v>
      </c>
      <c r="W148" s="32">
        <v>0</v>
      </c>
      <c r="X148" s="32">
        <v>0</v>
      </c>
      <c r="Y148" s="32">
        <v>0.20177500000000001</v>
      </c>
      <c r="Z148" s="33">
        <v>0.30266199999999999</v>
      </c>
      <c r="AA148" s="31">
        <f t="shared" si="18"/>
        <v>0.51541700000000001</v>
      </c>
      <c r="AB148" s="32">
        <v>0.40045900000000001</v>
      </c>
      <c r="AC148" s="33">
        <v>0.63037500000000002</v>
      </c>
      <c r="AD148" s="31">
        <f t="shared" si="19"/>
        <v>0.36600050000000001</v>
      </c>
      <c r="AE148" s="32">
        <v>0.14151900000000001</v>
      </c>
      <c r="AF148" s="32">
        <v>0.21659899999999999</v>
      </c>
      <c r="AG148" s="32">
        <v>0.51635500000000001</v>
      </c>
      <c r="AH148" s="33">
        <v>0.58952899999999997</v>
      </c>
      <c r="AI148" s="31">
        <f t="shared" si="20"/>
        <v>0.75</v>
      </c>
      <c r="AJ148" s="32">
        <v>0</v>
      </c>
      <c r="AK148" s="32">
        <v>0.49999999999999967</v>
      </c>
      <c r="AL148" s="32">
        <v>0.99999999999999989</v>
      </c>
      <c r="AM148" s="34">
        <v>1.5000000000000007</v>
      </c>
    </row>
    <row r="149" spans="1:39" x14ac:dyDescent="0.3">
      <c r="A149" s="24" t="s">
        <v>272</v>
      </c>
      <c r="B149" s="25" t="s">
        <v>12</v>
      </c>
      <c r="C149" s="25" t="s">
        <v>49</v>
      </c>
      <c r="D149" s="25" t="s">
        <v>9</v>
      </c>
      <c r="E149" s="26" t="s">
        <v>217</v>
      </c>
      <c r="F149" s="27">
        <v>3</v>
      </c>
      <c r="G149" s="28">
        <f t="shared" si="14"/>
        <v>0.75</v>
      </c>
      <c r="H149" s="29">
        <v>0</v>
      </c>
      <c r="I149" s="29">
        <v>0</v>
      </c>
      <c r="J149" s="29">
        <v>2</v>
      </c>
      <c r="K149" s="30">
        <v>1</v>
      </c>
      <c r="L149" s="31">
        <f t="shared" si="15"/>
        <v>1.8093474999999999</v>
      </c>
      <c r="M149" s="32">
        <v>0</v>
      </c>
      <c r="N149" s="32">
        <v>0</v>
      </c>
      <c r="O149" s="32">
        <v>2.7191100000000001</v>
      </c>
      <c r="P149" s="33">
        <v>4.5182799999999999</v>
      </c>
      <c r="Q149" s="31">
        <f t="shared" si="16"/>
        <v>0.50097749999999996</v>
      </c>
      <c r="R149" s="32">
        <v>0</v>
      </c>
      <c r="S149" s="32">
        <v>0</v>
      </c>
      <c r="T149" s="32">
        <v>2.0039099999999999</v>
      </c>
      <c r="U149" s="33">
        <v>0</v>
      </c>
      <c r="V149" s="31">
        <f t="shared" si="17"/>
        <v>1.30837</v>
      </c>
      <c r="W149" s="32">
        <v>0</v>
      </c>
      <c r="X149" s="32">
        <v>0</v>
      </c>
      <c r="Y149" s="32">
        <v>0.71519999999999995</v>
      </c>
      <c r="Z149" s="33">
        <v>4.5182799999999999</v>
      </c>
      <c r="AA149" s="31">
        <f t="shared" si="18"/>
        <v>0</v>
      </c>
      <c r="AB149" s="32">
        <v>0</v>
      </c>
      <c r="AC149" s="33">
        <v>0</v>
      </c>
      <c r="AD149" s="31">
        <f t="shared" si="19"/>
        <v>0</v>
      </c>
      <c r="AE149" s="32">
        <v>0</v>
      </c>
      <c r="AF149" s="32">
        <v>0</v>
      </c>
      <c r="AG149" s="32">
        <v>0</v>
      </c>
      <c r="AH149" s="33">
        <v>0</v>
      </c>
      <c r="AI149" s="31">
        <f t="shared" si="20"/>
        <v>8.3266726846886741E-17</v>
      </c>
      <c r="AJ149" s="32">
        <v>0</v>
      </c>
      <c r="AK149" s="32">
        <v>0</v>
      </c>
      <c r="AL149" s="32">
        <v>3.3306690738754696E-16</v>
      </c>
      <c r="AM149" s="34">
        <v>0</v>
      </c>
    </row>
    <row r="150" spans="1:39" x14ac:dyDescent="0.3">
      <c r="A150" s="24" t="s">
        <v>272</v>
      </c>
      <c r="B150" s="25" t="s">
        <v>12</v>
      </c>
      <c r="C150" s="25" t="s">
        <v>49</v>
      </c>
      <c r="D150" s="25" t="s">
        <v>9</v>
      </c>
      <c r="E150" s="26" t="s">
        <v>226</v>
      </c>
      <c r="F150" s="27">
        <v>4</v>
      </c>
      <c r="G150" s="28">
        <f t="shared" si="14"/>
        <v>0.25</v>
      </c>
      <c r="H150" s="29">
        <v>0</v>
      </c>
      <c r="I150" s="29">
        <v>0</v>
      </c>
      <c r="J150" s="29">
        <v>0</v>
      </c>
      <c r="K150" s="30">
        <v>1</v>
      </c>
      <c r="L150" s="31">
        <f t="shared" si="15"/>
        <v>5.9534999999999998E-2</v>
      </c>
      <c r="M150" s="32">
        <v>0</v>
      </c>
      <c r="N150" s="32">
        <v>0</v>
      </c>
      <c r="O150" s="32">
        <v>0</v>
      </c>
      <c r="P150" s="33">
        <v>0.23813999999999999</v>
      </c>
      <c r="Q150" s="31">
        <f t="shared" si="16"/>
        <v>0</v>
      </c>
      <c r="R150" s="32">
        <v>0</v>
      </c>
      <c r="S150" s="32">
        <v>0</v>
      </c>
      <c r="T150" s="32">
        <v>0</v>
      </c>
      <c r="U150" s="33">
        <v>0</v>
      </c>
      <c r="V150" s="31">
        <f t="shared" si="17"/>
        <v>0</v>
      </c>
      <c r="W150" s="32">
        <v>0</v>
      </c>
      <c r="X150" s="32">
        <v>0</v>
      </c>
      <c r="Y150" s="32">
        <v>0</v>
      </c>
      <c r="Z150" s="33">
        <v>0</v>
      </c>
      <c r="AA150" s="31">
        <f t="shared" si="18"/>
        <v>0</v>
      </c>
      <c r="AB150" s="32">
        <v>0</v>
      </c>
      <c r="AC150" s="33">
        <v>0</v>
      </c>
      <c r="AD150" s="31">
        <f t="shared" si="19"/>
        <v>0</v>
      </c>
      <c r="AE150" s="32">
        <v>0</v>
      </c>
      <c r="AF150" s="32">
        <v>0</v>
      </c>
      <c r="AG150" s="32">
        <v>0</v>
      </c>
      <c r="AH150" s="33">
        <v>0</v>
      </c>
      <c r="AI150" s="31">
        <f t="shared" si="20"/>
        <v>5.9534999999999998E-2</v>
      </c>
      <c r="AJ150" s="32">
        <v>0</v>
      </c>
      <c r="AK150" s="32">
        <v>0</v>
      </c>
      <c r="AL150" s="32">
        <v>0</v>
      </c>
      <c r="AM150" s="34">
        <v>0.23813999999999999</v>
      </c>
    </row>
    <row r="151" spans="1:39" x14ac:dyDescent="0.3">
      <c r="A151" s="24" t="s">
        <v>272</v>
      </c>
      <c r="B151" s="25" t="s">
        <v>12</v>
      </c>
      <c r="C151" s="25" t="s">
        <v>49</v>
      </c>
      <c r="D151" s="25" t="s">
        <v>9</v>
      </c>
      <c r="E151" s="26" t="s">
        <v>242</v>
      </c>
      <c r="F151" s="27">
        <v>7</v>
      </c>
      <c r="G151" s="28">
        <f t="shared" si="14"/>
        <v>0</v>
      </c>
      <c r="H151" s="29">
        <v>0</v>
      </c>
      <c r="I151" s="29">
        <v>0</v>
      </c>
      <c r="J151" s="29">
        <v>0</v>
      </c>
      <c r="K151" s="30">
        <v>0</v>
      </c>
      <c r="L151" s="31">
        <f t="shared" si="15"/>
        <v>0</v>
      </c>
      <c r="M151" s="32">
        <v>0</v>
      </c>
      <c r="N151" s="32">
        <v>0</v>
      </c>
      <c r="O151" s="32">
        <v>0</v>
      </c>
      <c r="P151" s="33">
        <v>0</v>
      </c>
      <c r="Q151" s="31">
        <f t="shared" si="16"/>
        <v>0</v>
      </c>
      <c r="R151" s="32">
        <v>0</v>
      </c>
      <c r="S151" s="32">
        <v>0</v>
      </c>
      <c r="T151" s="32">
        <v>0</v>
      </c>
      <c r="U151" s="33">
        <v>0</v>
      </c>
      <c r="V151" s="31">
        <f t="shared" si="17"/>
        <v>0</v>
      </c>
      <c r="W151" s="32">
        <v>0</v>
      </c>
      <c r="X151" s="32">
        <v>0</v>
      </c>
      <c r="Y151" s="32">
        <v>0</v>
      </c>
      <c r="Z151" s="33">
        <v>0</v>
      </c>
      <c r="AA151" s="31">
        <f t="shared" si="18"/>
        <v>0</v>
      </c>
      <c r="AB151" s="32">
        <v>0</v>
      </c>
      <c r="AC151" s="33">
        <v>0</v>
      </c>
      <c r="AD151" s="31">
        <f t="shared" si="19"/>
        <v>0</v>
      </c>
      <c r="AE151" s="32">
        <v>0</v>
      </c>
      <c r="AF151" s="32">
        <v>0</v>
      </c>
      <c r="AG151" s="32">
        <v>0</v>
      </c>
      <c r="AH151" s="33">
        <v>0</v>
      </c>
      <c r="AI151" s="31">
        <f t="shared" si="20"/>
        <v>0</v>
      </c>
      <c r="AJ151" s="32">
        <v>0</v>
      </c>
      <c r="AK151" s="32">
        <v>0</v>
      </c>
      <c r="AL151" s="32">
        <v>0</v>
      </c>
      <c r="AM151" s="34">
        <v>0</v>
      </c>
    </row>
    <row r="152" spans="1:39" x14ac:dyDescent="0.3">
      <c r="A152" s="24" t="s">
        <v>272</v>
      </c>
      <c r="B152" s="25" t="s">
        <v>12</v>
      </c>
      <c r="C152" s="25" t="s">
        <v>49</v>
      </c>
      <c r="D152" s="25" t="s">
        <v>9</v>
      </c>
      <c r="E152" s="26" t="s">
        <v>94</v>
      </c>
      <c r="F152" s="27">
        <v>76</v>
      </c>
      <c r="G152" s="28">
        <f t="shared" si="14"/>
        <v>45.5</v>
      </c>
      <c r="H152" s="29">
        <v>40</v>
      </c>
      <c r="I152" s="29">
        <v>25</v>
      </c>
      <c r="J152" s="29">
        <v>58</v>
      </c>
      <c r="K152" s="30">
        <v>59</v>
      </c>
      <c r="L152" s="31">
        <f t="shared" si="15"/>
        <v>22.822334999999995</v>
      </c>
      <c r="M152" s="32">
        <v>18.799692</v>
      </c>
      <c r="N152" s="32">
        <v>14.203389</v>
      </c>
      <c r="O152" s="32">
        <v>25.415647999999997</v>
      </c>
      <c r="P152" s="33">
        <v>29.507640999999992</v>
      </c>
      <c r="Q152" s="31">
        <f t="shared" si="16"/>
        <v>7.2449802500000002</v>
      </c>
      <c r="R152" s="32">
        <v>7.1273359999999997</v>
      </c>
      <c r="S152" s="32">
        <v>5.2699639999999999</v>
      </c>
      <c r="T152" s="32">
        <v>7.835928</v>
      </c>
      <c r="U152" s="33">
        <v>8.7466930000000005</v>
      </c>
      <c r="V152" s="31">
        <f t="shared" si="17"/>
        <v>8.691832999999999</v>
      </c>
      <c r="W152" s="32">
        <v>2.2310300000000001</v>
      </c>
      <c r="X152" s="32">
        <v>5.8228599999999995</v>
      </c>
      <c r="Y152" s="32">
        <v>12.270771</v>
      </c>
      <c r="Z152" s="33">
        <v>14.442671000000001</v>
      </c>
      <c r="AA152" s="31">
        <f t="shared" si="18"/>
        <v>1.6814849999999999</v>
      </c>
      <c r="AB152" s="32">
        <v>2.15455</v>
      </c>
      <c r="AC152" s="33">
        <v>1.20842</v>
      </c>
      <c r="AD152" s="31">
        <f t="shared" si="19"/>
        <v>2.7991392500000001</v>
      </c>
      <c r="AE152" s="32">
        <v>0.68677600000000005</v>
      </c>
      <c r="AF152" s="32">
        <v>0.79332500000000006</v>
      </c>
      <c r="AG152" s="32">
        <v>4.0359790000000002</v>
      </c>
      <c r="AH152" s="33">
        <v>5.6804769999999998</v>
      </c>
      <c r="AI152" s="31">
        <f t="shared" si="20"/>
        <v>2.404897499999997</v>
      </c>
      <c r="AJ152" s="32">
        <v>6.6</v>
      </c>
      <c r="AK152" s="32">
        <v>1.1088200000000001</v>
      </c>
      <c r="AL152" s="32">
        <v>1.2729699999999982</v>
      </c>
      <c r="AM152" s="34">
        <v>0.63779999999999148</v>
      </c>
    </row>
    <row r="153" spans="1:39" x14ac:dyDescent="0.3">
      <c r="A153" s="24" t="s">
        <v>272</v>
      </c>
      <c r="B153" s="25" t="s">
        <v>12</v>
      </c>
      <c r="C153" s="25" t="s">
        <v>49</v>
      </c>
      <c r="D153" s="25" t="s">
        <v>9</v>
      </c>
      <c r="E153" s="26" t="s">
        <v>208</v>
      </c>
      <c r="F153" s="27">
        <v>23</v>
      </c>
      <c r="G153" s="28">
        <f t="shared" si="14"/>
        <v>6</v>
      </c>
      <c r="H153" s="29">
        <v>8</v>
      </c>
      <c r="I153" s="29">
        <v>7</v>
      </c>
      <c r="J153" s="29">
        <v>7</v>
      </c>
      <c r="K153" s="30">
        <v>2</v>
      </c>
      <c r="L153" s="31">
        <f t="shared" si="15"/>
        <v>3.7154842500000003</v>
      </c>
      <c r="M153" s="32">
        <v>5.1728930000000002</v>
      </c>
      <c r="N153" s="32">
        <v>3.272732</v>
      </c>
      <c r="O153" s="32">
        <v>4.9392069999999997</v>
      </c>
      <c r="P153" s="33">
        <v>1.0648899999999999</v>
      </c>
      <c r="Q153" s="31">
        <f t="shared" si="16"/>
        <v>2.5098067500000001</v>
      </c>
      <c r="R153" s="32">
        <v>5.0021399999999998</v>
      </c>
      <c r="S153" s="32">
        <v>3.0312700000000001</v>
      </c>
      <c r="T153" s="32">
        <v>2.005817</v>
      </c>
      <c r="U153" s="33">
        <v>0</v>
      </c>
      <c r="V153" s="31">
        <f t="shared" si="17"/>
        <v>0.35581249999999998</v>
      </c>
      <c r="W153" s="32">
        <v>0</v>
      </c>
      <c r="X153" s="32">
        <v>0</v>
      </c>
      <c r="Y153" s="32">
        <v>0.51065000000000005</v>
      </c>
      <c r="Z153" s="33">
        <v>0.91259999999999997</v>
      </c>
      <c r="AA153" s="31">
        <f t="shared" si="18"/>
        <v>0.2061075</v>
      </c>
      <c r="AB153" s="32">
        <v>0.17075299999999999</v>
      </c>
      <c r="AC153" s="33">
        <v>0.24146200000000001</v>
      </c>
      <c r="AD153" s="31">
        <f t="shared" si="19"/>
        <v>0.1415575</v>
      </c>
      <c r="AE153" s="32">
        <v>0</v>
      </c>
      <c r="AF153" s="32">
        <v>0</v>
      </c>
      <c r="AG153" s="32">
        <v>0.41394000000000003</v>
      </c>
      <c r="AH153" s="33">
        <v>0.15229000000000001</v>
      </c>
      <c r="AI153" s="31">
        <f t="shared" si="20"/>
        <v>0.50219999999999998</v>
      </c>
      <c r="AJ153" s="32">
        <v>3.8857805861880479E-16</v>
      </c>
      <c r="AK153" s="32">
        <v>0</v>
      </c>
      <c r="AL153" s="32">
        <v>2.0087999999999995</v>
      </c>
      <c r="AM153" s="34">
        <v>0</v>
      </c>
    </row>
    <row r="154" spans="1:39" x14ac:dyDescent="0.3">
      <c r="A154" s="24" t="s">
        <v>272</v>
      </c>
      <c r="B154" s="25" t="s">
        <v>12</v>
      </c>
      <c r="C154" s="25" t="s">
        <v>49</v>
      </c>
      <c r="D154" s="25" t="s">
        <v>9</v>
      </c>
      <c r="E154" s="26" t="s">
        <v>232</v>
      </c>
      <c r="F154" s="27">
        <v>8</v>
      </c>
      <c r="G154" s="28">
        <f t="shared" si="14"/>
        <v>4</v>
      </c>
      <c r="H154" s="29">
        <v>7</v>
      </c>
      <c r="I154" s="29">
        <v>5</v>
      </c>
      <c r="J154" s="29">
        <v>2</v>
      </c>
      <c r="K154" s="30">
        <v>2</v>
      </c>
      <c r="L154" s="31">
        <f t="shared" si="15"/>
        <v>11.60567125</v>
      </c>
      <c r="M154" s="32">
        <v>27.983642000000003</v>
      </c>
      <c r="N154" s="32">
        <v>10.205351</v>
      </c>
      <c r="O154" s="32">
        <v>4.4598909999999998</v>
      </c>
      <c r="P154" s="33">
        <v>3.51898</v>
      </c>
      <c r="Q154" s="31">
        <f t="shared" si="16"/>
        <v>0.50199300000000002</v>
      </c>
      <c r="R154" s="32">
        <v>1.0004820000000001</v>
      </c>
      <c r="S154" s="32">
        <v>0</v>
      </c>
      <c r="T154" s="32">
        <v>0</v>
      </c>
      <c r="U154" s="33">
        <v>1.00749</v>
      </c>
      <c r="V154" s="31">
        <f t="shared" si="17"/>
        <v>10.39311</v>
      </c>
      <c r="W154" s="32">
        <v>26.983160000000002</v>
      </c>
      <c r="X154" s="32">
        <v>8.4352</v>
      </c>
      <c r="Y154" s="32">
        <v>3.6425899999999998</v>
      </c>
      <c r="Z154" s="33">
        <v>2.5114899999999998</v>
      </c>
      <c r="AA154" s="31">
        <f t="shared" si="18"/>
        <v>0.12741050000000001</v>
      </c>
      <c r="AB154" s="32">
        <v>0</v>
      </c>
      <c r="AC154" s="33">
        <v>0.25482100000000002</v>
      </c>
      <c r="AD154" s="31">
        <f t="shared" si="19"/>
        <v>0.20432525000000001</v>
      </c>
      <c r="AE154" s="32">
        <v>0</v>
      </c>
      <c r="AF154" s="32">
        <v>0</v>
      </c>
      <c r="AG154" s="32">
        <v>0.81730100000000006</v>
      </c>
      <c r="AH154" s="33">
        <v>0</v>
      </c>
      <c r="AI154" s="31">
        <f t="shared" si="20"/>
        <v>0.37883250000000018</v>
      </c>
      <c r="AJ154" s="32">
        <v>0</v>
      </c>
      <c r="AK154" s="32">
        <v>1.5153300000000003</v>
      </c>
      <c r="AL154" s="32">
        <v>0</v>
      </c>
      <c r="AM154" s="34">
        <v>4.4408920985006262E-16</v>
      </c>
    </row>
    <row r="155" spans="1:39" x14ac:dyDescent="0.3">
      <c r="A155" s="24" t="s">
        <v>272</v>
      </c>
      <c r="B155" s="25" t="s">
        <v>12</v>
      </c>
      <c r="C155" s="25" t="s">
        <v>49</v>
      </c>
      <c r="D155" s="25" t="s">
        <v>9</v>
      </c>
      <c r="E155" s="26" t="s">
        <v>110</v>
      </c>
      <c r="F155" s="27">
        <v>88</v>
      </c>
      <c r="G155" s="28">
        <f t="shared" si="14"/>
        <v>41.5</v>
      </c>
      <c r="H155" s="29">
        <v>46</v>
      </c>
      <c r="I155" s="29">
        <v>30</v>
      </c>
      <c r="J155" s="29">
        <v>46</v>
      </c>
      <c r="K155" s="30">
        <v>44</v>
      </c>
      <c r="L155" s="31">
        <f t="shared" si="15"/>
        <v>28.612033499999995</v>
      </c>
      <c r="M155" s="32">
        <v>15.250689999999999</v>
      </c>
      <c r="N155" s="32">
        <v>17.373934999999999</v>
      </c>
      <c r="O155" s="32">
        <v>41.646246999999995</v>
      </c>
      <c r="P155" s="33">
        <v>35.558674999999994</v>
      </c>
      <c r="Q155" s="31">
        <f t="shared" si="16"/>
        <v>9.5425439999999995</v>
      </c>
      <c r="R155" s="32">
        <v>5.733428</v>
      </c>
      <c r="S155" s="32">
        <v>7.1034170000000003</v>
      </c>
      <c r="T155" s="32">
        <v>15.9251</v>
      </c>
      <c r="U155" s="33">
        <v>9.4082310000000007</v>
      </c>
      <c r="V155" s="31">
        <f t="shared" si="17"/>
        <v>12.602885000000001</v>
      </c>
      <c r="W155" s="32">
        <v>3.9239699999999997</v>
      </c>
      <c r="X155" s="32">
        <v>6.0301200000000001</v>
      </c>
      <c r="Y155" s="32">
        <v>20.551940000000002</v>
      </c>
      <c r="Z155" s="33">
        <v>19.905510000000003</v>
      </c>
      <c r="AA155" s="31">
        <f t="shared" si="18"/>
        <v>2.3092934999999999</v>
      </c>
      <c r="AB155" s="32">
        <v>3.4187369999999997</v>
      </c>
      <c r="AC155" s="33">
        <v>1.1998499999999999</v>
      </c>
      <c r="AD155" s="31">
        <f t="shared" si="19"/>
        <v>2.0823109999999998</v>
      </c>
      <c r="AE155" s="32">
        <v>0.57455500000000004</v>
      </c>
      <c r="AF155" s="32">
        <v>0.44054800000000005</v>
      </c>
      <c r="AG155" s="32">
        <v>2.6692070000000001</v>
      </c>
      <c r="AH155" s="33">
        <v>4.6449340000000001</v>
      </c>
      <c r="AI155" s="31">
        <f t="shared" si="20"/>
        <v>2.0749999999999953</v>
      </c>
      <c r="AJ155" s="32">
        <v>1.5999999999999992</v>
      </c>
      <c r="AK155" s="32">
        <v>2.5999999999999992</v>
      </c>
      <c r="AL155" s="32">
        <v>2.4999999999999929</v>
      </c>
      <c r="AM155" s="34">
        <v>1.5999999999999899</v>
      </c>
    </row>
    <row r="156" spans="1:39" x14ac:dyDescent="0.3">
      <c r="A156" s="24" t="s">
        <v>272</v>
      </c>
      <c r="B156" s="25" t="s">
        <v>12</v>
      </c>
      <c r="C156" s="25" t="s">
        <v>49</v>
      </c>
      <c r="D156" s="25" t="s">
        <v>5</v>
      </c>
      <c r="E156" s="26" t="s">
        <v>87</v>
      </c>
      <c r="F156" s="27">
        <v>1</v>
      </c>
      <c r="G156" s="28">
        <f t="shared" si="14"/>
        <v>13.75</v>
      </c>
      <c r="H156" s="29">
        <v>2</v>
      </c>
      <c r="I156" s="29">
        <v>21</v>
      </c>
      <c r="J156" s="29">
        <v>16</v>
      </c>
      <c r="K156" s="30">
        <v>16</v>
      </c>
      <c r="L156" s="31">
        <f t="shared" si="15"/>
        <v>6.1729574999999999</v>
      </c>
      <c r="M156" s="32">
        <v>0.653447</v>
      </c>
      <c r="N156" s="32">
        <v>10.073537</v>
      </c>
      <c r="O156" s="32">
        <v>6.8929669999999996</v>
      </c>
      <c r="P156" s="33">
        <v>6.4184320000000001</v>
      </c>
      <c r="Q156" s="31">
        <f t="shared" si="16"/>
        <v>0.39927899999999994</v>
      </c>
      <c r="R156" s="32">
        <v>0</v>
      </c>
      <c r="S156" s="32">
        <v>0</v>
      </c>
      <c r="T156" s="32">
        <v>1.2007159999999999</v>
      </c>
      <c r="U156" s="33">
        <v>0.39639999999999997</v>
      </c>
      <c r="V156" s="31">
        <f t="shared" si="17"/>
        <v>0.14677499999999999</v>
      </c>
      <c r="W156" s="32">
        <v>0</v>
      </c>
      <c r="X156" s="32">
        <v>0</v>
      </c>
      <c r="Y156" s="32">
        <v>0.58709999999999996</v>
      </c>
      <c r="Z156" s="33">
        <v>0</v>
      </c>
      <c r="AA156" s="31">
        <f t="shared" si="18"/>
        <v>0.3267235</v>
      </c>
      <c r="AB156" s="32">
        <v>0.653447</v>
      </c>
      <c r="AC156" s="33">
        <v>0</v>
      </c>
      <c r="AD156" s="31">
        <f t="shared" si="19"/>
        <v>5.3001800000000001</v>
      </c>
      <c r="AE156" s="32">
        <v>0</v>
      </c>
      <c r="AF156" s="32">
        <v>10.073537</v>
      </c>
      <c r="AG156" s="32">
        <v>5.1051510000000002</v>
      </c>
      <c r="AH156" s="33">
        <v>6.0220320000000003</v>
      </c>
      <c r="AI156" s="31">
        <f t="shared" si="20"/>
        <v>0</v>
      </c>
      <c r="AJ156" s="32">
        <v>0</v>
      </c>
      <c r="AK156" s="32">
        <v>0</v>
      </c>
      <c r="AL156" s="32">
        <v>0</v>
      </c>
      <c r="AM156" s="34">
        <v>0</v>
      </c>
    </row>
    <row r="157" spans="1:39" x14ac:dyDescent="0.3">
      <c r="A157" s="24" t="s">
        <v>272</v>
      </c>
      <c r="B157" s="25" t="s">
        <v>12</v>
      </c>
      <c r="C157" s="25" t="s">
        <v>49</v>
      </c>
      <c r="D157" s="25" t="s">
        <v>14</v>
      </c>
      <c r="E157" s="26" t="s">
        <v>66</v>
      </c>
      <c r="F157" s="27">
        <v>7</v>
      </c>
      <c r="G157" s="28">
        <f t="shared" si="14"/>
        <v>2.25</v>
      </c>
      <c r="H157" s="29">
        <v>1</v>
      </c>
      <c r="I157" s="29">
        <v>1</v>
      </c>
      <c r="J157" s="29">
        <v>4</v>
      </c>
      <c r="K157" s="30">
        <v>3</v>
      </c>
      <c r="L157" s="31">
        <f t="shared" si="15"/>
        <v>0.27031150000000004</v>
      </c>
      <c r="M157" s="32">
        <v>5.348E-2</v>
      </c>
      <c r="N157" s="32">
        <v>5.552E-2</v>
      </c>
      <c r="O157" s="32">
        <v>0.63221300000000002</v>
      </c>
      <c r="P157" s="33">
        <v>0.34003300000000003</v>
      </c>
      <c r="Q157" s="31">
        <f t="shared" si="16"/>
        <v>0</v>
      </c>
      <c r="R157" s="32">
        <v>0</v>
      </c>
      <c r="S157" s="32">
        <v>0</v>
      </c>
      <c r="T157" s="32">
        <v>0</v>
      </c>
      <c r="U157" s="33">
        <v>0</v>
      </c>
      <c r="V157" s="31">
        <f t="shared" si="17"/>
        <v>0</v>
      </c>
      <c r="W157" s="32">
        <v>0</v>
      </c>
      <c r="X157" s="32">
        <v>0</v>
      </c>
      <c r="Y157" s="32">
        <v>0</v>
      </c>
      <c r="Z157" s="33">
        <v>0</v>
      </c>
      <c r="AA157" s="31">
        <f t="shared" si="18"/>
        <v>0</v>
      </c>
      <c r="AB157" s="32">
        <v>0</v>
      </c>
      <c r="AC157" s="33">
        <v>0</v>
      </c>
      <c r="AD157" s="31">
        <f t="shared" si="19"/>
        <v>0.27031150000000004</v>
      </c>
      <c r="AE157" s="32">
        <v>5.348E-2</v>
      </c>
      <c r="AF157" s="32">
        <v>5.552E-2</v>
      </c>
      <c r="AG157" s="32">
        <v>0.63221300000000002</v>
      </c>
      <c r="AH157" s="33">
        <v>0.34003300000000003</v>
      </c>
      <c r="AI157" s="31">
        <f t="shared" si="20"/>
        <v>0</v>
      </c>
      <c r="AJ157" s="32">
        <v>0</v>
      </c>
      <c r="AK157" s="32">
        <v>0</v>
      </c>
      <c r="AL157" s="32">
        <v>0</v>
      </c>
      <c r="AM157" s="34">
        <v>0</v>
      </c>
    </row>
    <row r="158" spans="1:39" x14ac:dyDescent="0.3">
      <c r="A158" s="24" t="s">
        <v>272</v>
      </c>
      <c r="B158" s="25" t="s">
        <v>12</v>
      </c>
      <c r="C158" s="25" t="s">
        <v>49</v>
      </c>
      <c r="D158" s="25" t="s">
        <v>14</v>
      </c>
      <c r="E158" s="26" t="s">
        <v>259</v>
      </c>
      <c r="F158" s="27">
        <v>2</v>
      </c>
      <c r="G158" s="28">
        <f t="shared" si="14"/>
        <v>0.25</v>
      </c>
      <c r="H158" s="29">
        <v>1</v>
      </c>
      <c r="I158" s="29">
        <v>0</v>
      </c>
      <c r="J158" s="29">
        <v>0</v>
      </c>
      <c r="K158" s="30">
        <v>0</v>
      </c>
      <c r="L158" s="31">
        <f t="shared" si="15"/>
        <v>1.3646E-2</v>
      </c>
      <c r="M158" s="32">
        <v>5.4584000000000001E-2</v>
      </c>
      <c r="N158" s="32">
        <v>0</v>
      </c>
      <c r="O158" s="32">
        <v>0</v>
      </c>
      <c r="P158" s="33">
        <v>0</v>
      </c>
      <c r="Q158" s="31">
        <f t="shared" si="16"/>
        <v>0</v>
      </c>
      <c r="R158" s="32">
        <v>0</v>
      </c>
      <c r="S158" s="32">
        <v>0</v>
      </c>
      <c r="T158" s="32">
        <v>0</v>
      </c>
      <c r="U158" s="33">
        <v>0</v>
      </c>
      <c r="V158" s="31">
        <f t="shared" si="17"/>
        <v>0</v>
      </c>
      <c r="W158" s="32">
        <v>0</v>
      </c>
      <c r="X158" s="32">
        <v>0</v>
      </c>
      <c r="Y158" s="32">
        <v>0</v>
      </c>
      <c r="Z158" s="33">
        <v>0</v>
      </c>
      <c r="AA158" s="31">
        <f t="shared" si="18"/>
        <v>0</v>
      </c>
      <c r="AB158" s="32">
        <v>0</v>
      </c>
      <c r="AC158" s="33">
        <v>0</v>
      </c>
      <c r="AD158" s="31">
        <f t="shared" si="19"/>
        <v>1.3646E-2</v>
      </c>
      <c r="AE158" s="32">
        <v>5.4584000000000001E-2</v>
      </c>
      <c r="AF158" s="32">
        <v>0</v>
      </c>
      <c r="AG158" s="32">
        <v>0</v>
      </c>
      <c r="AH158" s="33">
        <v>0</v>
      </c>
      <c r="AI158" s="31">
        <f t="shared" si="20"/>
        <v>0</v>
      </c>
      <c r="AJ158" s="32">
        <v>0</v>
      </c>
      <c r="AK158" s="32">
        <v>0</v>
      </c>
      <c r="AL158" s="32">
        <v>0</v>
      </c>
      <c r="AM158" s="34">
        <v>0</v>
      </c>
    </row>
    <row r="159" spans="1:39" x14ac:dyDescent="0.3">
      <c r="A159" s="24" t="s">
        <v>272</v>
      </c>
      <c r="B159" s="25" t="s">
        <v>12</v>
      </c>
      <c r="C159" s="25" t="s">
        <v>49</v>
      </c>
      <c r="D159" s="25" t="s">
        <v>14</v>
      </c>
      <c r="E159" s="26" t="s">
        <v>227</v>
      </c>
      <c r="F159" s="27">
        <v>12</v>
      </c>
      <c r="G159" s="28">
        <f t="shared" si="14"/>
        <v>1.75</v>
      </c>
      <c r="H159" s="29">
        <v>0</v>
      </c>
      <c r="I159" s="29">
        <v>1</v>
      </c>
      <c r="J159" s="29">
        <v>2</v>
      </c>
      <c r="K159" s="30">
        <v>4</v>
      </c>
      <c r="L159" s="31">
        <f t="shared" si="15"/>
        <v>0.32092274999999998</v>
      </c>
      <c r="M159" s="32">
        <v>0</v>
      </c>
      <c r="N159" s="32">
        <v>0.16405900000000001</v>
      </c>
      <c r="O159" s="32">
        <v>0.205206</v>
      </c>
      <c r="P159" s="33">
        <v>0.75036700000000001</v>
      </c>
      <c r="Q159" s="31">
        <f t="shared" si="16"/>
        <v>7.5060000000000002E-2</v>
      </c>
      <c r="R159" s="32">
        <v>0</v>
      </c>
      <c r="S159" s="32">
        <v>0</v>
      </c>
      <c r="T159" s="32">
        <v>0</v>
      </c>
      <c r="U159" s="33">
        <v>0.30024000000000001</v>
      </c>
      <c r="V159" s="31">
        <f t="shared" si="17"/>
        <v>0</v>
      </c>
      <c r="W159" s="32">
        <v>0</v>
      </c>
      <c r="X159" s="32">
        <v>0</v>
      </c>
      <c r="Y159" s="32">
        <v>0</v>
      </c>
      <c r="Z159" s="33">
        <v>0</v>
      </c>
      <c r="AA159" s="31">
        <f t="shared" si="18"/>
        <v>8.2029500000000005E-2</v>
      </c>
      <c r="AB159" s="32">
        <v>0</v>
      </c>
      <c r="AC159" s="33">
        <v>0.16405900000000001</v>
      </c>
      <c r="AD159" s="31">
        <f t="shared" si="19"/>
        <v>0.16383324999999999</v>
      </c>
      <c r="AE159" s="32">
        <v>0</v>
      </c>
      <c r="AF159" s="32">
        <v>0</v>
      </c>
      <c r="AG159" s="32">
        <v>0.205206</v>
      </c>
      <c r="AH159" s="33">
        <v>0.450127</v>
      </c>
      <c r="AI159" s="31">
        <f t="shared" si="20"/>
        <v>0</v>
      </c>
      <c r="AJ159" s="32">
        <v>0</v>
      </c>
      <c r="AK159" s="32">
        <v>0</v>
      </c>
      <c r="AL159" s="32">
        <v>0</v>
      </c>
      <c r="AM159" s="34">
        <v>0</v>
      </c>
    </row>
    <row r="160" spans="1:39" x14ac:dyDescent="0.3">
      <c r="A160" s="24" t="s">
        <v>272</v>
      </c>
      <c r="B160" s="25" t="s">
        <v>12</v>
      </c>
      <c r="C160" s="25" t="s">
        <v>49</v>
      </c>
      <c r="D160" s="25" t="s">
        <v>14</v>
      </c>
      <c r="E160" s="26" t="s">
        <v>157</v>
      </c>
      <c r="F160" s="27">
        <v>11</v>
      </c>
      <c r="G160" s="28">
        <f t="shared" si="14"/>
        <v>0.25</v>
      </c>
      <c r="H160" s="29">
        <v>0</v>
      </c>
      <c r="I160" s="29">
        <v>0</v>
      </c>
      <c r="J160" s="29">
        <v>1</v>
      </c>
      <c r="K160" s="30">
        <v>0</v>
      </c>
      <c r="L160" s="31">
        <f t="shared" si="15"/>
        <v>1.3849999999999999E-2</v>
      </c>
      <c r="M160" s="32">
        <v>0</v>
      </c>
      <c r="N160" s="32">
        <v>0</v>
      </c>
      <c r="O160" s="32">
        <v>5.5399999999999998E-2</v>
      </c>
      <c r="P160" s="33">
        <v>0</v>
      </c>
      <c r="Q160" s="31">
        <f t="shared" si="16"/>
        <v>0</v>
      </c>
      <c r="R160" s="32">
        <v>0</v>
      </c>
      <c r="S160" s="32">
        <v>0</v>
      </c>
      <c r="T160" s="32">
        <v>0</v>
      </c>
      <c r="U160" s="33">
        <v>0</v>
      </c>
      <c r="V160" s="31">
        <f t="shared" si="17"/>
        <v>0</v>
      </c>
      <c r="W160" s="32">
        <v>0</v>
      </c>
      <c r="X160" s="32">
        <v>0</v>
      </c>
      <c r="Y160" s="32">
        <v>0</v>
      </c>
      <c r="Z160" s="33">
        <v>0</v>
      </c>
      <c r="AA160" s="31">
        <f t="shared" si="18"/>
        <v>0</v>
      </c>
      <c r="AB160" s="32">
        <v>0</v>
      </c>
      <c r="AC160" s="33">
        <v>0</v>
      </c>
      <c r="AD160" s="31">
        <f t="shared" si="19"/>
        <v>1.3849999999999999E-2</v>
      </c>
      <c r="AE160" s="32">
        <v>0</v>
      </c>
      <c r="AF160" s="32">
        <v>0</v>
      </c>
      <c r="AG160" s="32">
        <v>5.5399999999999998E-2</v>
      </c>
      <c r="AH160" s="33">
        <v>0</v>
      </c>
      <c r="AI160" s="31">
        <f t="shared" si="20"/>
        <v>0</v>
      </c>
      <c r="AJ160" s="32">
        <v>0</v>
      </c>
      <c r="AK160" s="32">
        <v>0</v>
      </c>
      <c r="AL160" s="32">
        <v>0</v>
      </c>
      <c r="AM160" s="34">
        <v>0</v>
      </c>
    </row>
    <row r="161" spans="1:39" x14ac:dyDescent="0.3">
      <c r="A161" s="24" t="s">
        <v>272</v>
      </c>
      <c r="B161" s="25" t="s">
        <v>12</v>
      </c>
      <c r="C161" s="25" t="s">
        <v>49</v>
      </c>
      <c r="D161" s="25" t="s">
        <v>14</v>
      </c>
      <c r="E161" s="26" t="s">
        <v>264</v>
      </c>
      <c r="F161" s="27">
        <v>1</v>
      </c>
      <c r="G161" s="28">
        <f t="shared" si="14"/>
        <v>0</v>
      </c>
      <c r="H161" s="29">
        <v>0</v>
      </c>
      <c r="I161" s="29">
        <v>0</v>
      </c>
      <c r="J161" s="29">
        <v>0</v>
      </c>
      <c r="K161" s="30">
        <v>0</v>
      </c>
      <c r="L161" s="31">
        <f t="shared" si="15"/>
        <v>0</v>
      </c>
      <c r="M161" s="32">
        <v>0</v>
      </c>
      <c r="N161" s="32">
        <v>0</v>
      </c>
      <c r="O161" s="32">
        <v>0</v>
      </c>
      <c r="P161" s="33">
        <v>0</v>
      </c>
      <c r="Q161" s="31">
        <f t="shared" si="16"/>
        <v>0</v>
      </c>
      <c r="R161" s="32">
        <v>0</v>
      </c>
      <c r="S161" s="32">
        <v>0</v>
      </c>
      <c r="T161" s="32">
        <v>0</v>
      </c>
      <c r="U161" s="33">
        <v>0</v>
      </c>
      <c r="V161" s="31">
        <f t="shared" si="17"/>
        <v>0</v>
      </c>
      <c r="W161" s="32">
        <v>0</v>
      </c>
      <c r="X161" s="32">
        <v>0</v>
      </c>
      <c r="Y161" s="32">
        <v>0</v>
      </c>
      <c r="Z161" s="33">
        <v>0</v>
      </c>
      <c r="AA161" s="31">
        <f t="shared" si="18"/>
        <v>0</v>
      </c>
      <c r="AB161" s="32">
        <v>0</v>
      </c>
      <c r="AC161" s="33">
        <v>0</v>
      </c>
      <c r="AD161" s="31">
        <f t="shared" si="19"/>
        <v>0</v>
      </c>
      <c r="AE161" s="32">
        <v>0</v>
      </c>
      <c r="AF161" s="32">
        <v>0</v>
      </c>
      <c r="AG161" s="32">
        <v>0</v>
      </c>
      <c r="AH161" s="33">
        <v>0</v>
      </c>
      <c r="AI161" s="31">
        <f t="shared" si="20"/>
        <v>0</v>
      </c>
      <c r="AJ161" s="32">
        <v>0</v>
      </c>
      <c r="AK161" s="32">
        <v>0</v>
      </c>
      <c r="AL161" s="32">
        <v>0</v>
      </c>
      <c r="AM161" s="34">
        <v>0</v>
      </c>
    </row>
    <row r="162" spans="1:39" x14ac:dyDescent="0.3">
      <c r="A162" s="24" t="s">
        <v>272</v>
      </c>
      <c r="B162" s="25" t="s">
        <v>12</v>
      </c>
      <c r="C162" s="25" t="s">
        <v>49</v>
      </c>
      <c r="D162" s="25" t="s">
        <v>14</v>
      </c>
      <c r="E162" s="26" t="s">
        <v>109</v>
      </c>
      <c r="F162" s="27">
        <v>55</v>
      </c>
      <c r="G162" s="28">
        <f t="shared" si="14"/>
        <v>19.75</v>
      </c>
      <c r="H162" s="29">
        <v>16</v>
      </c>
      <c r="I162" s="29">
        <v>27</v>
      </c>
      <c r="J162" s="29">
        <v>18</v>
      </c>
      <c r="K162" s="30">
        <v>18</v>
      </c>
      <c r="L162" s="31">
        <f t="shared" si="15"/>
        <v>6.4538095000000002</v>
      </c>
      <c r="M162" s="32">
        <v>4.1018920000000003</v>
      </c>
      <c r="N162" s="32">
        <v>6.4345500000000007</v>
      </c>
      <c r="O162" s="32">
        <v>5.8561239999999994</v>
      </c>
      <c r="P162" s="33">
        <v>6.6931079999999996</v>
      </c>
      <c r="Q162" s="31">
        <f t="shared" si="16"/>
        <v>2.2720277500000003</v>
      </c>
      <c r="R162" s="32">
        <v>1.0001249999999999</v>
      </c>
      <c r="S162" s="32">
        <v>3.8018079999999999</v>
      </c>
      <c r="T162" s="32">
        <v>1.2661560000000001</v>
      </c>
      <c r="U162" s="33">
        <v>3.020022</v>
      </c>
      <c r="V162" s="31">
        <f t="shared" si="17"/>
        <v>1.1141775000000003</v>
      </c>
      <c r="W162" s="32">
        <v>0</v>
      </c>
      <c r="X162" s="32">
        <v>0</v>
      </c>
      <c r="Y162" s="32">
        <v>2.3392500000000003</v>
      </c>
      <c r="Z162" s="33">
        <v>2.1174600000000003</v>
      </c>
      <c r="AA162" s="31">
        <f t="shared" si="18"/>
        <v>1.3647819999999999</v>
      </c>
      <c r="AB162" s="32">
        <v>1.03186</v>
      </c>
      <c r="AC162" s="33">
        <v>1.6977039999999997</v>
      </c>
      <c r="AD162" s="31">
        <f t="shared" si="19"/>
        <v>1.4528222500000001</v>
      </c>
      <c r="AE162" s="32">
        <v>1.0699070000000002</v>
      </c>
      <c r="AF162" s="32">
        <v>0.93503799999999981</v>
      </c>
      <c r="AG162" s="32">
        <v>2.250718</v>
      </c>
      <c r="AH162" s="33">
        <v>1.555626</v>
      </c>
      <c r="AI162" s="31">
        <f t="shared" si="20"/>
        <v>0.25000000000000044</v>
      </c>
      <c r="AJ162" s="32">
        <v>1.0000000000000004</v>
      </c>
      <c r="AK162" s="32">
        <v>1.3322676295501878E-15</v>
      </c>
      <c r="AL162" s="32">
        <v>0</v>
      </c>
      <c r="AM162" s="34">
        <v>0</v>
      </c>
    </row>
    <row r="163" spans="1:39" x14ac:dyDescent="0.3">
      <c r="A163" s="24" t="s">
        <v>272</v>
      </c>
      <c r="B163" s="25" t="s">
        <v>12</v>
      </c>
      <c r="C163" s="25" t="s">
        <v>49</v>
      </c>
      <c r="D163" s="25" t="s">
        <v>14</v>
      </c>
      <c r="E163" s="26" t="s">
        <v>193</v>
      </c>
      <c r="F163" s="27">
        <v>2</v>
      </c>
      <c r="G163" s="28">
        <f t="shared" si="14"/>
        <v>0.5</v>
      </c>
      <c r="H163" s="29">
        <v>0</v>
      </c>
      <c r="I163" s="29">
        <v>0</v>
      </c>
      <c r="J163" s="29">
        <v>1</v>
      </c>
      <c r="K163" s="30">
        <v>1</v>
      </c>
      <c r="L163" s="31">
        <f t="shared" si="15"/>
        <v>6.8183500000000008E-2</v>
      </c>
      <c r="M163" s="32">
        <v>0</v>
      </c>
      <c r="N163" s="32">
        <v>0</v>
      </c>
      <c r="O163" s="32">
        <v>0.21143200000000001</v>
      </c>
      <c r="P163" s="33">
        <v>6.1302000000000002E-2</v>
      </c>
      <c r="Q163" s="31">
        <f t="shared" si="16"/>
        <v>0</v>
      </c>
      <c r="R163" s="32">
        <v>0</v>
      </c>
      <c r="S163" s="32">
        <v>0</v>
      </c>
      <c r="T163" s="32">
        <v>0</v>
      </c>
      <c r="U163" s="33">
        <v>0</v>
      </c>
      <c r="V163" s="31">
        <f t="shared" si="17"/>
        <v>0</v>
      </c>
      <c r="W163" s="32">
        <v>0</v>
      </c>
      <c r="X163" s="32">
        <v>0</v>
      </c>
      <c r="Y163" s="32">
        <v>0</v>
      </c>
      <c r="Z163" s="33">
        <v>0</v>
      </c>
      <c r="AA163" s="31">
        <f t="shared" si="18"/>
        <v>0</v>
      </c>
      <c r="AB163" s="32">
        <v>0</v>
      </c>
      <c r="AC163" s="33">
        <v>0</v>
      </c>
      <c r="AD163" s="31">
        <f t="shared" si="19"/>
        <v>6.8183500000000008E-2</v>
      </c>
      <c r="AE163" s="32">
        <v>0</v>
      </c>
      <c r="AF163" s="32">
        <v>0</v>
      </c>
      <c r="AG163" s="32">
        <v>0.21143200000000001</v>
      </c>
      <c r="AH163" s="33">
        <v>6.1302000000000002E-2</v>
      </c>
      <c r="AI163" s="31">
        <f t="shared" si="20"/>
        <v>0</v>
      </c>
      <c r="AJ163" s="32">
        <v>0</v>
      </c>
      <c r="AK163" s="32">
        <v>0</v>
      </c>
      <c r="AL163" s="32">
        <v>0</v>
      </c>
      <c r="AM163" s="34">
        <v>0</v>
      </c>
    </row>
    <row r="164" spans="1:39" x14ac:dyDescent="0.3">
      <c r="A164" s="24" t="s">
        <v>272</v>
      </c>
      <c r="B164" s="25" t="s">
        <v>12</v>
      </c>
      <c r="C164" s="25" t="s">
        <v>49</v>
      </c>
      <c r="D164" s="25" t="s">
        <v>14</v>
      </c>
      <c r="E164" s="26" t="s">
        <v>107</v>
      </c>
      <c r="F164" s="27">
        <v>155</v>
      </c>
      <c r="G164" s="28">
        <f t="shared" si="14"/>
        <v>71.5</v>
      </c>
      <c r="H164" s="29">
        <v>85</v>
      </c>
      <c r="I164" s="29">
        <v>72</v>
      </c>
      <c r="J164" s="29">
        <v>62</v>
      </c>
      <c r="K164" s="30">
        <v>67</v>
      </c>
      <c r="L164" s="31">
        <f t="shared" si="15"/>
        <v>49.041775749999985</v>
      </c>
      <c r="M164" s="32">
        <v>44.592459999999981</v>
      </c>
      <c r="N164" s="32">
        <v>54.291086</v>
      </c>
      <c r="O164" s="32">
        <v>54.43180799999999</v>
      </c>
      <c r="P164" s="33">
        <v>31.490347000000003</v>
      </c>
      <c r="Q164" s="31">
        <f t="shared" si="16"/>
        <v>18.754714</v>
      </c>
      <c r="R164" s="32">
        <v>15.557663</v>
      </c>
      <c r="S164" s="32">
        <v>23.236944000000001</v>
      </c>
      <c r="T164" s="32">
        <v>21.807602000000003</v>
      </c>
      <c r="U164" s="33">
        <v>14.416646999999998</v>
      </c>
      <c r="V164" s="31">
        <f t="shared" si="17"/>
        <v>15.909541249999998</v>
      </c>
      <c r="W164" s="32">
        <v>11.658420000000001</v>
      </c>
      <c r="X164" s="32">
        <v>14.798281999999999</v>
      </c>
      <c r="Y164" s="32">
        <v>23.657172999999997</v>
      </c>
      <c r="Z164" s="33">
        <v>13.524290000000001</v>
      </c>
      <c r="AA164" s="31">
        <f t="shared" si="18"/>
        <v>5.6807010000000009</v>
      </c>
      <c r="AB164" s="32">
        <v>7.9106270000000007</v>
      </c>
      <c r="AC164" s="33">
        <v>3.4507750000000006</v>
      </c>
      <c r="AD164" s="31">
        <f t="shared" si="19"/>
        <v>2.5843194999999999</v>
      </c>
      <c r="AE164" s="32">
        <v>1.7157500000000001</v>
      </c>
      <c r="AF164" s="32">
        <v>1.6050849999999999</v>
      </c>
      <c r="AG164" s="32">
        <v>3.4670329999999998</v>
      </c>
      <c r="AH164" s="33">
        <v>3.54941</v>
      </c>
      <c r="AI164" s="31">
        <f t="shared" si="20"/>
        <v>6.1124999999999936</v>
      </c>
      <c r="AJ164" s="32">
        <v>7.7499999999999822</v>
      </c>
      <c r="AK164" s="32">
        <v>11.2</v>
      </c>
      <c r="AL164" s="32">
        <v>5.4999999999999902</v>
      </c>
      <c r="AM164" s="34">
        <v>5.3290705182007514E-15</v>
      </c>
    </row>
    <row r="165" spans="1:39" x14ac:dyDescent="0.3">
      <c r="A165" s="24" t="s">
        <v>272</v>
      </c>
      <c r="B165" s="25" t="s">
        <v>12</v>
      </c>
      <c r="C165" s="25" t="s">
        <v>49</v>
      </c>
      <c r="D165" s="25" t="s">
        <v>14</v>
      </c>
      <c r="E165" s="26" t="s">
        <v>241</v>
      </c>
      <c r="F165" s="27">
        <v>2</v>
      </c>
      <c r="G165" s="28">
        <f t="shared" si="14"/>
        <v>0.25</v>
      </c>
      <c r="H165" s="29">
        <v>0</v>
      </c>
      <c r="I165" s="29">
        <v>1</v>
      </c>
      <c r="J165" s="29">
        <v>0</v>
      </c>
      <c r="K165" s="30">
        <v>0</v>
      </c>
      <c r="L165" s="31">
        <f t="shared" si="15"/>
        <v>2.0684999999999999E-2</v>
      </c>
      <c r="M165" s="32">
        <v>0</v>
      </c>
      <c r="N165" s="32">
        <v>8.2739999999999994E-2</v>
      </c>
      <c r="O165" s="32">
        <v>0</v>
      </c>
      <c r="P165" s="33">
        <v>0</v>
      </c>
      <c r="Q165" s="31">
        <f t="shared" si="16"/>
        <v>0</v>
      </c>
      <c r="R165" s="32">
        <v>0</v>
      </c>
      <c r="S165" s="32">
        <v>0</v>
      </c>
      <c r="T165" s="32">
        <v>0</v>
      </c>
      <c r="U165" s="33">
        <v>0</v>
      </c>
      <c r="V165" s="31">
        <f t="shared" si="17"/>
        <v>0</v>
      </c>
      <c r="W165" s="32">
        <v>0</v>
      </c>
      <c r="X165" s="32">
        <v>0</v>
      </c>
      <c r="Y165" s="32">
        <v>0</v>
      </c>
      <c r="Z165" s="33">
        <v>0</v>
      </c>
      <c r="AA165" s="31">
        <f t="shared" si="18"/>
        <v>0</v>
      </c>
      <c r="AB165" s="32">
        <v>0</v>
      </c>
      <c r="AC165" s="33">
        <v>0</v>
      </c>
      <c r="AD165" s="31">
        <f t="shared" si="19"/>
        <v>2.0684999999999999E-2</v>
      </c>
      <c r="AE165" s="32">
        <v>0</v>
      </c>
      <c r="AF165" s="32">
        <v>8.2739999999999994E-2</v>
      </c>
      <c r="AG165" s="32">
        <v>0</v>
      </c>
      <c r="AH165" s="33">
        <v>0</v>
      </c>
      <c r="AI165" s="31">
        <f t="shared" si="20"/>
        <v>0</v>
      </c>
      <c r="AJ165" s="32">
        <v>0</v>
      </c>
      <c r="AK165" s="32">
        <v>0</v>
      </c>
      <c r="AL165" s="32">
        <v>0</v>
      </c>
      <c r="AM165" s="34">
        <v>0</v>
      </c>
    </row>
    <row r="166" spans="1:39" x14ac:dyDescent="0.3">
      <c r="A166" s="24" t="s">
        <v>272</v>
      </c>
      <c r="B166" s="25" t="s">
        <v>12</v>
      </c>
      <c r="C166" s="25" t="s">
        <v>49</v>
      </c>
      <c r="D166" s="25" t="s">
        <v>14</v>
      </c>
      <c r="E166" s="26" t="s">
        <v>194</v>
      </c>
      <c r="F166" s="27">
        <v>3</v>
      </c>
      <c r="G166" s="28">
        <f t="shared" si="14"/>
        <v>0</v>
      </c>
      <c r="H166" s="29">
        <v>0</v>
      </c>
      <c r="I166" s="29">
        <v>0</v>
      </c>
      <c r="J166" s="29">
        <v>0</v>
      </c>
      <c r="K166" s="30">
        <v>0</v>
      </c>
      <c r="L166" s="31">
        <f t="shared" si="15"/>
        <v>0</v>
      </c>
      <c r="M166" s="32">
        <v>0</v>
      </c>
      <c r="N166" s="32">
        <v>0</v>
      </c>
      <c r="O166" s="32">
        <v>0</v>
      </c>
      <c r="P166" s="33">
        <v>0</v>
      </c>
      <c r="Q166" s="31">
        <f t="shared" si="16"/>
        <v>0</v>
      </c>
      <c r="R166" s="32">
        <v>0</v>
      </c>
      <c r="S166" s="32">
        <v>0</v>
      </c>
      <c r="T166" s="32">
        <v>0</v>
      </c>
      <c r="U166" s="33">
        <v>0</v>
      </c>
      <c r="V166" s="31">
        <f t="shared" si="17"/>
        <v>0</v>
      </c>
      <c r="W166" s="32">
        <v>0</v>
      </c>
      <c r="X166" s="32">
        <v>0</v>
      </c>
      <c r="Y166" s="32">
        <v>0</v>
      </c>
      <c r="Z166" s="33">
        <v>0</v>
      </c>
      <c r="AA166" s="31">
        <f t="shared" si="18"/>
        <v>0</v>
      </c>
      <c r="AB166" s="32">
        <v>0</v>
      </c>
      <c r="AC166" s="33">
        <v>0</v>
      </c>
      <c r="AD166" s="31">
        <f t="shared" si="19"/>
        <v>0</v>
      </c>
      <c r="AE166" s="32">
        <v>0</v>
      </c>
      <c r="AF166" s="32">
        <v>0</v>
      </c>
      <c r="AG166" s="32">
        <v>0</v>
      </c>
      <c r="AH166" s="33">
        <v>0</v>
      </c>
      <c r="AI166" s="31">
        <f t="shared" si="20"/>
        <v>0</v>
      </c>
      <c r="AJ166" s="32">
        <v>0</v>
      </c>
      <c r="AK166" s="32">
        <v>0</v>
      </c>
      <c r="AL166" s="32">
        <v>0</v>
      </c>
      <c r="AM166" s="34">
        <v>0</v>
      </c>
    </row>
    <row r="167" spans="1:39" x14ac:dyDescent="0.3">
      <c r="A167" s="24" t="s">
        <v>272</v>
      </c>
      <c r="B167" s="25" t="s">
        <v>12</v>
      </c>
      <c r="C167" s="25" t="s">
        <v>49</v>
      </c>
      <c r="D167" s="25" t="s">
        <v>14</v>
      </c>
      <c r="E167" s="26" t="s">
        <v>96</v>
      </c>
      <c r="F167" s="27">
        <v>4</v>
      </c>
      <c r="G167" s="28">
        <f t="shared" si="14"/>
        <v>0</v>
      </c>
      <c r="H167" s="29">
        <v>0</v>
      </c>
      <c r="I167" s="29">
        <v>0</v>
      </c>
      <c r="J167" s="29">
        <v>0</v>
      </c>
      <c r="K167" s="30">
        <v>0</v>
      </c>
      <c r="L167" s="31">
        <f t="shared" si="15"/>
        <v>0</v>
      </c>
      <c r="M167" s="32">
        <v>0</v>
      </c>
      <c r="N167" s="32">
        <v>0</v>
      </c>
      <c r="O167" s="32">
        <v>0</v>
      </c>
      <c r="P167" s="33">
        <v>0</v>
      </c>
      <c r="Q167" s="31">
        <f t="shared" si="16"/>
        <v>0</v>
      </c>
      <c r="R167" s="32">
        <v>0</v>
      </c>
      <c r="S167" s="32">
        <v>0</v>
      </c>
      <c r="T167" s="32">
        <v>0</v>
      </c>
      <c r="U167" s="33">
        <v>0</v>
      </c>
      <c r="V167" s="31">
        <f t="shared" si="17"/>
        <v>0</v>
      </c>
      <c r="W167" s="32">
        <v>0</v>
      </c>
      <c r="X167" s="32">
        <v>0</v>
      </c>
      <c r="Y167" s="32">
        <v>0</v>
      </c>
      <c r="Z167" s="33">
        <v>0</v>
      </c>
      <c r="AA167" s="31">
        <f t="shared" si="18"/>
        <v>0</v>
      </c>
      <c r="AB167" s="32">
        <v>0</v>
      </c>
      <c r="AC167" s="33">
        <v>0</v>
      </c>
      <c r="AD167" s="31">
        <f t="shared" si="19"/>
        <v>0</v>
      </c>
      <c r="AE167" s="32">
        <v>0</v>
      </c>
      <c r="AF167" s="32">
        <v>0</v>
      </c>
      <c r="AG167" s="32">
        <v>0</v>
      </c>
      <c r="AH167" s="33">
        <v>0</v>
      </c>
      <c r="AI167" s="31">
        <f t="shared" si="20"/>
        <v>0</v>
      </c>
      <c r="AJ167" s="32">
        <v>0</v>
      </c>
      <c r="AK167" s="32">
        <v>0</v>
      </c>
      <c r="AL167" s="32">
        <v>0</v>
      </c>
      <c r="AM167" s="34">
        <v>0</v>
      </c>
    </row>
    <row r="168" spans="1:39" x14ac:dyDescent="0.3">
      <c r="A168" s="24" t="s">
        <v>272</v>
      </c>
      <c r="B168" s="25" t="s">
        <v>12</v>
      </c>
      <c r="C168" s="25" t="s">
        <v>49</v>
      </c>
      <c r="D168" s="25" t="s">
        <v>14</v>
      </c>
      <c r="E168" s="26" t="s">
        <v>177</v>
      </c>
      <c r="F168" s="27">
        <v>3</v>
      </c>
      <c r="G168" s="28">
        <f t="shared" si="14"/>
        <v>0</v>
      </c>
      <c r="H168" s="29">
        <v>0</v>
      </c>
      <c r="I168" s="29">
        <v>0</v>
      </c>
      <c r="J168" s="29">
        <v>0</v>
      </c>
      <c r="K168" s="30">
        <v>0</v>
      </c>
      <c r="L168" s="31">
        <f t="shared" si="15"/>
        <v>0</v>
      </c>
      <c r="M168" s="32">
        <v>0</v>
      </c>
      <c r="N168" s="32">
        <v>0</v>
      </c>
      <c r="O168" s="32">
        <v>0</v>
      </c>
      <c r="P168" s="33">
        <v>0</v>
      </c>
      <c r="Q168" s="31">
        <f t="shared" si="16"/>
        <v>0</v>
      </c>
      <c r="R168" s="32">
        <v>0</v>
      </c>
      <c r="S168" s="32">
        <v>0</v>
      </c>
      <c r="T168" s="32">
        <v>0</v>
      </c>
      <c r="U168" s="33">
        <v>0</v>
      </c>
      <c r="V168" s="31">
        <f t="shared" si="17"/>
        <v>0</v>
      </c>
      <c r="W168" s="32">
        <v>0</v>
      </c>
      <c r="X168" s="32">
        <v>0</v>
      </c>
      <c r="Y168" s="32">
        <v>0</v>
      </c>
      <c r="Z168" s="33">
        <v>0</v>
      </c>
      <c r="AA168" s="31">
        <f t="shared" si="18"/>
        <v>0</v>
      </c>
      <c r="AB168" s="32">
        <v>0</v>
      </c>
      <c r="AC168" s="33">
        <v>0</v>
      </c>
      <c r="AD168" s="31">
        <f t="shared" si="19"/>
        <v>0</v>
      </c>
      <c r="AE168" s="32">
        <v>0</v>
      </c>
      <c r="AF168" s="32">
        <v>0</v>
      </c>
      <c r="AG168" s="32">
        <v>0</v>
      </c>
      <c r="AH168" s="33">
        <v>0</v>
      </c>
      <c r="AI168" s="31">
        <f t="shared" si="20"/>
        <v>0</v>
      </c>
      <c r="AJ168" s="32">
        <v>0</v>
      </c>
      <c r="AK168" s="32">
        <v>0</v>
      </c>
      <c r="AL168" s="32">
        <v>0</v>
      </c>
      <c r="AM168" s="34">
        <v>0</v>
      </c>
    </row>
    <row r="169" spans="1:39" x14ac:dyDescent="0.3">
      <c r="A169" s="24" t="s">
        <v>272</v>
      </c>
      <c r="B169" s="25" t="s">
        <v>1</v>
      </c>
      <c r="C169" s="25" t="s">
        <v>46</v>
      </c>
      <c r="D169" s="25" t="s">
        <v>31</v>
      </c>
      <c r="E169" s="26" t="s">
        <v>175</v>
      </c>
      <c r="F169" s="27">
        <v>4</v>
      </c>
      <c r="G169" s="28">
        <f t="shared" si="14"/>
        <v>0</v>
      </c>
      <c r="H169" s="29">
        <v>0</v>
      </c>
      <c r="I169" s="29">
        <v>0</v>
      </c>
      <c r="J169" s="29">
        <v>0</v>
      </c>
      <c r="K169" s="30">
        <v>0</v>
      </c>
      <c r="L169" s="31">
        <f t="shared" si="15"/>
        <v>0</v>
      </c>
      <c r="M169" s="32">
        <v>0</v>
      </c>
      <c r="N169" s="32">
        <v>0</v>
      </c>
      <c r="O169" s="32">
        <v>0</v>
      </c>
      <c r="P169" s="33">
        <v>0</v>
      </c>
      <c r="Q169" s="31">
        <f t="shared" si="16"/>
        <v>0</v>
      </c>
      <c r="R169" s="32">
        <v>0</v>
      </c>
      <c r="S169" s="32">
        <v>0</v>
      </c>
      <c r="T169" s="32">
        <v>0</v>
      </c>
      <c r="U169" s="33">
        <v>0</v>
      </c>
      <c r="V169" s="31">
        <f t="shared" si="17"/>
        <v>0</v>
      </c>
      <c r="W169" s="32">
        <v>0</v>
      </c>
      <c r="X169" s="32">
        <v>0</v>
      </c>
      <c r="Y169" s="32">
        <v>0</v>
      </c>
      <c r="Z169" s="33">
        <v>0</v>
      </c>
      <c r="AA169" s="31">
        <f t="shared" si="18"/>
        <v>0</v>
      </c>
      <c r="AB169" s="32">
        <v>0</v>
      </c>
      <c r="AC169" s="33">
        <v>0</v>
      </c>
      <c r="AD169" s="31">
        <f t="shared" si="19"/>
        <v>0</v>
      </c>
      <c r="AE169" s="32">
        <v>0</v>
      </c>
      <c r="AF169" s="32">
        <v>0</v>
      </c>
      <c r="AG169" s="32">
        <v>0</v>
      </c>
      <c r="AH169" s="33">
        <v>0</v>
      </c>
      <c r="AI169" s="31">
        <f t="shared" si="20"/>
        <v>0</v>
      </c>
      <c r="AJ169" s="32">
        <v>0</v>
      </c>
      <c r="AK169" s="32">
        <v>0</v>
      </c>
      <c r="AL169" s="32">
        <v>0</v>
      </c>
      <c r="AM169" s="34">
        <v>0</v>
      </c>
    </row>
    <row r="170" spans="1:39" x14ac:dyDescent="0.3">
      <c r="A170" s="24" t="s">
        <v>272</v>
      </c>
      <c r="B170" s="25" t="s">
        <v>1</v>
      </c>
      <c r="C170" s="25" t="s">
        <v>46</v>
      </c>
      <c r="D170" s="25" t="s">
        <v>31</v>
      </c>
      <c r="E170" s="26" t="s">
        <v>163</v>
      </c>
      <c r="F170" s="27">
        <v>48</v>
      </c>
      <c r="G170" s="28">
        <f t="shared" si="14"/>
        <v>43</v>
      </c>
      <c r="H170" s="29">
        <v>46</v>
      </c>
      <c r="I170" s="29">
        <v>51</v>
      </c>
      <c r="J170" s="29">
        <v>31</v>
      </c>
      <c r="K170" s="30">
        <v>44</v>
      </c>
      <c r="L170" s="31">
        <f t="shared" si="15"/>
        <v>18.2428715</v>
      </c>
      <c r="M170" s="32">
        <v>17.324911</v>
      </c>
      <c r="N170" s="32">
        <v>23.271129000000002</v>
      </c>
      <c r="O170" s="32">
        <v>10.102848000000002</v>
      </c>
      <c r="P170" s="33">
        <v>18.073494</v>
      </c>
      <c r="Q170" s="31">
        <f t="shared" si="16"/>
        <v>5.1351300000000002</v>
      </c>
      <c r="R170" s="32">
        <v>5.4935270000000012</v>
      </c>
      <c r="S170" s="32">
        <v>6.4445699999999997</v>
      </c>
      <c r="T170" s="32">
        <v>3.2492369999999999</v>
      </c>
      <c r="U170" s="33">
        <v>5.3531859999999991</v>
      </c>
      <c r="V170" s="31">
        <f t="shared" si="17"/>
        <v>5.08223</v>
      </c>
      <c r="W170" s="32">
        <v>3.7464500000000003</v>
      </c>
      <c r="X170" s="32">
        <v>10.520770000000001</v>
      </c>
      <c r="Y170" s="32">
        <v>0.25573000000000001</v>
      </c>
      <c r="Z170" s="33">
        <v>5.8059699999999994</v>
      </c>
      <c r="AA170" s="31">
        <f t="shared" si="18"/>
        <v>2.0995520000000001</v>
      </c>
      <c r="AB170" s="32">
        <v>2.5534910000000002</v>
      </c>
      <c r="AC170" s="33">
        <v>1.645613</v>
      </c>
      <c r="AD170" s="31">
        <f t="shared" si="19"/>
        <v>2.1337670000000002</v>
      </c>
      <c r="AE170" s="32">
        <v>1.1633230000000001</v>
      </c>
      <c r="AF170" s="32">
        <v>1.8940360000000003</v>
      </c>
      <c r="AG170" s="32">
        <v>2.7970110000000004</v>
      </c>
      <c r="AH170" s="33">
        <v>2.680698</v>
      </c>
      <c r="AI170" s="31">
        <f t="shared" si="20"/>
        <v>3.7921925000000014</v>
      </c>
      <c r="AJ170" s="32">
        <v>4.3681200000000002</v>
      </c>
      <c r="AK170" s="32">
        <v>2.7661400000000023</v>
      </c>
      <c r="AL170" s="32">
        <v>3.8008700000000015</v>
      </c>
      <c r="AM170" s="34">
        <v>4.2336400000000012</v>
      </c>
    </row>
    <row r="171" spans="1:39" x14ac:dyDescent="0.3">
      <c r="A171" s="24" t="s">
        <v>272</v>
      </c>
      <c r="B171" s="25" t="s">
        <v>1</v>
      </c>
      <c r="C171" s="25" t="s">
        <v>46</v>
      </c>
      <c r="D171" s="25" t="s">
        <v>31</v>
      </c>
      <c r="E171" s="26" t="s">
        <v>195</v>
      </c>
      <c r="F171" s="27">
        <v>6</v>
      </c>
      <c r="G171" s="28">
        <f t="shared" si="14"/>
        <v>0.75</v>
      </c>
      <c r="H171" s="29">
        <v>1</v>
      </c>
      <c r="I171" s="29">
        <v>1</v>
      </c>
      <c r="J171" s="29">
        <v>1</v>
      </c>
      <c r="K171" s="30">
        <v>0</v>
      </c>
      <c r="L171" s="31">
        <f t="shared" si="15"/>
        <v>0.28628425000000002</v>
      </c>
      <c r="M171" s="32">
        <v>0.17896999999999999</v>
      </c>
      <c r="N171" s="32">
        <v>0.14308999999999999</v>
      </c>
      <c r="O171" s="32">
        <v>0.50101700000000005</v>
      </c>
      <c r="P171" s="33">
        <v>0</v>
      </c>
      <c r="Q171" s="31">
        <f t="shared" si="16"/>
        <v>0.12525425000000001</v>
      </c>
      <c r="R171" s="32">
        <v>0</v>
      </c>
      <c r="S171" s="32">
        <v>0</v>
      </c>
      <c r="T171" s="32">
        <v>0.50101700000000005</v>
      </c>
      <c r="U171" s="33">
        <v>0</v>
      </c>
      <c r="V171" s="31">
        <f t="shared" si="17"/>
        <v>0</v>
      </c>
      <c r="W171" s="32">
        <v>0</v>
      </c>
      <c r="X171" s="32">
        <v>0</v>
      </c>
      <c r="Y171" s="32">
        <v>0</v>
      </c>
      <c r="Z171" s="33">
        <v>0</v>
      </c>
      <c r="AA171" s="31">
        <f t="shared" si="18"/>
        <v>0.16103000000000001</v>
      </c>
      <c r="AB171" s="32">
        <v>0.17896999999999999</v>
      </c>
      <c r="AC171" s="33">
        <v>0.14308999999999999</v>
      </c>
      <c r="AD171" s="31">
        <f t="shared" si="19"/>
        <v>0</v>
      </c>
      <c r="AE171" s="32">
        <v>0</v>
      </c>
      <c r="AF171" s="32">
        <v>0</v>
      </c>
      <c r="AG171" s="32">
        <v>0</v>
      </c>
      <c r="AH171" s="33">
        <v>0</v>
      </c>
      <c r="AI171" s="31">
        <f t="shared" si="20"/>
        <v>0</v>
      </c>
      <c r="AJ171" s="32">
        <v>0</v>
      </c>
      <c r="AK171" s="32">
        <v>0</v>
      </c>
      <c r="AL171" s="32">
        <v>0</v>
      </c>
      <c r="AM171" s="34">
        <v>0</v>
      </c>
    </row>
    <row r="172" spans="1:39" x14ac:dyDescent="0.3">
      <c r="A172" s="24" t="s">
        <v>272</v>
      </c>
      <c r="B172" s="25" t="s">
        <v>1</v>
      </c>
      <c r="C172" s="25" t="s">
        <v>46</v>
      </c>
      <c r="D172" s="25" t="s">
        <v>31</v>
      </c>
      <c r="E172" s="26" t="s">
        <v>234</v>
      </c>
      <c r="F172" s="27">
        <v>8</v>
      </c>
      <c r="G172" s="28">
        <f t="shared" si="14"/>
        <v>1</v>
      </c>
      <c r="H172" s="29">
        <v>1</v>
      </c>
      <c r="I172" s="29">
        <v>1</v>
      </c>
      <c r="J172" s="29">
        <v>1</v>
      </c>
      <c r="K172" s="30">
        <v>1</v>
      </c>
      <c r="L172" s="31">
        <f t="shared" si="15"/>
        <v>1.5263654999999998</v>
      </c>
      <c r="M172" s="32">
        <v>1.0037700000000001</v>
      </c>
      <c r="N172" s="32">
        <v>1.0004820000000001</v>
      </c>
      <c r="O172" s="32">
        <v>2.0988500000000001</v>
      </c>
      <c r="P172" s="33">
        <v>2.0023599999999999</v>
      </c>
      <c r="Q172" s="31">
        <f t="shared" si="16"/>
        <v>1.0257755</v>
      </c>
      <c r="R172" s="32">
        <v>1.0037700000000001</v>
      </c>
      <c r="S172" s="32">
        <v>1.0004820000000001</v>
      </c>
      <c r="T172" s="32">
        <v>2.0988500000000001</v>
      </c>
      <c r="U172" s="33">
        <v>0</v>
      </c>
      <c r="V172" s="31">
        <f t="shared" si="17"/>
        <v>0.50058999999999998</v>
      </c>
      <c r="W172" s="32">
        <v>0</v>
      </c>
      <c r="X172" s="32">
        <v>0</v>
      </c>
      <c r="Y172" s="32">
        <v>0</v>
      </c>
      <c r="Z172" s="33">
        <v>2.0023599999999999</v>
      </c>
      <c r="AA172" s="31">
        <f t="shared" si="18"/>
        <v>0</v>
      </c>
      <c r="AB172" s="32">
        <v>0</v>
      </c>
      <c r="AC172" s="33">
        <v>0</v>
      </c>
      <c r="AD172" s="31">
        <f t="shared" si="19"/>
        <v>0</v>
      </c>
      <c r="AE172" s="32">
        <v>0</v>
      </c>
      <c r="AF172" s="32">
        <v>0</v>
      </c>
      <c r="AG172" s="32">
        <v>0</v>
      </c>
      <c r="AH172" s="33">
        <v>0</v>
      </c>
      <c r="AI172" s="31">
        <f t="shared" si="20"/>
        <v>0</v>
      </c>
      <c r="AJ172" s="32">
        <v>0</v>
      </c>
      <c r="AK172" s="32">
        <v>0</v>
      </c>
      <c r="AL172" s="32">
        <v>0</v>
      </c>
      <c r="AM172" s="34">
        <v>0</v>
      </c>
    </row>
    <row r="173" spans="1:39" x14ac:dyDescent="0.3">
      <c r="A173" s="24" t="s">
        <v>272</v>
      </c>
      <c r="B173" s="25" t="s">
        <v>1</v>
      </c>
      <c r="C173" s="25" t="s">
        <v>46</v>
      </c>
      <c r="D173" s="25" t="s">
        <v>31</v>
      </c>
      <c r="E173" s="26" t="s">
        <v>203</v>
      </c>
      <c r="F173" s="27">
        <v>7</v>
      </c>
      <c r="G173" s="28">
        <f t="shared" si="14"/>
        <v>0</v>
      </c>
      <c r="H173" s="29">
        <v>0</v>
      </c>
      <c r="I173" s="29">
        <v>0</v>
      </c>
      <c r="J173" s="29">
        <v>0</v>
      </c>
      <c r="K173" s="30">
        <v>0</v>
      </c>
      <c r="L173" s="31">
        <f t="shared" si="15"/>
        <v>0</v>
      </c>
      <c r="M173" s="32">
        <v>0</v>
      </c>
      <c r="N173" s="32">
        <v>0</v>
      </c>
      <c r="O173" s="32">
        <v>0</v>
      </c>
      <c r="P173" s="33">
        <v>0</v>
      </c>
      <c r="Q173" s="31">
        <f t="shared" si="16"/>
        <v>0</v>
      </c>
      <c r="R173" s="32">
        <v>0</v>
      </c>
      <c r="S173" s="32">
        <v>0</v>
      </c>
      <c r="T173" s="32">
        <v>0</v>
      </c>
      <c r="U173" s="33">
        <v>0</v>
      </c>
      <c r="V173" s="31">
        <f t="shared" si="17"/>
        <v>0</v>
      </c>
      <c r="W173" s="32">
        <v>0</v>
      </c>
      <c r="X173" s="32">
        <v>0</v>
      </c>
      <c r="Y173" s="32">
        <v>0</v>
      </c>
      <c r="Z173" s="33">
        <v>0</v>
      </c>
      <c r="AA173" s="31">
        <f t="shared" si="18"/>
        <v>0</v>
      </c>
      <c r="AB173" s="32">
        <v>0</v>
      </c>
      <c r="AC173" s="33">
        <v>0</v>
      </c>
      <c r="AD173" s="31">
        <f t="shared" si="19"/>
        <v>0</v>
      </c>
      <c r="AE173" s="32">
        <v>0</v>
      </c>
      <c r="AF173" s="32">
        <v>0</v>
      </c>
      <c r="AG173" s="32">
        <v>0</v>
      </c>
      <c r="AH173" s="33">
        <v>0</v>
      </c>
      <c r="AI173" s="31">
        <f t="shared" si="20"/>
        <v>0</v>
      </c>
      <c r="AJ173" s="32">
        <v>0</v>
      </c>
      <c r="AK173" s="32">
        <v>0</v>
      </c>
      <c r="AL173" s="32">
        <v>0</v>
      </c>
      <c r="AM173" s="34">
        <v>0</v>
      </c>
    </row>
    <row r="174" spans="1:39" x14ac:dyDescent="0.3">
      <c r="A174" s="24" t="s">
        <v>272</v>
      </c>
      <c r="B174" s="25" t="s">
        <v>1</v>
      </c>
      <c r="C174" s="25" t="s">
        <v>46</v>
      </c>
      <c r="D174" s="25" t="s">
        <v>31</v>
      </c>
      <c r="E174" s="26" t="s">
        <v>258</v>
      </c>
      <c r="F174" s="27">
        <v>2</v>
      </c>
      <c r="G174" s="28">
        <f t="shared" si="14"/>
        <v>0</v>
      </c>
      <c r="H174" s="29">
        <v>0</v>
      </c>
      <c r="I174" s="29">
        <v>0</v>
      </c>
      <c r="J174" s="29">
        <v>0</v>
      </c>
      <c r="K174" s="30">
        <v>0</v>
      </c>
      <c r="L174" s="31">
        <f t="shared" si="15"/>
        <v>0</v>
      </c>
      <c r="M174" s="32">
        <v>0</v>
      </c>
      <c r="N174" s="32">
        <v>0</v>
      </c>
      <c r="O174" s="32">
        <v>0</v>
      </c>
      <c r="P174" s="33">
        <v>0</v>
      </c>
      <c r="Q174" s="31">
        <f t="shared" si="16"/>
        <v>0</v>
      </c>
      <c r="R174" s="32">
        <v>0</v>
      </c>
      <c r="S174" s="32">
        <v>0</v>
      </c>
      <c r="T174" s="32">
        <v>0</v>
      </c>
      <c r="U174" s="33">
        <v>0</v>
      </c>
      <c r="V174" s="31">
        <f t="shared" si="17"/>
        <v>0</v>
      </c>
      <c r="W174" s="32">
        <v>0</v>
      </c>
      <c r="X174" s="32">
        <v>0</v>
      </c>
      <c r="Y174" s="32">
        <v>0</v>
      </c>
      <c r="Z174" s="33">
        <v>0</v>
      </c>
      <c r="AA174" s="31">
        <f t="shared" si="18"/>
        <v>0</v>
      </c>
      <c r="AB174" s="32">
        <v>0</v>
      </c>
      <c r="AC174" s="33">
        <v>0</v>
      </c>
      <c r="AD174" s="31">
        <f t="shared" si="19"/>
        <v>0</v>
      </c>
      <c r="AE174" s="32">
        <v>0</v>
      </c>
      <c r="AF174" s="32">
        <v>0</v>
      </c>
      <c r="AG174" s="32">
        <v>0</v>
      </c>
      <c r="AH174" s="33">
        <v>0</v>
      </c>
      <c r="AI174" s="31">
        <f t="shared" si="20"/>
        <v>0</v>
      </c>
      <c r="AJ174" s="32">
        <v>0</v>
      </c>
      <c r="AK174" s="32">
        <v>0</v>
      </c>
      <c r="AL174" s="32">
        <v>0</v>
      </c>
      <c r="AM174" s="34">
        <v>0</v>
      </c>
    </row>
    <row r="175" spans="1:39" x14ac:dyDescent="0.3">
      <c r="A175" s="24" t="s">
        <v>272</v>
      </c>
      <c r="B175" s="25" t="s">
        <v>1</v>
      </c>
      <c r="C175" s="25" t="s">
        <v>46</v>
      </c>
      <c r="D175" s="25" t="s">
        <v>31</v>
      </c>
      <c r="E175" s="26" t="s">
        <v>238</v>
      </c>
      <c r="F175" s="27">
        <v>5</v>
      </c>
      <c r="G175" s="28">
        <f t="shared" si="14"/>
        <v>1</v>
      </c>
      <c r="H175" s="29">
        <v>1</v>
      </c>
      <c r="I175" s="29">
        <v>0</v>
      </c>
      <c r="J175" s="29">
        <v>2</v>
      </c>
      <c r="K175" s="30">
        <v>1</v>
      </c>
      <c r="L175" s="31">
        <f t="shared" si="15"/>
        <v>0.24321900000000002</v>
      </c>
      <c r="M175" s="32">
        <v>7.0459999999999995E-2</v>
      </c>
      <c r="N175" s="32">
        <v>0</v>
      </c>
      <c r="O175" s="32">
        <v>0.73519800000000002</v>
      </c>
      <c r="P175" s="33">
        <v>0.16721800000000001</v>
      </c>
      <c r="Q175" s="31">
        <f t="shared" si="16"/>
        <v>0.15790000000000001</v>
      </c>
      <c r="R175" s="32">
        <v>0</v>
      </c>
      <c r="S175" s="32">
        <v>0</v>
      </c>
      <c r="T175" s="32">
        <v>0.63160000000000005</v>
      </c>
      <c r="U175" s="33">
        <v>0</v>
      </c>
      <c r="V175" s="31">
        <f t="shared" si="17"/>
        <v>0</v>
      </c>
      <c r="W175" s="32">
        <v>0</v>
      </c>
      <c r="X175" s="32">
        <v>0</v>
      </c>
      <c r="Y175" s="32">
        <v>0</v>
      </c>
      <c r="Z175" s="33">
        <v>0</v>
      </c>
      <c r="AA175" s="31">
        <f t="shared" si="18"/>
        <v>0</v>
      </c>
      <c r="AB175" s="32">
        <v>0</v>
      </c>
      <c r="AC175" s="33">
        <v>0</v>
      </c>
      <c r="AD175" s="31">
        <f t="shared" si="19"/>
        <v>8.5319000000000006E-2</v>
      </c>
      <c r="AE175" s="32">
        <v>7.0459999999999995E-2</v>
      </c>
      <c r="AF175" s="32">
        <v>0</v>
      </c>
      <c r="AG175" s="32">
        <v>0.103598</v>
      </c>
      <c r="AH175" s="33">
        <v>0.16721800000000001</v>
      </c>
      <c r="AI175" s="31">
        <f t="shared" si="20"/>
        <v>0</v>
      </c>
      <c r="AJ175" s="32">
        <v>0</v>
      </c>
      <c r="AK175" s="32">
        <v>0</v>
      </c>
      <c r="AL175" s="32">
        <v>0</v>
      </c>
      <c r="AM175" s="34">
        <v>0</v>
      </c>
    </row>
    <row r="176" spans="1:39" x14ac:dyDescent="0.3">
      <c r="A176" s="24" t="s">
        <v>272</v>
      </c>
      <c r="B176" s="25" t="s">
        <v>1</v>
      </c>
      <c r="C176" s="25" t="s">
        <v>46</v>
      </c>
      <c r="D176" s="25" t="s">
        <v>31</v>
      </c>
      <c r="E176" s="26" t="s">
        <v>61</v>
      </c>
      <c r="F176" s="27">
        <v>64</v>
      </c>
      <c r="G176" s="28">
        <f t="shared" si="14"/>
        <v>53.75</v>
      </c>
      <c r="H176" s="29">
        <v>52</v>
      </c>
      <c r="I176" s="29">
        <v>60</v>
      </c>
      <c r="J176" s="29">
        <v>51</v>
      </c>
      <c r="K176" s="30">
        <v>52</v>
      </c>
      <c r="L176" s="31">
        <f t="shared" si="15"/>
        <v>33.589912999999996</v>
      </c>
      <c r="M176" s="32">
        <v>39.731839000000001</v>
      </c>
      <c r="N176" s="32">
        <v>31.481253999999996</v>
      </c>
      <c r="O176" s="32">
        <v>30.630159000000003</v>
      </c>
      <c r="P176" s="33">
        <v>29.001155000000001</v>
      </c>
      <c r="Q176" s="31">
        <f t="shared" si="16"/>
        <v>4.0922429999999999</v>
      </c>
      <c r="R176" s="32">
        <v>5.5626829999999998</v>
      </c>
      <c r="S176" s="32">
        <v>2.9765300000000003</v>
      </c>
      <c r="T176" s="32">
        <v>2.9804050000000002</v>
      </c>
      <c r="U176" s="33">
        <v>4.8493539999999999</v>
      </c>
      <c r="V176" s="31">
        <f t="shared" si="17"/>
        <v>11.520297999999999</v>
      </c>
      <c r="W176" s="32">
        <v>15.37486</v>
      </c>
      <c r="X176" s="32">
        <v>13.302109999999999</v>
      </c>
      <c r="Y176" s="32">
        <v>14.86656</v>
      </c>
      <c r="Z176" s="33">
        <v>2.5376620000000001</v>
      </c>
      <c r="AA176" s="31">
        <f t="shared" si="18"/>
        <v>1.7576225000000001</v>
      </c>
      <c r="AB176" s="32">
        <v>2.7087530000000002</v>
      </c>
      <c r="AC176" s="33">
        <v>0.8064920000000001</v>
      </c>
      <c r="AD176" s="31">
        <f t="shared" si="19"/>
        <v>3.6172495000000002</v>
      </c>
      <c r="AE176" s="32">
        <v>3.0855429999999999</v>
      </c>
      <c r="AF176" s="32">
        <v>2.5361219999999998</v>
      </c>
      <c r="AG176" s="32">
        <v>3.9331940000000007</v>
      </c>
      <c r="AH176" s="33">
        <v>4.9141390000000005</v>
      </c>
      <c r="AI176" s="31">
        <f t="shared" si="20"/>
        <v>12.602499999999999</v>
      </c>
      <c r="AJ176" s="32">
        <v>13.000000000000002</v>
      </c>
      <c r="AK176" s="32">
        <v>11.859999999999996</v>
      </c>
      <c r="AL176" s="32">
        <v>8.8500000000000014</v>
      </c>
      <c r="AM176" s="34">
        <v>16.699999999999996</v>
      </c>
    </row>
    <row r="177" spans="1:39" x14ac:dyDescent="0.3">
      <c r="A177" s="24" t="s">
        <v>272</v>
      </c>
      <c r="B177" s="25" t="s">
        <v>1</v>
      </c>
      <c r="C177" s="25" t="s">
        <v>46</v>
      </c>
      <c r="D177" s="25" t="s">
        <v>31</v>
      </c>
      <c r="E177" s="26" t="s">
        <v>76</v>
      </c>
      <c r="F177" s="27">
        <v>181</v>
      </c>
      <c r="G177" s="28">
        <f t="shared" si="14"/>
        <v>123.5</v>
      </c>
      <c r="H177" s="29">
        <v>138</v>
      </c>
      <c r="I177" s="29">
        <v>151</v>
      </c>
      <c r="J177" s="29">
        <v>96</v>
      </c>
      <c r="K177" s="30">
        <v>109</v>
      </c>
      <c r="L177" s="31">
        <f t="shared" si="15"/>
        <v>56.318665000000003</v>
      </c>
      <c r="M177" s="32">
        <v>46.762994000000006</v>
      </c>
      <c r="N177" s="32">
        <v>51.906680999999999</v>
      </c>
      <c r="O177" s="32">
        <v>61.461393000000001</v>
      </c>
      <c r="P177" s="33">
        <v>49.431933000000001</v>
      </c>
      <c r="Q177" s="31">
        <f t="shared" si="16"/>
        <v>21.44672825</v>
      </c>
      <c r="R177" s="32">
        <v>28.751343000000002</v>
      </c>
      <c r="S177" s="32">
        <v>19.563807999999995</v>
      </c>
      <c r="T177" s="32">
        <v>18.813171999999998</v>
      </c>
      <c r="U177" s="33">
        <v>18.65859</v>
      </c>
      <c r="V177" s="31">
        <f t="shared" si="17"/>
        <v>13.384074999999999</v>
      </c>
      <c r="W177" s="32">
        <v>3.6681199999999996</v>
      </c>
      <c r="X177" s="32">
        <v>11.158169999999998</v>
      </c>
      <c r="Y177" s="32">
        <v>23.45448</v>
      </c>
      <c r="Z177" s="33">
        <v>15.255529999999998</v>
      </c>
      <c r="AA177" s="31">
        <f t="shared" si="18"/>
        <v>7.8558295000000005</v>
      </c>
      <c r="AB177" s="32">
        <v>6.8368040000000008</v>
      </c>
      <c r="AC177" s="33">
        <v>8.8748550000000002</v>
      </c>
      <c r="AD177" s="31">
        <f t="shared" si="19"/>
        <v>8.5497472499999994</v>
      </c>
      <c r="AE177" s="32">
        <v>6.5306870000000004</v>
      </c>
      <c r="AF177" s="32">
        <v>8.069507999999999</v>
      </c>
      <c r="AG177" s="32">
        <v>9.493741</v>
      </c>
      <c r="AH177" s="33">
        <v>10.105052999999998</v>
      </c>
      <c r="AI177" s="31">
        <f t="shared" si="20"/>
        <v>5.082285000000005</v>
      </c>
      <c r="AJ177" s="32">
        <v>0.97604000000000291</v>
      </c>
      <c r="AK177" s="32">
        <v>4.2403400000000069</v>
      </c>
      <c r="AL177" s="32">
        <v>9.7000000000000064</v>
      </c>
      <c r="AM177" s="34">
        <v>5.412760000000004</v>
      </c>
    </row>
    <row r="178" spans="1:39" x14ac:dyDescent="0.3">
      <c r="A178" s="24" t="s">
        <v>272</v>
      </c>
      <c r="B178" s="25" t="s">
        <v>1</v>
      </c>
      <c r="C178" s="25" t="s">
        <v>46</v>
      </c>
      <c r="D178" s="25" t="s">
        <v>31</v>
      </c>
      <c r="E178" s="26" t="s">
        <v>205</v>
      </c>
      <c r="F178" s="27">
        <v>13</v>
      </c>
      <c r="G178" s="28">
        <f t="shared" si="14"/>
        <v>2</v>
      </c>
      <c r="H178" s="29">
        <v>2</v>
      </c>
      <c r="I178" s="29">
        <v>2</v>
      </c>
      <c r="J178" s="29">
        <v>3</v>
      </c>
      <c r="K178" s="30">
        <v>1</v>
      </c>
      <c r="L178" s="31">
        <f t="shared" si="15"/>
        <v>0.82287874999999999</v>
      </c>
      <c r="M178" s="32">
        <v>0.92152299999999998</v>
      </c>
      <c r="N178" s="32">
        <v>0.77060700000000004</v>
      </c>
      <c r="O178" s="32">
        <v>1.4057789999999999</v>
      </c>
      <c r="P178" s="33">
        <v>0.193606</v>
      </c>
      <c r="Q178" s="31">
        <f t="shared" si="16"/>
        <v>0.67859599999999998</v>
      </c>
      <c r="R178" s="32">
        <v>0.72550999999999999</v>
      </c>
      <c r="S178" s="32">
        <v>0.68444000000000005</v>
      </c>
      <c r="T178" s="32">
        <v>1.3044340000000001</v>
      </c>
      <c r="U178" s="33">
        <v>0</v>
      </c>
      <c r="V178" s="31">
        <f t="shared" si="17"/>
        <v>0</v>
      </c>
      <c r="W178" s="32">
        <v>0</v>
      </c>
      <c r="X178" s="32">
        <v>0</v>
      </c>
      <c r="Y178" s="32">
        <v>0</v>
      </c>
      <c r="Z178" s="33">
        <v>0</v>
      </c>
      <c r="AA178" s="31">
        <f t="shared" si="18"/>
        <v>0</v>
      </c>
      <c r="AB178" s="32">
        <v>0</v>
      </c>
      <c r="AC178" s="33">
        <v>0</v>
      </c>
      <c r="AD178" s="31">
        <f t="shared" si="19"/>
        <v>0.14428275000000002</v>
      </c>
      <c r="AE178" s="32">
        <v>0.19601299999999999</v>
      </c>
      <c r="AF178" s="32">
        <v>8.6166999999999994E-2</v>
      </c>
      <c r="AG178" s="32">
        <v>0.10134499999999999</v>
      </c>
      <c r="AH178" s="33">
        <v>0.193606</v>
      </c>
      <c r="AI178" s="31">
        <f t="shared" si="20"/>
        <v>0</v>
      </c>
      <c r="AJ178" s="32">
        <v>0</v>
      </c>
      <c r="AK178" s="32">
        <v>0</v>
      </c>
      <c r="AL178" s="32">
        <v>0</v>
      </c>
      <c r="AM178" s="34">
        <v>0</v>
      </c>
    </row>
    <row r="179" spans="1:39" x14ac:dyDescent="0.3">
      <c r="A179" s="24" t="s">
        <v>272</v>
      </c>
      <c r="B179" s="25" t="s">
        <v>1</v>
      </c>
      <c r="C179" s="25" t="s">
        <v>46</v>
      </c>
      <c r="D179" s="25" t="s">
        <v>31</v>
      </c>
      <c r="E179" s="26" t="s">
        <v>253</v>
      </c>
      <c r="F179" s="27">
        <v>1</v>
      </c>
      <c r="G179" s="28">
        <f t="shared" si="14"/>
        <v>0</v>
      </c>
      <c r="H179" s="29">
        <v>0</v>
      </c>
      <c r="I179" s="29">
        <v>0</v>
      </c>
      <c r="J179" s="29">
        <v>0</v>
      </c>
      <c r="K179" s="30">
        <v>0</v>
      </c>
      <c r="L179" s="31">
        <f t="shared" si="15"/>
        <v>0</v>
      </c>
      <c r="M179" s="32">
        <v>0</v>
      </c>
      <c r="N179" s="32">
        <v>0</v>
      </c>
      <c r="O179" s="32">
        <v>0</v>
      </c>
      <c r="P179" s="33">
        <v>0</v>
      </c>
      <c r="Q179" s="31">
        <f t="shared" si="16"/>
        <v>0</v>
      </c>
      <c r="R179" s="32">
        <v>0</v>
      </c>
      <c r="S179" s="32">
        <v>0</v>
      </c>
      <c r="T179" s="32">
        <v>0</v>
      </c>
      <c r="U179" s="33">
        <v>0</v>
      </c>
      <c r="V179" s="31">
        <f t="shared" si="17"/>
        <v>0</v>
      </c>
      <c r="W179" s="32">
        <v>0</v>
      </c>
      <c r="X179" s="32">
        <v>0</v>
      </c>
      <c r="Y179" s="32">
        <v>0</v>
      </c>
      <c r="Z179" s="33">
        <v>0</v>
      </c>
      <c r="AA179" s="31">
        <f t="shared" si="18"/>
        <v>0</v>
      </c>
      <c r="AB179" s="32">
        <v>0</v>
      </c>
      <c r="AC179" s="33">
        <v>0</v>
      </c>
      <c r="AD179" s="31">
        <f t="shared" si="19"/>
        <v>0</v>
      </c>
      <c r="AE179" s="32">
        <v>0</v>
      </c>
      <c r="AF179" s="32">
        <v>0</v>
      </c>
      <c r="AG179" s="32">
        <v>0</v>
      </c>
      <c r="AH179" s="33">
        <v>0</v>
      </c>
      <c r="AI179" s="31">
        <f t="shared" si="20"/>
        <v>0</v>
      </c>
      <c r="AJ179" s="32">
        <v>0</v>
      </c>
      <c r="AK179" s="32">
        <v>0</v>
      </c>
      <c r="AL179" s="32">
        <v>0</v>
      </c>
      <c r="AM179" s="34">
        <v>0</v>
      </c>
    </row>
    <row r="180" spans="1:39" x14ac:dyDescent="0.3">
      <c r="A180" s="24" t="s">
        <v>272</v>
      </c>
      <c r="B180" s="25" t="s">
        <v>1</v>
      </c>
      <c r="C180" s="25" t="s">
        <v>46</v>
      </c>
      <c r="D180" s="25" t="s">
        <v>30</v>
      </c>
      <c r="E180" s="26" t="s">
        <v>83</v>
      </c>
      <c r="F180" s="27">
        <v>1</v>
      </c>
      <c r="G180" s="28">
        <f t="shared" si="14"/>
        <v>3</v>
      </c>
      <c r="H180" s="29">
        <v>3</v>
      </c>
      <c r="I180" s="29">
        <v>1</v>
      </c>
      <c r="J180" s="29">
        <v>4</v>
      </c>
      <c r="K180" s="30">
        <v>4</v>
      </c>
      <c r="L180" s="31">
        <f t="shared" si="15"/>
        <v>0.41519800000000001</v>
      </c>
      <c r="M180" s="32">
        <v>0.39890500000000001</v>
      </c>
      <c r="N180" s="32">
        <v>6.3701999999999995E-2</v>
      </c>
      <c r="O180" s="32">
        <v>0.67081000000000002</v>
      </c>
      <c r="P180" s="33">
        <v>0.52737500000000004</v>
      </c>
      <c r="Q180" s="31">
        <f t="shared" si="16"/>
        <v>0.16170000000000001</v>
      </c>
      <c r="R180" s="32">
        <v>0.3024</v>
      </c>
      <c r="S180" s="32">
        <v>0</v>
      </c>
      <c r="T180" s="32">
        <v>0.34439999999999998</v>
      </c>
      <c r="U180" s="33">
        <v>0</v>
      </c>
      <c r="V180" s="31">
        <f t="shared" si="17"/>
        <v>0</v>
      </c>
      <c r="W180" s="32">
        <v>0</v>
      </c>
      <c r="X180" s="32">
        <v>0</v>
      </c>
      <c r="Y180" s="32">
        <v>0</v>
      </c>
      <c r="Z180" s="33">
        <v>0</v>
      </c>
      <c r="AA180" s="31">
        <f t="shared" si="18"/>
        <v>0</v>
      </c>
      <c r="AB180" s="32">
        <v>0</v>
      </c>
      <c r="AC180" s="33">
        <v>0</v>
      </c>
      <c r="AD180" s="31">
        <f t="shared" si="19"/>
        <v>0.253498</v>
      </c>
      <c r="AE180" s="32">
        <v>9.6504999999999994E-2</v>
      </c>
      <c r="AF180" s="32">
        <v>6.3701999999999995E-2</v>
      </c>
      <c r="AG180" s="32">
        <v>0.32640999999999998</v>
      </c>
      <c r="AH180" s="33">
        <v>0.52737500000000004</v>
      </c>
      <c r="AI180" s="31">
        <f t="shared" si="20"/>
        <v>0</v>
      </c>
      <c r="AJ180" s="32">
        <v>0</v>
      </c>
      <c r="AK180" s="32">
        <v>0</v>
      </c>
      <c r="AL180" s="32">
        <v>0</v>
      </c>
      <c r="AM180" s="34">
        <v>0</v>
      </c>
    </row>
    <row r="181" spans="1:39" x14ac:dyDescent="0.3">
      <c r="A181" s="24" t="s">
        <v>272</v>
      </c>
      <c r="B181" s="25" t="s">
        <v>4</v>
      </c>
      <c r="C181" s="25" t="s">
        <v>47</v>
      </c>
      <c r="D181" s="25" t="s">
        <v>20</v>
      </c>
      <c r="E181" s="26" t="s">
        <v>90</v>
      </c>
      <c r="F181" s="27">
        <v>41</v>
      </c>
      <c r="G181" s="28">
        <f t="shared" si="14"/>
        <v>36.75</v>
      </c>
      <c r="H181" s="29">
        <v>22</v>
      </c>
      <c r="I181" s="29">
        <v>38</v>
      </c>
      <c r="J181" s="29">
        <v>43</v>
      </c>
      <c r="K181" s="30">
        <v>44</v>
      </c>
      <c r="L181" s="31">
        <f t="shared" si="15"/>
        <v>17.289667000000001</v>
      </c>
      <c r="M181" s="32">
        <v>4.7169419999999995</v>
      </c>
      <c r="N181" s="32">
        <v>15.576707000000003</v>
      </c>
      <c r="O181" s="32">
        <v>27.868307000000001</v>
      </c>
      <c r="P181" s="33">
        <v>19.313316</v>
      </c>
      <c r="Q181" s="31">
        <f t="shared" si="16"/>
        <v>7.9183162500000011</v>
      </c>
      <c r="R181" s="32">
        <v>2.567412</v>
      </c>
      <c r="S181" s="32">
        <v>9.1012459999999997</v>
      </c>
      <c r="T181" s="32">
        <v>9.3795920000000006</v>
      </c>
      <c r="U181" s="33">
        <v>10.625015000000001</v>
      </c>
      <c r="V181" s="31">
        <f t="shared" si="17"/>
        <v>5.3739624999999993</v>
      </c>
      <c r="W181" s="32">
        <v>0.53205999999999998</v>
      </c>
      <c r="X181" s="32">
        <v>2.1343999999999999</v>
      </c>
      <c r="Y181" s="32">
        <v>13.397739999999999</v>
      </c>
      <c r="Z181" s="33">
        <v>5.4316499999999994</v>
      </c>
      <c r="AA181" s="31">
        <f t="shared" si="18"/>
        <v>0.84169800000000006</v>
      </c>
      <c r="AB181" s="32">
        <v>1.0937429999999999</v>
      </c>
      <c r="AC181" s="33">
        <v>0.58965300000000009</v>
      </c>
      <c r="AD181" s="31">
        <f t="shared" si="19"/>
        <v>3.1556902500000001</v>
      </c>
      <c r="AE181" s="32">
        <v>0.52372700000000005</v>
      </c>
      <c r="AF181" s="32">
        <v>3.7514080000000001</v>
      </c>
      <c r="AG181" s="32">
        <v>5.0909750000000003</v>
      </c>
      <c r="AH181" s="33">
        <v>3.2566509999999997</v>
      </c>
      <c r="AI181" s="31">
        <f t="shared" si="20"/>
        <v>0</v>
      </c>
      <c r="AJ181" s="32">
        <v>0</v>
      </c>
      <c r="AK181" s="32">
        <v>0</v>
      </c>
      <c r="AL181" s="32">
        <v>0</v>
      </c>
      <c r="AM181" s="34">
        <v>0</v>
      </c>
    </row>
    <row r="182" spans="1:39" x14ac:dyDescent="0.3">
      <c r="A182" s="24" t="s">
        <v>272</v>
      </c>
      <c r="B182" s="25" t="s">
        <v>4</v>
      </c>
      <c r="C182" s="25" t="s">
        <v>47</v>
      </c>
      <c r="D182" s="25" t="s">
        <v>20</v>
      </c>
      <c r="E182" s="26" t="s">
        <v>141</v>
      </c>
      <c r="F182" s="27">
        <v>39</v>
      </c>
      <c r="G182" s="28">
        <f t="shared" si="14"/>
        <v>26.5</v>
      </c>
      <c r="H182" s="29">
        <v>20</v>
      </c>
      <c r="I182" s="29">
        <v>12</v>
      </c>
      <c r="J182" s="29">
        <v>35</v>
      </c>
      <c r="K182" s="30">
        <v>39</v>
      </c>
      <c r="L182" s="31">
        <f t="shared" si="15"/>
        <v>11.005809249999999</v>
      </c>
      <c r="M182" s="32">
        <v>4.7949549999999999</v>
      </c>
      <c r="N182" s="32">
        <v>5.9520360000000005</v>
      </c>
      <c r="O182" s="32">
        <v>14.594493</v>
      </c>
      <c r="P182" s="33">
        <v>15.574167999999998</v>
      </c>
      <c r="Q182" s="31">
        <f t="shared" si="16"/>
        <v>2.2213205</v>
      </c>
      <c r="R182" s="32">
        <v>0.2094</v>
      </c>
      <c r="S182" s="32">
        <v>2.8356520000000001</v>
      </c>
      <c r="T182" s="32">
        <v>3.0288120000000003</v>
      </c>
      <c r="U182" s="33">
        <v>2.8114179999999998</v>
      </c>
      <c r="V182" s="31">
        <f t="shared" si="17"/>
        <v>5.1342349999999994</v>
      </c>
      <c r="W182" s="32">
        <v>1.3504400000000001</v>
      </c>
      <c r="X182" s="32">
        <v>2.3936799999999998</v>
      </c>
      <c r="Y182" s="32">
        <v>7.9729899999999994</v>
      </c>
      <c r="Z182" s="33">
        <v>8.8198299999999996</v>
      </c>
      <c r="AA182" s="31">
        <f t="shared" si="18"/>
        <v>1.5537924999999999</v>
      </c>
      <c r="AB182" s="32">
        <v>2.8139639999999999</v>
      </c>
      <c r="AC182" s="33">
        <v>0.29362100000000002</v>
      </c>
      <c r="AD182" s="31">
        <f t="shared" si="19"/>
        <v>2.0964612499999999</v>
      </c>
      <c r="AE182" s="32">
        <v>0.421151</v>
      </c>
      <c r="AF182" s="32">
        <v>0.42908299999999999</v>
      </c>
      <c r="AG182" s="32">
        <v>3.5926910000000003</v>
      </c>
      <c r="AH182" s="33">
        <v>3.94292</v>
      </c>
      <c r="AI182" s="31">
        <f t="shared" si="20"/>
        <v>2.9143354396410359E-16</v>
      </c>
      <c r="AJ182" s="32">
        <v>4.9960036108132044E-16</v>
      </c>
      <c r="AK182" s="32">
        <v>6.6613381477509392E-16</v>
      </c>
      <c r="AL182" s="32">
        <v>0</v>
      </c>
      <c r="AM182" s="34">
        <v>0</v>
      </c>
    </row>
    <row r="183" spans="1:39" x14ac:dyDescent="0.3">
      <c r="A183" s="24" t="s">
        <v>272</v>
      </c>
      <c r="B183" s="25" t="s">
        <v>4</v>
      </c>
      <c r="C183" s="25" t="s">
        <v>47</v>
      </c>
      <c r="D183" s="25" t="s">
        <v>20</v>
      </c>
      <c r="E183" s="26" t="s">
        <v>70</v>
      </c>
      <c r="F183" s="27">
        <v>97</v>
      </c>
      <c r="G183" s="28">
        <f t="shared" si="14"/>
        <v>83.25</v>
      </c>
      <c r="H183" s="29">
        <v>77</v>
      </c>
      <c r="I183" s="29">
        <v>97</v>
      </c>
      <c r="J183" s="29">
        <v>83</v>
      </c>
      <c r="K183" s="30">
        <v>76</v>
      </c>
      <c r="L183" s="31">
        <f t="shared" si="15"/>
        <v>48.507463750000007</v>
      </c>
      <c r="M183" s="32">
        <v>53.584621000000013</v>
      </c>
      <c r="N183" s="32">
        <v>44.080404999999999</v>
      </c>
      <c r="O183" s="32">
        <v>47.721339999999998</v>
      </c>
      <c r="P183" s="33">
        <v>30.706114999999997</v>
      </c>
      <c r="Q183" s="31">
        <f t="shared" si="16"/>
        <v>30.905808499999999</v>
      </c>
      <c r="R183" s="32">
        <v>41.966649999999994</v>
      </c>
      <c r="S183" s="32">
        <v>28.601627000000004</v>
      </c>
      <c r="T183" s="32">
        <v>32.026009999999999</v>
      </c>
      <c r="U183" s="33">
        <v>21.028946999999999</v>
      </c>
      <c r="V183" s="31">
        <f t="shared" si="17"/>
        <v>2.9171374999999999</v>
      </c>
      <c r="W183" s="32">
        <v>0.81176000000000004</v>
      </c>
      <c r="X183" s="32">
        <v>1.1455</v>
      </c>
      <c r="Y183" s="32">
        <v>7.5837300000000001</v>
      </c>
      <c r="Z183" s="33">
        <v>2.1275599999999999</v>
      </c>
      <c r="AA183" s="31">
        <f t="shared" si="18"/>
        <v>8.9686869999999992</v>
      </c>
      <c r="AB183" s="32">
        <v>9.9884979999999999</v>
      </c>
      <c r="AC183" s="33">
        <v>7.9488760000000003</v>
      </c>
      <c r="AD183" s="31">
        <f t="shared" si="19"/>
        <v>5.1033357500000003</v>
      </c>
      <c r="AE183" s="32">
        <v>0.61771299999999996</v>
      </c>
      <c r="AF183" s="32">
        <v>4.9406020000000002</v>
      </c>
      <c r="AG183" s="32">
        <v>7.50542</v>
      </c>
      <c r="AH183" s="33">
        <v>7.3496079999999999</v>
      </c>
      <c r="AI183" s="31">
        <f t="shared" si="20"/>
        <v>0.61249500000000268</v>
      </c>
      <c r="AJ183" s="32">
        <v>0.20000000000001905</v>
      </c>
      <c r="AK183" s="32">
        <v>1.4437999999999942</v>
      </c>
      <c r="AL183" s="32">
        <v>0.60617999999999927</v>
      </c>
      <c r="AM183" s="34">
        <v>0.1999999999999984</v>
      </c>
    </row>
    <row r="184" spans="1:39" x14ac:dyDescent="0.3">
      <c r="A184" s="24" t="s">
        <v>272</v>
      </c>
      <c r="B184" s="25" t="s">
        <v>4</v>
      </c>
      <c r="C184" s="25" t="s">
        <v>47</v>
      </c>
      <c r="D184" s="25" t="s">
        <v>30</v>
      </c>
      <c r="E184" s="26" t="s">
        <v>255</v>
      </c>
      <c r="F184" s="27">
        <v>2</v>
      </c>
      <c r="G184" s="28">
        <f t="shared" si="14"/>
        <v>0</v>
      </c>
      <c r="H184" s="29">
        <v>0</v>
      </c>
      <c r="I184" s="29">
        <v>0</v>
      </c>
      <c r="J184" s="29">
        <v>0</v>
      </c>
      <c r="K184" s="30">
        <v>0</v>
      </c>
      <c r="L184" s="31">
        <f t="shared" si="15"/>
        <v>0</v>
      </c>
      <c r="M184" s="32">
        <v>0</v>
      </c>
      <c r="N184" s="32">
        <v>0</v>
      </c>
      <c r="O184" s="32">
        <v>0</v>
      </c>
      <c r="P184" s="33">
        <v>0</v>
      </c>
      <c r="Q184" s="31">
        <f t="shared" si="16"/>
        <v>0</v>
      </c>
      <c r="R184" s="32">
        <v>0</v>
      </c>
      <c r="S184" s="32">
        <v>0</v>
      </c>
      <c r="T184" s="32">
        <v>0</v>
      </c>
      <c r="U184" s="33">
        <v>0</v>
      </c>
      <c r="V184" s="31">
        <f t="shared" si="17"/>
        <v>0</v>
      </c>
      <c r="W184" s="32">
        <v>0</v>
      </c>
      <c r="X184" s="32">
        <v>0</v>
      </c>
      <c r="Y184" s="32">
        <v>0</v>
      </c>
      <c r="Z184" s="33">
        <v>0</v>
      </c>
      <c r="AA184" s="31">
        <f t="shared" si="18"/>
        <v>0</v>
      </c>
      <c r="AB184" s="32">
        <v>0</v>
      </c>
      <c r="AC184" s="33">
        <v>0</v>
      </c>
      <c r="AD184" s="31">
        <f t="shared" si="19"/>
        <v>0</v>
      </c>
      <c r="AE184" s="32">
        <v>0</v>
      </c>
      <c r="AF184" s="32">
        <v>0</v>
      </c>
      <c r="AG184" s="32">
        <v>0</v>
      </c>
      <c r="AH184" s="33">
        <v>0</v>
      </c>
      <c r="AI184" s="31">
        <f t="shared" si="20"/>
        <v>0</v>
      </c>
      <c r="AJ184" s="32">
        <v>0</v>
      </c>
      <c r="AK184" s="32">
        <v>0</v>
      </c>
      <c r="AL184" s="32">
        <v>0</v>
      </c>
      <c r="AM184" s="34">
        <v>0</v>
      </c>
    </row>
    <row r="185" spans="1:39" x14ac:dyDescent="0.3">
      <c r="A185" s="24" t="s">
        <v>272</v>
      </c>
      <c r="B185" s="25" t="s">
        <v>4</v>
      </c>
      <c r="C185" s="25" t="s">
        <v>47</v>
      </c>
      <c r="D185" s="25" t="s">
        <v>30</v>
      </c>
      <c r="E185" s="26" t="s">
        <v>236</v>
      </c>
      <c r="F185" s="27">
        <v>7</v>
      </c>
      <c r="G185" s="28">
        <f t="shared" si="14"/>
        <v>2.75</v>
      </c>
      <c r="H185" s="29">
        <v>5</v>
      </c>
      <c r="I185" s="29">
        <v>2</v>
      </c>
      <c r="J185" s="29">
        <v>1</v>
      </c>
      <c r="K185" s="30">
        <v>3</v>
      </c>
      <c r="L185" s="31">
        <f t="shared" si="15"/>
        <v>0.56621600000000005</v>
      </c>
      <c r="M185" s="32">
        <v>1.014113</v>
      </c>
      <c r="N185" s="32">
        <v>0.27562399999999998</v>
      </c>
      <c r="O185" s="32">
        <v>0.116506</v>
      </c>
      <c r="P185" s="33">
        <v>0.445604</v>
      </c>
      <c r="Q185" s="31">
        <f t="shared" si="16"/>
        <v>0.1932325</v>
      </c>
      <c r="R185" s="32">
        <v>0.77293000000000001</v>
      </c>
      <c r="S185" s="32">
        <v>0</v>
      </c>
      <c r="T185" s="32">
        <v>0</v>
      </c>
      <c r="U185" s="33">
        <v>0</v>
      </c>
      <c r="V185" s="31">
        <f t="shared" si="17"/>
        <v>0</v>
      </c>
      <c r="W185" s="32">
        <v>0</v>
      </c>
      <c r="X185" s="32">
        <v>0</v>
      </c>
      <c r="Y185" s="32">
        <v>0</v>
      </c>
      <c r="Z185" s="33">
        <v>0</v>
      </c>
      <c r="AA185" s="31">
        <f t="shared" si="18"/>
        <v>0.20650849999999998</v>
      </c>
      <c r="AB185" s="32">
        <v>0.18899299999999999</v>
      </c>
      <c r="AC185" s="33">
        <v>0.224024</v>
      </c>
      <c r="AD185" s="31">
        <f t="shared" si="19"/>
        <v>0.16647499999999998</v>
      </c>
      <c r="AE185" s="32">
        <v>5.219E-2</v>
      </c>
      <c r="AF185" s="32">
        <v>5.16E-2</v>
      </c>
      <c r="AG185" s="32">
        <v>0.116506</v>
      </c>
      <c r="AH185" s="33">
        <v>0.445604</v>
      </c>
      <c r="AI185" s="31">
        <f t="shared" si="20"/>
        <v>0</v>
      </c>
      <c r="AJ185" s="32">
        <v>0</v>
      </c>
      <c r="AK185" s="32">
        <v>0</v>
      </c>
      <c r="AL185" s="32">
        <v>0</v>
      </c>
      <c r="AM185" s="34">
        <v>0</v>
      </c>
    </row>
    <row r="186" spans="1:39" x14ac:dyDescent="0.3">
      <c r="A186" s="24" t="s">
        <v>272</v>
      </c>
      <c r="B186" s="25" t="s">
        <v>4</v>
      </c>
      <c r="C186" s="25" t="s">
        <v>47</v>
      </c>
      <c r="D186" s="25" t="s">
        <v>30</v>
      </c>
      <c r="E186" s="26" t="s">
        <v>83</v>
      </c>
      <c r="F186" s="27">
        <v>35</v>
      </c>
      <c r="G186" s="28">
        <f t="shared" si="14"/>
        <v>28.75</v>
      </c>
      <c r="H186" s="29">
        <v>30</v>
      </c>
      <c r="I186" s="29">
        <v>26</v>
      </c>
      <c r="J186" s="29">
        <v>31</v>
      </c>
      <c r="K186" s="30">
        <v>28</v>
      </c>
      <c r="L186" s="31">
        <f t="shared" si="15"/>
        <v>14.016480999999999</v>
      </c>
      <c r="M186" s="32">
        <v>10.615870000000001</v>
      </c>
      <c r="N186" s="32">
        <v>16.359168</v>
      </c>
      <c r="O186" s="32">
        <v>17.834978</v>
      </c>
      <c r="P186" s="33">
        <v>8.8548779999999994</v>
      </c>
      <c r="Q186" s="31">
        <f t="shared" si="16"/>
        <v>2.8757539999999997</v>
      </c>
      <c r="R186" s="32">
        <v>2.9909939999999997</v>
      </c>
      <c r="S186" s="32">
        <v>4.9897219999999995</v>
      </c>
      <c r="T186" s="32">
        <v>2.8654999999999999</v>
      </c>
      <c r="U186" s="33">
        <v>0.65680000000000005</v>
      </c>
      <c r="V186" s="31">
        <f t="shared" si="17"/>
        <v>7.0351175000000001</v>
      </c>
      <c r="W186" s="32">
        <v>3.8581799999999999</v>
      </c>
      <c r="X186" s="32">
        <v>8.6140000000000008</v>
      </c>
      <c r="Y186" s="32">
        <v>10.94365</v>
      </c>
      <c r="Z186" s="33">
        <v>4.72464</v>
      </c>
      <c r="AA186" s="31">
        <f t="shared" si="18"/>
        <v>1.2005149999999998</v>
      </c>
      <c r="AB186" s="32">
        <v>1.5047899999999998</v>
      </c>
      <c r="AC186" s="33">
        <v>0.89623999999999993</v>
      </c>
      <c r="AD186" s="31">
        <f t="shared" si="19"/>
        <v>2.9050945000000001</v>
      </c>
      <c r="AE186" s="32">
        <v>2.2619060000000002</v>
      </c>
      <c r="AF186" s="32">
        <v>1.8592059999999999</v>
      </c>
      <c r="AG186" s="32">
        <v>4.0258279999999997</v>
      </c>
      <c r="AH186" s="33">
        <v>3.4734380000000002</v>
      </c>
      <c r="AI186" s="31">
        <f t="shared" si="20"/>
        <v>0</v>
      </c>
      <c r="AJ186" s="32">
        <v>0</v>
      </c>
      <c r="AK186" s="32">
        <v>0</v>
      </c>
      <c r="AL186" s="32">
        <v>0</v>
      </c>
      <c r="AM186" s="34">
        <v>0</v>
      </c>
    </row>
    <row r="187" spans="1:39" x14ac:dyDescent="0.3">
      <c r="A187" s="24" t="s">
        <v>272</v>
      </c>
      <c r="B187" s="25" t="s">
        <v>4</v>
      </c>
      <c r="C187" s="25" t="s">
        <v>47</v>
      </c>
      <c r="D187" s="25" t="s">
        <v>30</v>
      </c>
      <c r="E187" s="26" t="s">
        <v>88</v>
      </c>
      <c r="F187" s="27">
        <v>26</v>
      </c>
      <c r="G187" s="28">
        <f t="shared" si="14"/>
        <v>33.25</v>
      </c>
      <c r="H187" s="29">
        <v>25</v>
      </c>
      <c r="I187" s="29">
        <v>41</v>
      </c>
      <c r="J187" s="29">
        <v>33</v>
      </c>
      <c r="K187" s="30">
        <v>34</v>
      </c>
      <c r="L187" s="31">
        <f t="shared" si="15"/>
        <v>13.490481500000001</v>
      </c>
      <c r="M187" s="32">
        <v>7.1998239999999996</v>
      </c>
      <c r="N187" s="32">
        <v>16.521367999999999</v>
      </c>
      <c r="O187" s="32">
        <v>16.625553</v>
      </c>
      <c r="P187" s="33">
        <v>12.249239000000001</v>
      </c>
      <c r="Q187" s="31">
        <f t="shared" si="16"/>
        <v>2.9228350000000001</v>
      </c>
      <c r="R187" s="32">
        <v>1.7228460000000001</v>
      </c>
      <c r="S187" s="32">
        <v>2.3737349999999999</v>
      </c>
      <c r="T187" s="32">
        <v>4.1276409999999997</v>
      </c>
      <c r="U187" s="33">
        <v>3.4671180000000001</v>
      </c>
      <c r="V187" s="31">
        <f t="shared" si="17"/>
        <v>7.4204275000000006</v>
      </c>
      <c r="W187" s="32">
        <v>4.2291230000000004</v>
      </c>
      <c r="X187" s="32">
        <v>10.256432</v>
      </c>
      <c r="Y187" s="32">
        <v>9.1353150000000003</v>
      </c>
      <c r="Z187" s="33">
        <v>6.0608399999999998</v>
      </c>
      <c r="AA187" s="31">
        <f t="shared" si="18"/>
        <v>0.68297099999999999</v>
      </c>
      <c r="AB187" s="32">
        <v>0.49382399999999993</v>
      </c>
      <c r="AC187" s="33">
        <v>0.87211799999999995</v>
      </c>
      <c r="AD187" s="31">
        <f t="shared" si="19"/>
        <v>2.4142479999999997</v>
      </c>
      <c r="AE187" s="32">
        <v>0.75403100000000001</v>
      </c>
      <c r="AF187" s="32">
        <v>3.0190830000000002</v>
      </c>
      <c r="AG187" s="32">
        <v>3.1625969999999994</v>
      </c>
      <c r="AH187" s="33">
        <v>2.7212809999999998</v>
      </c>
      <c r="AI187" s="31">
        <f t="shared" si="20"/>
        <v>4.9999999999999933E-2</v>
      </c>
      <c r="AJ187" s="32">
        <v>0</v>
      </c>
      <c r="AK187" s="32">
        <v>0</v>
      </c>
      <c r="AL187" s="32">
        <v>0.19999999999999973</v>
      </c>
      <c r="AM187" s="34">
        <v>0</v>
      </c>
    </row>
    <row r="188" spans="1:39" x14ac:dyDescent="0.3">
      <c r="A188" s="24" t="s">
        <v>272</v>
      </c>
      <c r="B188" s="25" t="s">
        <v>4</v>
      </c>
      <c r="C188" s="25" t="s">
        <v>47</v>
      </c>
      <c r="D188" s="25" t="s">
        <v>30</v>
      </c>
      <c r="E188" s="26" t="s">
        <v>190</v>
      </c>
      <c r="F188" s="27">
        <v>4</v>
      </c>
      <c r="G188" s="28">
        <f t="shared" si="14"/>
        <v>1.75</v>
      </c>
      <c r="H188" s="29">
        <v>0</v>
      </c>
      <c r="I188" s="29">
        <v>1</v>
      </c>
      <c r="J188" s="29">
        <v>3</v>
      </c>
      <c r="K188" s="30">
        <v>3</v>
      </c>
      <c r="L188" s="31">
        <f t="shared" si="15"/>
        <v>1.1158617499999999</v>
      </c>
      <c r="M188" s="32">
        <v>0</v>
      </c>
      <c r="N188" s="32">
        <v>0.101697</v>
      </c>
      <c r="O188" s="32">
        <v>3.0285299999999999</v>
      </c>
      <c r="P188" s="33">
        <v>1.3332200000000001</v>
      </c>
      <c r="Q188" s="31">
        <f t="shared" si="16"/>
        <v>0</v>
      </c>
      <c r="R188" s="32">
        <v>0</v>
      </c>
      <c r="S188" s="32">
        <v>0</v>
      </c>
      <c r="T188" s="32">
        <v>0</v>
      </c>
      <c r="U188" s="33">
        <v>0</v>
      </c>
      <c r="V188" s="31">
        <f t="shared" si="17"/>
        <v>1.0904374999999999</v>
      </c>
      <c r="W188" s="32">
        <v>0</v>
      </c>
      <c r="X188" s="32">
        <v>0</v>
      </c>
      <c r="Y188" s="32">
        <v>3.0285299999999999</v>
      </c>
      <c r="Z188" s="33">
        <v>1.3332200000000001</v>
      </c>
      <c r="AA188" s="31">
        <f t="shared" si="18"/>
        <v>0</v>
      </c>
      <c r="AB188" s="32">
        <v>0</v>
      </c>
      <c r="AC188" s="33">
        <v>0</v>
      </c>
      <c r="AD188" s="31">
        <f t="shared" si="19"/>
        <v>2.5424249999999999E-2</v>
      </c>
      <c r="AE188" s="32">
        <v>0</v>
      </c>
      <c r="AF188" s="32">
        <v>0.101697</v>
      </c>
      <c r="AG188" s="32">
        <v>0</v>
      </c>
      <c r="AH188" s="33">
        <v>0</v>
      </c>
      <c r="AI188" s="31">
        <f t="shared" si="20"/>
        <v>0</v>
      </c>
      <c r="AJ188" s="32">
        <v>0</v>
      </c>
      <c r="AK188" s="32">
        <v>0</v>
      </c>
      <c r="AL188" s="32">
        <v>0</v>
      </c>
      <c r="AM188" s="34">
        <v>0</v>
      </c>
    </row>
    <row r="189" spans="1:39" x14ac:dyDescent="0.3">
      <c r="A189" s="24" t="s">
        <v>272</v>
      </c>
      <c r="B189" s="25" t="s">
        <v>4</v>
      </c>
      <c r="C189" s="25" t="s">
        <v>47</v>
      </c>
      <c r="D189" s="25" t="s">
        <v>30</v>
      </c>
      <c r="E189" s="26" t="s">
        <v>247</v>
      </c>
      <c r="F189" s="27">
        <v>3</v>
      </c>
      <c r="G189" s="28">
        <f t="shared" si="14"/>
        <v>1</v>
      </c>
      <c r="H189" s="29">
        <v>1</v>
      </c>
      <c r="I189" s="29">
        <v>1</v>
      </c>
      <c r="J189" s="29">
        <v>1</v>
      </c>
      <c r="K189" s="30">
        <v>1</v>
      </c>
      <c r="L189" s="31">
        <f t="shared" si="15"/>
        <v>0.31535800000000003</v>
      </c>
      <c r="M189" s="32">
        <v>0.15576200000000001</v>
      </c>
      <c r="N189" s="32">
        <v>0.32575799999999999</v>
      </c>
      <c r="O189" s="32">
        <v>5.7270000000000001E-2</v>
      </c>
      <c r="P189" s="33">
        <v>0.72264200000000001</v>
      </c>
      <c r="Q189" s="31">
        <f t="shared" si="16"/>
        <v>0.12531200000000001</v>
      </c>
      <c r="R189" s="32">
        <v>0</v>
      </c>
      <c r="S189" s="32">
        <v>0</v>
      </c>
      <c r="T189" s="32">
        <v>0</v>
      </c>
      <c r="U189" s="33">
        <v>0.50124800000000003</v>
      </c>
      <c r="V189" s="31">
        <f t="shared" si="17"/>
        <v>5.1095000000000002E-2</v>
      </c>
      <c r="W189" s="32">
        <v>0</v>
      </c>
      <c r="X189" s="32">
        <v>0.20438000000000001</v>
      </c>
      <c r="Y189" s="32">
        <v>0</v>
      </c>
      <c r="Z189" s="33">
        <v>0</v>
      </c>
      <c r="AA189" s="31">
        <f t="shared" si="18"/>
        <v>0</v>
      </c>
      <c r="AB189" s="32">
        <v>0</v>
      </c>
      <c r="AC189" s="33">
        <v>0</v>
      </c>
      <c r="AD189" s="31">
        <f t="shared" si="19"/>
        <v>0.13895099999999999</v>
      </c>
      <c r="AE189" s="32">
        <v>0.15576200000000001</v>
      </c>
      <c r="AF189" s="32">
        <v>0.121378</v>
      </c>
      <c r="AG189" s="32">
        <v>5.7270000000000001E-2</v>
      </c>
      <c r="AH189" s="33">
        <v>0.22139400000000001</v>
      </c>
      <c r="AI189" s="31">
        <f t="shared" si="20"/>
        <v>0</v>
      </c>
      <c r="AJ189" s="32">
        <v>0</v>
      </c>
      <c r="AK189" s="32">
        <v>0</v>
      </c>
      <c r="AL189" s="32">
        <v>0</v>
      </c>
      <c r="AM189" s="34">
        <v>0</v>
      </c>
    </row>
    <row r="190" spans="1:39" x14ac:dyDescent="0.3">
      <c r="A190" s="24" t="s">
        <v>272</v>
      </c>
      <c r="B190" s="25" t="s">
        <v>4</v>
      </c>
      <c r="C190" s="25" t="s">
        <v>47</v>
      </c>
      <c r="D190" s="25" t="s">
        <v>30</v>
      </c>
      <c r="E190" s="26" t="s">
        <v>237</v>
      </c>
      <c r="F190" s="27">
        <v>4</v>
      </c>
      <c r="G190" s="28">
        <f t="shared" si="14"/>
        <v>3.5</v>
      </c>
      <c r="H190" s="29">
        <v>1</v>
      </c>
      <c r="I190" s="29">
        <v>4</v>
      </c>
      <c r="J190" s="29">
        <v>5</v>
      </c>
      <c r="K190" s="30">
        <v>4</v>
      </c>
      <c r="L190" s="31">
        <f t="shared" si="15"/>
        <v>0.92066950000000003</v>
      </c>
      <c r="M190" s="32">
        <v>9.2939999999999995E-2</v>
      </c>
      <c r="N190" s="32">
        <v>0.39186500000000002</v>
      </c>
      <c r="O190" s="32">
        <v>2.4415779999999998</v>
      </c>
      <c r="P190" s="33">
        <v>0.75629499999999994</v>
      </c>
      <c r="Q190" s="31">
        <f t="shared" si="16"/>
        <v>0.53979250000000001</v>
      </c>
      <c r="R190" s="32">
        <v>0</v>
      </c>
      <c r="S190" s="32">
        <v>0</v>
      </c>
      <c r="T190" s="32">
        <v>1.8077700000000001</v>
      </c>
      <c r="U190" s="33">
        <v>0.35139999999999999</v>
      </c>
      <c r="V190" s="31">
        <f t="shared" si="17"/>
        <v>0</v>
      </c>
      <c r="W190" s="32">
        <v>0</v>
      </c>
      <c r="X190" s="32">
        <v>0</v>
      </c>
      <c r="Y190" s="32">
        <v>0</v>
      </c>
      <c r="Z190" s="33">
        <v>0</v>
      </c>
      <c r="AA190" s="31">
        <f t="shared" si="18"/>
        <v>0</v>
      </c>
      <c r="AB190" s="32">
        <v>0</v>
      </c>
      <c r="AC190" s="33">
        <v>0</v>
      </c>
      <c r="AD190" s="31">
        <f t="shared" si="19"/>
        <v>0.38087700000000002</v>
      </c>
      <c r="AE190" s="32">
        <v>9.2939999999999995E-2</v>
      </c>
      <c r="AF190" s="32">
        <v>0.39186500000000002</v>
      </c>
      <c r="AG190" s="32">
        <v>0.63380800000000004</v>
      </c>
      <c r="AH190" s="33">
        <v>0.404895</v>
      </c>
      <c r="AI190" s="31">
        <f t="shared" si="20"/>
        <v>0</v>
      </c>
      <c r="AJ190" s="32">
        <v>0</v>
      </c>
      <c r="AK190" s="32">
        <v>0</v>
      </c>
      <c r="AL190" s="32">
        <v>0</v>
      </c>
      <c r="AM190" s="34">
        <v>0</v>
      </c>
    </row>
    <row r="191" spans="1:39" x14ac:dyDescent="0.3">
      <c r="A191" s="24" t="s">
        <v>272</v>
      </c>
      <c r="B191" s="25" t="s">
        <v>4</v>
      </c>
      <c r="C191" s="25" t="s">
        <v>47</v>
      </c>
      <c r="D191" s="25" t="s">
        <v>30</v>
      </c>
      <c r="E191" s="26" t="s">
        <v>173</v>
      </c>
      <c r="F191" s="27">
        <v>5</v>
      </c>
      <c r="G191" s="28">
        <f t="shared" si="14"/>
        <v>3</v>
      </c>
      <c r="H191" s="29">
        <v>3</v>
      </c>
      <c r="I191" s="29">
        <v>3</v>
      </c>
      <c r="J191" s="29">
        <v>2</v>
      </c>
      <c r="K191" s="30">
        <v>4</v>
      </c>
      <c r="L191" s="31">
        <f t="shared" si="15"/>
        <v>0.98773624999999998</v>
      </c>
      <c r="M191" s="32">
        <v>0.14780599999999999</v>
      </c>
      <c r="N191" s="32">
        <v>0.45082299999999997</v>
      </c>
      <c r="O191" s="32">
        <v>1.7316819999999999</v>
      </c>
      <c r="P191" s="33">
        <v>1.6206339999999999</v>
      </c>
      <c r="Q191" s="31">
        <f t="shared" si="16"/>
        <v>0.71576125000000002</v>
      </c>
      <c r="R191" s="32">
        <v>0</v>
      </c>
      <c r="S191" s="32">
        <v>0</v>
      </c>
      <c r="T191" s="32">
        <v>1.5023010000000001</v>
      </c>
      <c r="U191" s="33">
        <v>1.360744</v>
      </c>
      <c r="V191" s="31">
        <f t="shared" si="17"/>
        <v>0</v>
      </c>
      <c r="W191" s="32">
        <v>0</v>
      </c>
      <c r="X191" s="32">
        <v>0</v>
      </c>
      <c r="Y191" s="32">
        <v>0</v>
      </c>
      <c r="Z191" s="33">
        <v>0</v>
      </c>
      <c r="AA191" s="31">
        <f t="shared" si="18"/>
        <v>0</v>
      </c>
      <c r="AB191" s="32">
        <v>0</v>
      </c>
      <c r="AC191" s="33">
        <v>0</v>
      </c>
      <c r="AD191" s="31">
        <f t="shared" si="19"/>
        <v>0.27197499999999997</v>
      </c>
      <c r="AE191" s="32">
        <v>0.14780599999999999</v>
      </c>
      <c r="AF191" s="32">
        <v>0.45082299999999997</v>
      </c>
      <c r="AG191" s="32">
        <v>0.229381</v>
      </c>
      <c r="AH191" s="33">
        <v>0.25989000000000001</v>
      </c>
      <c r="AI191" s="31">
        <f t="shared" si="20"/>
        <v>0</v>
      </c>
      <c r="AJ191" s="32">
        <v>0</v>
      </c>
      <c r="AK191" s="32">
        <v>0</v>
      </c>
      <c r="AL191" s="32">
        <v>0</v>
      </c>
      <c r="AM191" s="34">
        <v>0</v>
      </c>
    </row>
    <row r="192" spans="1:39" x14ac:dyDescent="0.3">
      <c r="A192" s="24" t="s">
        <v>272</v>
      </c>
      <c r="B192" s="25" t="s">
        <v>4</v>
      </c>
      <c r="C192" s="25" t="s">
        <v>47</v>
      </c>
      <c r="D192" s="25" t="s">
        <v>30</v>
      </c>
      <c r="E192" s="26" t="s">
        <v>174</v>
      </c>
      <c r="F192" s="27">
        <v>3</v>
      </c>
      <c r="G192" s="28">
        <f t="shared" si="14"/>
        <v>2</v>
      </c>
      <c r="H192" s="29">
        <v>0</v>
      </c>
      <c r="I192" s="29">
        <v>0</v>
      </c>
      <c r="J192" s="29">
        <v>5</v>
      </c>
      <c r="K192" s="30">
        <v>3</v>
      </c>
      <c r="L192" s="31">
        <f t="shared" si="15"/>
        <v>1.0407600000000001</v>
      </c>
      <c r="M192" s="32">
        <v>0</v>
      </c>
      <c r="N192" s="32">
        <v>0</v>
      </c>
      <c r="O192" s="32">
        <v>3.5002500000000003</v>
      </c>
      <c r="P192" s="33">
        <v>0.66278999999999999</v>
      </c>
      <c r="Q192" s="31">
        <f t="shared" si="16"/>
        <v>0.91370549999999984</v>
      </c>
      <c r="R192" s="32">
        <v>0</v>
      </c>
      <c r="S192" s="32">
        <v>0</v>
      </c>
      <c r="T192" s="32">
        <v>3.1540799999999996</v>
      </c>
      <c r="U192" s="33">
        <v>0.50074200000000002</v>
      </c>
      <c r="V192" s="31">
        <f t="shared" si="17"/>
        <v>0</v>
      </c>
      <c r="W192" s="32">
        <v>0</v>
      </c>
      <c r="X192" s="32">
        <v>0</v>
      </c>
      <c r="Y192" s="32">
        <v>0</v>
      </c>
      <c r="Z192" s="33">
        <v>0</v>
      </c>
      <c r="AA192" s="31">
        <f t="shared" si="18"/>
        <v>0</v>
      </c>
      <c r="AB192" s="32">
        <v>0</v>
      </c>
      <c r="AC192" s="33">
        <v>0</v>
      </c>
      <c r="AD192" s="31">
        <f t="shared" si="19"/>
        <v>0.12705449999999999</v>
      </c>
      <c r="AE192" s="32">
        <v>0</v>
      </c>
      <c r="AF192" s="32">
        <v>0</v>
      </c>
      <c r="AG192" s="32">
        <v>0.34616999999999998</v>
      </c>
      <c r="AH192" s="33">
        <v>0.162048</v>
      </c>
      <c r="AI192" s="31">
        <f t="shared" si="20"/>
        <v>1.9428902930940239E-16</v>
      </c>
      <c r="AJ192" s="32">
        <v>0</v>
      </c>
      <c r="AK192" s="32">
        <v>0</v>
      </c>
      <c r="AL192" s="32">
        <v>7.7715611723760958E-16</v>
      </c>
      <c r="AM192" s="34">
        <v>0</v>
      </c>
    </row>
    <row r="193" spans="1:39" x14ac:dyDescent="0.3">
      <c r="A193" s="24" t="s">
        <v>272</v>
      </c>
      <c r="B193" s="25" t="s">
        <v>4</v>
      </c>
      <c r="C193" s="25" t="s">
        <v>47</v>
      </c>
      <c r="D193" s="25" t="s">
        <v>30</v>
      </c>
      <c r="E193" s="26" t="s">
        <v>263</v>
      </c>
      <c r="F193" s="27">
        <v>1</v>
      </c>
      <c r="G193" s="28">
        <f t="shared" si="14"/>
        <v>0</v>
      </c>
      <c r="H193" s="29">
        <v>0</v>
      </c>
      <c r="I193" s="29">
        <v>0</v>
      </c>
      <c r="J193" s="29">
        <v>0</v>
      </c>
      <c r="K193" s="30">
        <v>0</v>
      </c>
      <c r="L193" s="31">
        <f t="shared" si="15"/>
        <v>0</v>
      </c>
      <c r="M193" s="32">
        <v>0</v>
      </c>
      <c r="N193" s="32">
        <v>0</v>
      </c>
      <c r="O193" s="32">
        <v>0</v>
      </c>
      <c r="P193" s="33">
        <v>0</v>
      </c>
      <c r="Q193" s="31">
        <f t="shared" si="16"/>
        <v>0</v>
      </c>
      <c r="R193" s="32">
        <v>0</v>
      </c>
      <c r="S193" s="32">
        <v>0</v>
      </c>
      <c r="T193" s="32">
        <v>0</v>
      </c>
      <c r="U193" s="33">
        <v>0</v>
      </c>
      <c r="V193" s="31">
        <f t="shared" si="17"/>
        <v>0</v>
      </c>
      <c r="W193" s="32">
        <v>0</v>
      </c>
      <c r="X193" s="32">
        <v>0</v>
      </c>
      <c r="Y193" s="32">
        <v>0</v>
      </c>
      <c r="Z193" s="33">
        <v>0</v>
      </c>
      <c r="AA193" s="31">
        <f t="shared" si="18"/>
        <v>0</v>
      </c>
      <c r="AB193" s="32">
        <v>0</v>
      </c>
      <c r="AC193" s="33">
        <v>0</v>
      </c>
      <c r="AD193" s="31">
        <f t="shared" si="19"/>
        <v>0</v>
      </c>
      <c r="AE193" s="32">
        <v>0</v>
      </c>
      <c r="AF193" s="32">
        <v>0</v>
      </c>
      <c r="AG193" s="32">
        <v>0</v>
      </c>
      <c r="AH193" s="33">
        <v>0</v>
      </c>
      <c r="AI193" s="31">
        <f t="shared" si="20"/>
        <v>0</v>
      </c>
      <c r="AJ193" s="32">
        <v>0</v>
      </c>
      <c r="AK193" s="32">
        <v>0</v>
      </c>
      <c r="AL193" s="32">
        <v>0</v>
      </c>
      <c r="AM193" s="34">
        <v>0</v>
      </c>
    </row>
    <row r="194" spans="1:39" x14ac:dyDescent="0.3">
      <c r="A194" s="24" t="s">
        <v>272</v>
      </c>
      <c r="B194" s="25" t="s">
        <v>4</v>
      </c>
      <c r="C194" s="25" t="s">
        <v>47</v>
      </c>
      <c r="D194" s="25" t="s">
        <v>30</v>
      </c>
      <c r="E194" s="26" t="s">
        <v>207</v>
      </c>
      <c r="F194" s="27">
        <v>4</v>
      </c>
      <c r="G194" s="28">
        <f t="shared" si="14"/>
        <v>0</v>
      </c>
      <c r="H194" s="29">
        <v>0</v>
      </c>
      <c r="I194" s="29">
        <v>0</v>
      </c>
      <c r="J194" s="29">
        <v>0</v>
      </c>
      <c r="K194" s="30">
        <v>0</v>
      </c>
      <c r="L194" s="31">
        <f t="shared" si="15"/>
        <v>0</v>
      </c>
      <c r="M194" s="32">
        <v>0</v>
      </c>
      <c r="N194" s="32">
        <v>0</v>
      </c>
      <c r="O194" s="32">
        <v>0</v>
      </c>
      <c r="P194" s="33">
        <v>0</v>
      </c>
      <c r="Q194" s="31">
        <f t="shared" si="16"/>
        <v>0</v>
      </c>
      <c r="R194" s="32">
        <v>0</v>
      </c>
      <c r="S194" s="32">
        <v>0</v>
      </c>
      <c r="T194" s="32">
        <v>0</v>
      </c>
      <c r="U194" s="33">
        <v>0</v>
      </c>
      <c r="V194" s="31">
        <f t="shared" si="17"/>
        <v>0</v>
      </c>
      <c r="W194" s="32">
        <v>0</v>
      </c>
      <c r="X194" s="32">
        <v>0</v>
      </c>
      <c r="Y194" s="32">
        <v>0</v>
      </c>
      <c r="Z194" s="33">
        <v>0</v>
      </c>
      <c r="AA194" s="31">
        <f t="shared" si="18"/>
        <v>0</v>
      </c>
      <c r="AB194" s="32">
        <v>0</v>
      </c>
      <c r="AC194" s="33">
        <v>0</v>
      </c>
      <c r="AD194" s="31">
        <f t="shared" si="19"/>
        <v>0</v>
      </c>
      <c r="AE194" s="32">
        <v>0</v>
      </c>
      <c r="AF194" s="32">
        <v>0</v>
      </c>
      <c r="AG194" s="32">
        <v>0</v>
      </c>
      <c r="AH194" s="33">
        <v>0</v>
      </c>
      <c r="AI194" s="31">
        <f t="shared" si="20"/>
        <v>0</v>
      </c>
      <c r="AJ194" s="32">
        <v>0</v>
      </c>
      <c r="AK194" s="32">
        <v>0</v>
      </c>
      <c r="AL194" s="32">
        <v>0</v>
      </c>
      <c r="AM194" s="34">
        <v>0</v>
      </c>
    </row>
    <row r="195" spans="1:39" x14ac:dyDescent="0.3">
      <c r="A195" s="24" t="s">
        <v>272</v>
      </c>
      <c r="B195" s="25" t="s">
        <v>4</v>
      </c>
      <c r="C195" s="25" t="s">
        <v>47</v>
      </c>
      <c r="D195" s="25" t="s">
        <v>8</v>
      </c>
      <c r="E195" s="26" t="s">
        <v>218</v>
      </c>
      <c r="F195" s="27">
        <v>14</v>
      </c>
      <c r="G195" s="28">
        <f t="shared" si="14"/>
        <v>2</v>
      </c>
      <c r="H195" s="29">
        <v>1</v>
      </c>
      <c r="I195" s="29">
        <v>1</v>
      </c>
      <c r="J195" s="29">
        <v>2</v>
      </c>
      <c r="K195" s="30">
        <v>4</v>
      </c>
      <c r="L195" s="31">
        <f t="shared" si="15"/>
        <v>0.33629450000000005</v>
      </c>
      <c r="M195" s="32">
        <v>0.30642000000000003</v>
      </c>
      <c r="N195" s="32">
        <v>0.117372</v>
      </c>
      <c r="O195" s="32">
        <v>0.29860599999999998</v>
      </c>
      <c r="P195" s="33">
        <v>0.50540799999999997</v>
      </c>
      <c r="Q195" s="31">
        <f t="shared" si="16"/>
        <v>0</v>
      </c>
      <c r="R195" s="32">
        <v>0</v>
      </c>
      <c r="S195" s="32">
        <v>0</v>
      </c>
      <c r="T195" s="32">
        <v>0</v>
      </c>
      <c r="U195" s="33">
        <v>0</v>
      </c>
      <c r="V195" s="31">
        <f t="shared" si="17"/>
        <v>0</v>
      </c>
      <c r="W195" s="32">
        <v>0</v>
      </c>
      <c r="X195" s="32">
        <v>0</v>
      </c>
      <c r="Y195" s="32">
        <v>0</v>
      </c>
      <c r="Z195" s="33">
        <v>0</v>
      </c>
      <c r="AA195" s="31">
        <f t="shared" si="18"/>
        <v>5.8686000000000002E-2</v>
      </c>
      <c r="AB195" s="32">
        <v>0</v>
      </c>
      <c r="AC195" s="33">
        <v>0.117372</v>
      </c>
      <c r="AD195" s="31">
        <f t="shared" si="19"/>
        <v>0.27760850000000004</v>
      </c>
      <c r="AE195" s="32">
        <v>0.30642000000000003</v>
      </c>
      <c r="AF195" s="32">
        <v>0</v>
      </c>
      <c r="AG195" s="32">
        <v>0.29860599999999998</v>
      </c>
      <c r="AH195" s="33">
        <v>0.50540799999999997</v>
      </c>
      <c r="AI195" s="31">
        <f t="shared" si="20"/>
        <v>0</v>
      </c>
      <c r="AJ195" s="32">
        <v>0</v>
      </c>
      <c r="AK195" s="32">
        <v>0</v>
      </c>
      <c r="AL195" s="32">
        <v>0</v>
      </c>
      <c r="AM195" s="34">
        <v>0</v>
      </c>
    </row>
    <row r="196" spans="1:39" x14ac:dyDescent="0.3">
      <c r="A196" s="24" t="s">
        <v>272</v>
      </c>
      <c r="B196" s="25" t="s">
        <v>4</v>
      </c>
      <c r="C196" s="25" t="s">
        <v>47</v>
      </c>
      <c r="D196" s="25" t="s">
        <v>8</v>
      </c>
      <c r="E196" s="26" t="s">
        <v>156</v>
      </c>
      <c r="F196" s="27">
        <v>72</v>
      </c>
      <c r="G196" s="28">
        <f t="shared" si="14"/>
        <v>27.25</v>
      </c>
      <c r="H196" s="29">
        <v>34</v>
      </c>
      <c r="I196" s="29">
        <v>38</v>
      </c>
      <c r="J196" s="29">
        <v>21</v>
      </c>
      <c r="K196" s="30">
        <v>16</v>
      </c>
      <c r="L196" s="31">
        <f t="shared" si="15"/>
        <v>14.560727749999998</v>
      </c>
      <c r="M196" s="32">
        <v>13.039181999999995</v>
      </c>
      <c r="N196" s="32">
        <v>19.871641000000004</v>
      </c>
      <c r="O196" s="32">
        <v>13.904575000000001</v>
      </c>
      <c r="P196" s="33">
        <v>7.1166889999999992</v>
      </c>
      <c r="Q196" s="31">
        <f t="shared" si="16"/>
        <v>5.4545365000000006</v>
      </c>
      <c r="R196" s="32">
        <v>2.8165839999999998</v>
      </c>
      <c r="S196" s="32">
        <v>8.0802630000000004</v>
      </c>
      <c r="T196" s="32">
        <v>7.0018250000000002</v>
      </c>
      <c r="U196" s="33">
        <v>3.9194740000000001</v>
      </c>
      <c r="V196" s="31">
        <f t="shared" si="17"/>
        <v>2.3123899999999997</v>
      </c>
      <c r="W196" s="32">
        <v>2.3247799999999996</v>
      </c>
      <c r="X196" s="32">
        <v>4.4101399999999993</v>
      </c>
      <c r="Y196" s="32">
        <v>1.5079</v>
      </c>
      <c r="Z196" s="33">
        <v>1.00674</v>
      </c>
      <c r="AA196" s="31">
        <f t="shared" si="18"/>
        <v>2.1554120000000001</v>
      </c>
      <c r="AB196" s="32">
        <v>3.452331</v>
      </c>
      <c r="AC196" s="33">
        <v>0.85849299999999995</v>
      </c>
      <c r="AD196" s="31">
        <f t="shared" si="19"/>
        <v>0.80088925</v>
      </c>
      <c r="AE196" s="32">
        <v>0.54548700000000006</v>
      </c>
      <c r="AF196" s="32">
        <v>0.52274500000000002</v>
      </c>
      <c r="AG196" s="32">
        <v>1.24485</v>
      </c>
      <c r="AH196" s="33">
        <v>0.89047500000000002</v>
      </c>
      <c r="AI196" s="31">
        <f t="shared" si="20"/>
        <v>3.8374999999999995</v>
      </c>
      <c r="AJ196" s="32">
        <v>3.8999999999999946</v>
      </c>
      <c r="AK196" s="32">
        <v>6.0000000000000036</v>
      </c>
      <c r="AL196" s="32">
        <v>4.1500000000000004</v>
      </c>
      <c r="AM196" s="34">
        <v>1.2999999999999994</v>
      </c>
    </row>
    <row r="197" spans="1:39" x14ac:dyDescent="0.3">
      <c r="A197" s="24" t="s">
        <v>272</v>
      </c>
      <c r="B197" s="25" t="s">
        <v>11</v>
      </c>
      <c r="C197" s="25" t="s">
        <v>48</v>
      </c>
      <c r="D197" s="25" t="s">
        <v>20</v>
      </c>
      <c r="E197" s="26" t="s">
        <v>143</v>
      </c>
      <c r="F197" s="27">
        <v>6</v>
      </c>
      <c r="G197" s="28">
        <f t="shared" si="14"/>
        <v>1.5</v>
      </c>
      <c r="H197" s="29">
        <v>1</v>
      </c>
      <c r="I197" s="29">
        <v>0</v>
      </c>
      <c r="J197" s="29">
        <v>1</v>
      </c>
      <c r="K197" s="30">
        <v>4</v>
      </c>
      <c r="L197" s="31">
        <f t="shared" si="15"/>
        <v>0.44256400000000001</v>
      </c>
      <c r="M197" s="32">
        <v>5.1916999999999998E-2</v>
      </c>
      <c r="N197" s="32">
        <v>0</v>
      </c>
      <c r="O197" s="32">
        <v>8.8542999999999997E-2</v>
      </c>
      <c r="P197" s="33">
        <v>1.577879</v>
      </c>
      <c r="Q197" s="31">
        <f t="shared" si="16"/>
        <v>0.35625050000000003</v>
      </c>
      <c r="R197" s="32">
        <v>0</v>
      </c>
      <c r="S197" s="32">
        <v>0</v>
      </c>
      <c r="T197" s="32">
        <v>0</v>
      </c>
      <c r="U197" s="33">
        <v>1.4250020000000001</v>
      </c>
      <c r="V197" s="31">
        <f t="shared" si="17"/>
        <v>0</v>
      </c>
      <c r="W197" s="32">
        <v>0</v>
      </c>
      <c r="X197" s="32">
        <v>0</v>
      </c>
      <c r="Y197" s="32">
        <v>0</v>
      </c>
      <c r="Z197" s="33">
        <v>0</v>
      </c>
      <c r="AA197" s="31">
        <f t="shared" si="18"/>
        <v>2.5958499999999999E-2</v>
      </c>
      <c r="AB197" s="32">
        <v>5.1916999999999998E-2</v>
      </c>
      <c r="AC197" s="33">
        <v>0</v>
      </c>
      <c r="AD197" s="31">
        <f t="shared" si="19"/>
        <v>6.0354999999999992E-2</v>
      </c>
      <c r="AE197" s="32">
        <v>0</v>
      </c>
      <c r="AF197" s="32">
        <v>0</v>
      </c>
      <c r="AG197" s="32">
        <v>8.8542999999999997E-2</v>
      </c>
      <c r="AH197" s="33">
        <v>0.15287699999999999</v>
      </c>
      <c r="AI197" s="31">
        <f t="shared" si="20"/>
        <v>0</v>
      </c>
      <c r="AJ197" s="32">
        <v>0</v>
      </c>
      <c r="AK197" s="32">
        <v>0</v>
      </c>
      <c r="AL197" s="32">
        <v>0</v>
      </c>
      <c r="AM197" s="34">
        <v>0</v>
      </c>
    </row>
    <row r="198" spans="1:39" x14ac:dyDescent="0.3">
      <c r="A198" s="24" t="s">
        <v>272</v>
      </c>
      <c r="B198" s="25" t="s">
        <v>11</v>
      </c>
      <c r="C198" s="25" t="s">
        <v>48</v>
      </c>
      <c r="D198" s="25" t="s">
        <v>20</v>
      </c>
      <c r="E198" s="26" t="s">
        <v>89</v>
      </c>
      <c r="F198" s="27">
        <v>55</v>
      </c>
      <c r="G198" s="28">
        <f t="shared" si="14"/>
        <v>40.25</v>
      </c>
      <c r="H198" s="29">
        <v>39</v>
      </c>
      <c r="I198" s="29">
        <v>39</v>
      </c>
      <c r="J198" s="29">
        <v>39</v>
      </c>
      <c r="K198" s="30">
        <v>44</v>
      </c>
      <c r="L198" s="31">
        <f t="shared" si="15"/>
        <v>13.6833445</v>
      </c>
      <c r="M198" s="32">
        <v>14.224304</v>
      </c>
      <c r="N198" s="32">
        <v>8.5239950000000011</v>
      </c>
      <c r="O198" s="32">
        <v>11.234722999999999</v>
      </c>
      <c r="P198" s="33">
        <v>14.282031999999999</v>
      </c>
      <c r="Q198" s="31">
        <f t="shared" si="16"/>
        <v>4.0701387499999999</v>
      </c>
      <c r="R198" s="32">
        <v>5.0188220000000001</v>
      </c>
      <c r="S198" s="32">
        <v>0.40085999999999999</v>
      </c>
      <c r="T198" s="32">
        <v>5.3581210000000006</v>
      </c>
      <c r="U198" s="33">
        <v>5.5027520000000001</v>
      </c>
      <c r="V198" s="31">
        <f t="shared" si="17"/>
        <v>2.2231682500000001</v>
      </c>
      <c r="W198" s="32">
        <v>0.77024300000000001</v>
      </c>
      <c r="X198" s="32">
        <v>3.01085</v>
      </c>
      <c r="Y198" s="32">
        <v>0.75138000000000005</v>
      </c>
      <c r="Z198" s="33">
        <v>4.3601999999999999</v>
      </c>
      <c r="AA198" s="31">
        <f t="shared" si="18"/>
        <v>3.2341620000000004</v>
      </c>
      <c r="AB198" s="32">
        <v>3.8157649999999999</v>
      </c>
      <c r="AC198" s="33">
        <v>2.6525590000000006</v>
      </c>
      <c r="AD198" s="31">
        <f t="shared" si="19"/>
        <v>3.0144905</v>
      </c>
      <c r="AE198" s="32">
        <v>1.0542940000000001</v>
      </c>
      <c r="AF198" s="32">
        <v>2.4597260000000003</v>
      </c>
      <c r="AG198" s="32">
        <v>4.1248620000000003</v>
      </c>
      <c r="AH198" s="33">
        <v>4.4190800000000001</v>
      </c>
      <c r="AI198" s="31">
        <f t="shared" si="20"/>
        <v>1.1413849999999992</v>
      </c>
      <c r="AJ198" s="32">
        <v>3.5651799999999993</v>
      </c>
      <c r="AK198" s="32">
        <v>0</v>
      </c>
      <c r="AL198" s="32">
        <v>1.0003599999999979</v>
      </c>
      <c r="AM198" s="34">
        <v>0</v>
      </c>
    </row>
    <row r="199" spans="1:39" x14ac:dyDescent="0.3">
      <c r="A199" s="24" t="s">
        <v>272</v>
      </c>
      <c r="B199" s="25" t="s">
        <v>11</v>
      </c>
      <c r="C199" s="25" t="s">
        <v>48</v>
      </c>
      <c r="D199" s="25" t="s">
        <v>20</v>
      </c>
      <c r="E199" s="26" t="s">
        <v>70</v>
      </c>
      <c r="F199" s="27">
        <v>113</v>
      </c>
      <c r="G199" s="28">
        <f t="shared" si="14"/>
        <v>111.5</v>
      </c>
      <c r="H199" s="29">
        <v>105</v>
      </c>
      <c r="I199" s="29">
        <v>116</v>
      </c>
      <c r="J199" s="29">
        <v>100</v>
      </c>
      <c r="K199" s="30">
        <v>125</v>
      </c>
      <c r="L199" s="31">
        <f t="shared" si="15"/>
        <v>50.51380125</v>
      </c>
      <c r="M199" s="32">
        <v>46.493733000000006</v>
      </c>
      <c r="N199" s="32">
        <v>52.756525999999994</v>
      </c>
      <c r="O199" s="32">
        <v>42.136623000000007</v>
      </c>
      <c r="P199" s="33">
        <v>50.845660000000002</v>
      </c>
      <c r="Q199" s="31">
        <f t="shared" si="16"/>
        <v>24.962519</v>
      </c>
      <c r="R199" s="32">
        <v>21.479514999999999</v>
      </c>
      <c r="S199" s="32">
        <v>30.910772999999995</v>
      </c>
      <c r="T199" s="32">
        <v>22.084974999999996</v>
      </c>
      <c r="U199" s="33">
        <v>25.374813</v>
      </c>
      <c r="V199" s="31">
        <f t="shared" si="17"/>
        <v>12.412100500000001</v>
      </c>
      <c r="W199" s="32">
        <v>11.716177</v>
      </c>
      <c r="X199" s="32">
        <v>14.066772000000002</v>
      </c>
      <c r="Y199" s="32">
        <v>9.1167730000000002</v>
      </c>
      <c r="Z199" s="33">
        <v>14.748679999999998</v>
      </c>
      <c r="AA199" s="31">
        <f t="shared" si="18"/>
        <v>4.9113314999999993</v>
      </c>
      <c r="AB199" s="32">
        <v>5.5624719999999996</v>
      </c>
      <c r="AC199" s="33">
        <v>4.2601909999999998</v>
      </c>
      <c r="AD199" s="31">
        <f t="shared" si="19"/>
        <v>5.1536227500000003</v>
      </c>
      <c r="AE199" s="32">
        <v>2.2468190000000003</v>
      </c>
      <c r="AF199" s="32">
        <v>2.8187899999999999</v>
      </c>
      <c r="AG199" s="32">
        <v>7.1348750000000001</v>
      </c>
      <c r="AH199" s="33">
        <v>8.4140069999999998</v>
      </c>
      <c r="AI199" s="31">
        <f t="shared" si="20"/>
        <v>3.0742275000000046</v>
      </c>
      <c r="AJ199" s="32">
        <v>5.4887500000000067</v>
      </c>
      <c r="AK199" s="32">
        <v>0.69999999999999662</v>
      </c>
      <c r="AL199" s="32">
        <v>3.8000000000000105</v>
      </c>
      <c r="AM199" s="34">
        <v>2.3081600000000044</v>
      </c>
    </row>
    <row r="200" spans="1:39" x14ac:dyDescent="0.3">
      <c r="A200" s="24" t="s">
        <v>272</v>
      </c>
      <c r="B200" s="25" t="s">
        <v>11</v>
      </c>
      <c r="C200" s="25" t="s">
        <v>48</v>
      </c>
      <c r="D200" s="25" t="s">
        <v>30</v>
      </c>
      <c r="E200" s="26" t="s">
        <v>248</v>
      </c>
      <c r="F200" s="27">
        <v>2</v>
      </c>
      <c r="G200" s="28">
        <f t="shared" ref="G200:G263" si="21">SUM(H200:K200)/4</f>
        <v>0</v>
      </c>
      <c r="H200" s="29">
        <v>0</v>
      </c>
      <c r="I200" s="29">
        <v>0</v>
      </c>
      <c r="J200" s="29">
        <v>0</v>
      </c>
      <c r="K200" s="30">
        <v>0</v>
      </c>
      <c r="L200" s="31">
        <f t="shared" ref="L200:L263" si="22">Q200+V200+AA200+AD200+AI200</f>
        <v>0</v>
      </c>
      <c r="M200" s="32">
        <v>0</v>
      </c>
      <c r="N200" s="32">
        <v>0</v>
      </c>
      <c r="O200" s="32">
        <v>0</v>
      </c>
      <c r="P200" s="33">
        <v>0</v>
      </c>
      <c r="Q200" s="31">
        <f t="shared" ref="Q200:Q263" si="23">SUM(R200:U200)/4</f>
        <v>0</v>
      </c>
      <c r="R200" s="32">
        <v>0</v>
      </c>
      <c r="S200" s="32">
        <v>0</v>
      </c>
      <c r="T200" s="32">
        <v>0</v>
      </c>
      <c r="U200" s="33">
        <v>0</v>
      </c>
      <c r="V200" s="31">
        <f t="shared" ref="V200:V263" si="24">SUM(W200:Z200)/4</f>
        <v>0</v>
      </c>
      <c r="W200" s="32">
        <v>0</v>
      </c>
      <c r="X200" s="32">
        <v>0</v>
      </c>
      <c r="Y200" s="32">
        <v>0</v>
      </c>
      <c r="Z200" s="33">
        <v>0</v>
      </c>
      <c r="AA200" s="31">
        <f t="shared" ref="AA200:AA263" si="25">SUM(AB200:AC200)/2</f>
        <v>0</v>
      </c>
      <c r="AB200" s="32">
        <v>0</v>
      </c>
      <c r="AC200" s="33">
        <v>0</v>
      </c>
      <c r="AD200" s="31">
        <f t="shared" ref="AD200:AD263" si="26">SUM(AE200:AH200)/4</f>
        <v>0</v>
      </c>
      <c r="AE200" s="32">
        <v>0</v>
      </c>
      <c r="AF200" s="32">
        <v>0</v>
      </c>
      <c r="AG200" s="32">
        <v>0</v>
      </c>
      <c r="AH200" s="33">
        <v>0</v>
      </c>
      <c r="AI200" s="31">
        <f t="shared" ref="AI200:AI263" si="27">SUM(AJ200:AM200)/4</f>
        <v>0</v>
      </c>
      <c r="AJ200" s="32">
        <v>0</v>
      </c>
      <c r="AK200" s="32">
        <v>0</v>
      </c>
      <c r="AL200" s="32">
        <v>0</v>
      </c>
      <c r="AM200" s="34">
        <v>0</v>
      </c>
    </row>
    <row r="201" spans="1:39" x14ac:dyDescent="0.3">
      <c r="A201" s="24" t="s">
        <v>272</v>
      </c>
      <c r="B201" s="25" t="s">
        <v>11</v>
      </c>
      <c r="C201" s="25" t="s">
        <v>48</v>
      </c>
      <c r="D201" s="25" t="s">
        <v>30</v>
      </c>
      <c r="E201" s="26" t="s">
        <v>260</v>
      </c>
      <c r="F201" s="27">
        <v>1</v>
      </c>
      <c r="G201" s="28">
        <f t="shared" si="21"/>
        <v>0</v>
      </c>
      <c r="H201" s="29">
        <v>0</v>
      </c>
      <c r="I201" s="29">
        <v>0</v>
      </c>
      <c r="J201" s="29">
        <v>0</v>
      </c>
      <c r="K201" s="30">
        <v>0</v>
      </c>
      <c r="L201" s="31">
        <f t="shared" si="22"/>
        <v>0</v>
      </c>
      <c r="M201" s="32">
        <v>0</v>
      </c>
      <c r="N201" s="32">
        <v>0</v>
      </c>
      <c r="O201" s="32">
        <v>0</v>
      </c>
      <c r="P201" s="33">
        <v>0</v>
      </c>
      <c r="Q201" s="31">
        <f t="shared" si="23"/>
        <v>0</v>
      </c>
      <c r="R201" s="32">
        <v>0</v>
      </c>
      <c r="S201" s="32">
        <v>0</v>
      </c>
      <c r="T201" s="32">
        <v>0</v>
      </c>
      <c r="U201" s="33">
        <v>0</v>
      </c>
      <c r="V201" s="31">
        <f t="shared" si="24"/>
        <v>0</v>
      </c>
      <c r="W201" s="32">
        <v>0</v>
      </c>
      <c r="X201" s="32">
        <v>0</v>
      </c>
      <c r="Y201" s="32">
        <v>0</v>
      </c>
      <c r="Z201" s="33">
        <v>0</v>
      </c>
      <c r="AA201" s="31">
        <f t="shared" si="25"/>
        <v>0</v>
      </c>
      <c r="AB201" s="32">
        <v>0</v>
      </c>
      <c r="AC201" s="33">
        <v>0</v>
      </c>
      <c r="AD201" s="31">
        <f t="shared" si="26"/>
        <v>0</v>
      </c>
      <c r="AE201" s="32">
        <v>0</v>
      </c>
      <c r="AF201" s="32">
        <v>0</v>
      </c>
      <c r="AG201" s="32">
        <v>0</v>
      </c>
      <c r="AH201" s="33">
        <v>0</v>
      </c>
      <c r="AI201" s="31">
        <f t="shared" si="27"/>
        <v>0</v>
      </c>
      <c r="AJ201" s="32">
        <v>0</v>
      </c>
      <c r="AK201" s="32">
        <v>0</v>
      </c>
      <c r="AL201" s="32">
        <v>0</v>
      </c>
      <c r="AM201" s="34">
        <v>0</v>
      </c>
    </row>
    <row r="202" spans="1:39" x14ac:dyDescent="0.3">
      <c r="A202" s="24" t="s">
        <v>272</v>
      </c>
      <c r="B202" s="25" t="s">
        <v>11</v>
      </c>
      <c r="C202" s="25" t="s">
        <v>48</v>
      </c>
      <c r="D202" s="25" t="s">
        <v>30</v>
      </c>
      <c r="E202" s="26" t="s">
        <v>85</v>
      </c>
      <c r="F202" s="27">
        <v>14</v>
      </c>
      <c r="G202" s="28">
        <f t="shared" si="21"/>
        <v>2.75</v>
      </c>
      <c r="H202" s="29">
        <v>5</v>
      </c>
      <c r="I202" s="29">
        <v>5</v>
      </c>
      <c r="J202" s="29">
        <v>0</v>
      </c>
      <c r="K202" s="30">
        <v>1</v>
      </c>
      <c r="L202" s="31">
        <f t="shared" si="22"/>
        <v>1.3827839999999998</v>
      </c>
      <c r="M202" s="32">
        <v>3.0998380000000001</v>
      </c>
      <c r="N202" s="32">
        <v>2.28606</v>
      </c>
      <c r="O202" s="32">
        <v>0</v>
      </c>
      <c r="P202" s="33">
        <v>0.14523800000000001</v>
      </c>
      <c r="Q202" s="31">
        <f t="shared" si="23"/>
        <v>0.13915</v>
      </c>
      <c r="R202" s="32">
        <v>0.55659999999999998</v>
      </c>
      <c r="S202" s="32">
        <v>0</v>
      </c>
      <c r="T202" s="32">
        <v>0</v>
      </c>
      <c r="U202" s="33">
        <v>0</v>
      </c>
      <c r="V202" s="31">
        <f t="shared" si="24"/>
        <v>1.112711</v>
      </c>
      <c r="W202" s="32">
        <v>2.5432380000000001</v>
      </c>
      <c r="X202" s="32">
        <v>1.9076059999999999</v>
      </c>
      <c r="Y202" s="32">
        <v>0</v>
      </c>
      <c r="Z202" s="33">
        <v>0</v>
      </c>
      <c r="AA202" s="31">
        <f t="shared" si="25"/>
        <v>0</v>
      </c>
      <c r="AB202" s="32">
        <v>0</v>
      </c>
      <c r="AC202" s="33">
        <v>0</v>
      </c>
      <c r="AD202" s="31">
        <f t="shared" si="26"/>
        <v>0.13092299999999998</v>
      </c>
      <c r="AE202" s="32">
        <v>0</v>
      </c>
      <c r="AF202" s="32">
        <v>0.37845399999999996</v>
      </c>
      <c r="AG202" s="32">
        <v>0</v>
      </c>
      <c r="AH202" s="33">
        <v>0.14523800000000001</v>
      </c>
      <c r="AI202" s="31">
        <f t="shared" si="27"/>
        <v>0</v>
      </c>
      <c r="AJ202" s="32">
        <v>0</v>
      </c>
      <c r="AK202" s="32">
        <v>0</v>
      </c>
      <c r="AL202" s="32">
        <v>0</v>
      </c>
      <c r="AM202" s="34">
        <v>0</v>
      </c>
    </row>
    <row r="203" spans="1:39" x14ac:dyDescent="0.3">
      <c r="A203" s="24" t="s">
        <v>272</v>
      </c>
      <c r="B203" s="25" t="s">
        <v>11</v>
      </c>
      <c r="C203" s="25" t="s">
        <v>48</v>
      </c>
      <c r="D203" s="25" t="s">
        <v>30</v>
      </c>
      <c r="E203" s="26" t="s">
        <v>189</v>
      </c>
      <c r="F203" s="27">
        <v>4</v>
      </c>
      <c r="G203" s="28">
        <f t="shared" si="21"/>
        <v>0</v>
      </c>
      <c r="H203" s="29">
        <v>0</v>
      </c>
      <c r="I203" s="29">
        <v>0</v>
      </c>
      <c r="J203" s="29">
        <v>0</v>
      </c>
      <c r="K203" s="30">
        <v>0</v>
      </c>
      <c r="L203" s="31">
        <f t="shared" si="22"/>
        <v>0</v>
      </c>
      <c r="M203" s="32">
        <v>0</v>
      </c>
      <c r="N203" s="32">
        <v>0</v>
      </c>
      <c r="O203" s="32">
        <v>0</v>
      </c>
      <c r="P203" s="33">
        <v>0</v>
      </c>
      <c r="Q203" s="31">
        <f t="shared" si="23"/>
        <v>0</v>
      </c>
      <c r="R203" s="32">
        <v>0</v>
      </c>
      <c r="S203" s="32">
        <v>0</v>
      </c>
      <c r="T203" s="32">
        <v>0</v>
      </c>
      <c r="U203" s="33">
        <v>0</v>
      </c>
      <c r="V203" s="31">
        <f t="shared" si="24"/>
        <v>0</v>
      </c>
      <c r="W203" s="32">
        <v>0</v>
      </c>
      <c r="X203" s="32">
        <v>0</v>
      </c>
      <c r="Y203" s="32">
        <v>0</v>
      </c>
      <c r="Z203" s="33">
        <v>0</v>
      </c>
      <c r="AA203" s="31">
        <f t="shared" si="25"/>
        <v>0</v>
      </c>
      <c r="AB203" s="32">
        <v>0</v>
      </c>
      <c r="AC203" s="33">
        <v>0</v>
      </c>
      <c r="AD203" s="31">
        <f t="shared" si="26"/>
        <v>0</v>
      </c>
      <c r="AE203" s="32">
        <v>0</v>
      </c>
      <c r="AF203" s="32">
        <v>0</v>
      </c>
      <c r="AG203" s="32">
        <v>0</v>
      </c>
      <c r="AH203" s="33">
        <v>0</v>
      </c>
      <c r="AI203" s="31">
        <f t="shared" si="27"/>
        <v>0</v>
      </c>
      <c r="AJ203" s="32">
        <v>0</v>
      </c>
      <c r="AK203" s="32">
        <v>0</v>
      </c>
      <c r="AL203" s="32">
        <v>0</v>
      </c>
      <c r="AM203" s="34">
        <v>0</v>
      </c>
    </row>
    <row r="204" spans="1:39" x14ac:dyDescent="0.3">
      <c r="A204" s="24" t="s">
        <v>272</v>
      </c>
      <c r="B204" s="25" t="s">
        <v>11</v>
      </c>
      <c r="C204" s="25" t="s">
        <v>48</v>
      </c>
      <c r="D204" s="25" t="s">
        <v>30</v>
      </c>
      <c r="E204" s="26" t="s">
        <v>212</v>
      </c>
      <c r="F204" s="27">
        <v>2</v>
      </c>
      <c r="G204" s="28">
        <f t="shared" si="21"/>
        <v>0</v>
      </c>
      <c r="H204" s="29">
        <v>0</v>
      </c>
      <c r="I204" s="29">
        <v>0</v>
      </c>
      <c r="J204" s="29">
        <v>0</v>
      </c>
      <c r="K204" s="30">
        <v>0</v>
      </c>
      <c r="L204" s="31">
        <f t="shared" si="22"/>
        <v>0</v>
      </c>
      <c r="M204" s="32">
        <v>0</v>
      </c>
      <c r="N204" s="32">
        <v>0</v>
      </c>
      <c r="O204" s="32">
        <v>0</v>
      </c>
      <c r="P204" s="33">
        <v>0</v>
      </c>
      <c r="Q204" s="31">
        <f t="shared" si="23"/>
        <v>0</v>
      </c>
      <c r="R204" s="32">
        <v>0</v>
      </c>
      <c r="S204" s="32">
        <v>0</v>
      </c>
      <c r="T204" s="32">
        <v>0</v>
      </c>
      <c r="U204" s="33">
        <v>0</v>
      </c>
      <c r="V204" s="31">
        <f t="shared" si="24"/>
        <v>0</v>
      </c>
      <c r="W204" s="32">
        <v>0</v>
      </c>
      <c r="X204" s="32">
        <v>0</v>
      </c>
      <c r="Y204" s="32">
        <v>0</v>
      </c>
      <c r="Z204" s="33">
        <v>0</v>
      </c>
      <c r="AA204" s="31">
        <f t="shared" si="25"/>
        <v>0</v>
      </c>
      <c r="AB204" s="32">
        <v>0</v>
      </c>
      <c r="AC204" s="33">
        <v>0</v>
      </c>
      <c r="AD204" s="31">
        <f t="shared" si="26"/>
        <v>0</v>
      </c>
      <c r="AE204" s="32">
        <v>0</v>
      </c>
      <c r="AF204" s="32">
        <v>0</v>
      </c>
      <c r="AG204" s="32">
        <v>0</v>
      </c>
      <c r="AH204" s="33">
        <v>0</v>
      </c>
      <c r="AI204" s="31">
        <f t="shared" si="27"/>
        <v>0</v>
      </c>
      <c r="AJ204" s="32">
        <v>0</v>
      </c>
      <c r="AK204" s="32">
        <v>0</v>
      </c>
      <c r="AL204" s="32">
        <v>0</v>
      </c>
      <c r="AM204" s="34">
        <v>0</v>
      </c>
    </row>
    <row r="205" spans="1:39" x14ac:dyDescent="0.3">
      <c r="A205" s="24" t="s">
        <v>272</v>
      </c>
      <c r="B205" s="25" t="s">
        <v>11</v>
      </c>
      <c r="C205" s="25" t="s">
        <v>48</v>
      </c>
      <c r="D205" s="25" t="s">
        <v>30</v>
      </c>
      <c r="E205" s="26" t="s">
        <v>81</v>
      </c>
      <c r="F205" s="27">
        <v>82</v>
      </c>
      <c r="G205" s="28">
        <f t="shared" si="21"/>
        <v>23.75</v>
      </c>
      <c r="H205" s="29">
        <v>15</v>
      </c>
      <c r="I205" s="29">
        <v>20</v>
      </c>
      <c r="J205" s="29">
        <v>25</v>
      </c>
      <c r="K205" s="30">
        <v>35</v>
      </c>
      <c r="L205" s="31">
        <f t="shared" si="22"/>
        <v>14.678219750000002</v>
      </c>
      <c r="M205" s="32">
        <v>11.668683</v>
      </c>
      <c r="N205" s="32">
        <v>11.707984999999999</v>
      </c>
      <c r="O205" s="32">
        <v>15.699022000000001</v>
      </c>
      <c r="P205" s="33">
        <v>16.090714999999999</v>
      </c>
      <c r="Q205" s="31">
        <f t="shared" si="23"/>
        <v>3.1684920000000001</v>
      </c>
      <c r="R205" s="32">
        <v>3.7897730000000003</v>
      </c>
      <c r="S205" s="32">
        <v>3.038672</v>
      </c>
      <c r="T205" s="32">
        <v>3.7091639999999995</v>
      </c>
      <c r="U205" s="33">
        <v>2.1363590000000001</v>
      </c>
      <c r="V205" s="31">
        <f t="shared" si="24"/>
        <v>7.5879174999999996</v>
      </c>
      <c r="W205" s="32">
        <v>6.3516999999999992</v>
      </c>
      <c r="X205" s="32">
        <v>5.5308299999999999</v>
      </c>
      <c r="Y205" s="32">
        <v>8.0178399999999996</v>
      </c>
      <c r="Z205" s="33">
        <v>10.4513</v>
      </c>
      <c r="AA205" s="31">
        <f t="shared" si="25"/>
        <v>1.773237</v>
      </c>
      <c r="AB205" s="32">
        <v>1.312799</v>
      </c>
      <c r="AC205" s="33">
        <v>2.2336749999999999</v>
      </c>
      <c r="AD205" s="31">
        <f t="shared" si="26"/>
        <v>1.9807082500000002</v>
      </c>
      <c r="AE205" s="32">
        <v>0.10361099999999999</v>
      </c>
      <c r="AF205" s="32">
        <v>0.68730800000000003</v>
      </c>
      <c r="AG205" s="32">
        <v>3.7682380000000002</v>
      </c>
      <c r="AH205" s="33">
        <v>3.3636760000000003</v>
      </c>
      <c r="AI205" s="31">
        <f t="shared" si="27"/>
        <v>0.16786499999999996</v>
      </c>
      <c r="AJ205" s="32">
        <v>0.11080000000000013</v>
      </c>
      <c r="AK205" s="32">
        <v>0.21749999999999914</v>
      </c>
      <c r="AL205" s="32">
        <v>0.20378000000000185</v>
      </c>
      <c r="AM205" s="34">
        <v>0.13937999999999873</v>
      </c>
    </row>
    <row r="206" spans="1:39" x14ac:dyDescent="0.3">
      <c r="A206" s="24" t="s">
        <v>272</v>
      </c>
      <c r="B206" s="25" t="s">
        <v>11</v>
      </c>
      <c r="C206" s="25" t="s">
        <v>48</v>
      </c>
      <c r="D206" s="25" t="s">
        <v>30</v>
      </c>
      <c r="E206" s="26" t="s">
        <v>74</v>
      </c>
      <c r="F206" s="27">
        <v>62</v>
      </c>
      <c r="G206" s="28">
        <f t="shared" si="21"/>
        <v>24</v>
      </c>
      <c r="H206" s="29">
        <v>20</v>
      </c>
      <c r="I206" s="29">
        <v>27</v>
      </c>
      <c r="J206" s="29">
        <v>25</v>
      </c>
      <c r="K206" s="30">
        <v>24</v>
      </c>
      <c r="L206" s="31">
        <f t="shared" si="22"/>
        <v>15.674437249999999</v>
      </c>
      <c r="M206" s="32">
        <v>12.861180999999998</v>
      </c>
      <c r="N206" s="32">
        <v>10.175131</v>
      </c>
      <c r="O206" s="32">
        <v>18.753969999999999</v>
      </c>
      <c r="P206" s="33">
        <v>19.549836999999997</v>
      </c>
      <c r="Q206" s="31">
        <f t="shared" si="23"/>
        <v>2.6375725000000001</v>
      </c>
      <c r="R206" s="32">
        <v>1.77112</v>
      </c>
      <c r="S206" s="32">
        <v>3.0047680000000003</v>
      </c>
      <c r="T206" s="32">
        <v>2.6099069999999998</v>
      </c>
      <c r="U206" s="33">
        <v>3.1644949999999996</v>
      </c>
      <c r="V206" s="31">
        <f t="shared" si="24"/>
        <v>9.7142799999999987</v>
      </c>
      <c r="W206" s="32">
        <v>6.3721500000000004</v>
      </c>
      <c r="X206" s="32">
        <v>4.8304999999999998</v>
      </c>
      <c r="Y206" s="32">
        <v>13.29045</v>
      </c>
      <c r="Z206" s="33">
        <v>14.36402</v>
      </c>
      <c r="AA206" s="31">
        <f t="shared" si="25"/>
        <v>0.67881499999999995</v>
      </c>
      <c r="AB206" s="32">
        <v>0.55947900000000006</v>
      </c>
      <c r="AC206" s="33">
        <v>0.79815099999999994</v>
      </c>
      <c r="AD206" s="31">
        <f t="shared" si="26"/>
        <v>1.0892997499999999</v>
      </c>
      <c r="AE206" s="32">
        <v>0.55843200000000004</v>
      </c>
      <c r="AF206" s="32">
        <v>0.73546199999999995</v>
      </c>
      <c r="AG206" s="32">
        <v>1.3419829999999999</v>
      </c>
      <c r="AH206" s="33">
        <v>1.7213219999999998</v>
      </c>
      <c r="AI206" s="31">
        <f t="shared" si="27"/>
        <v>1.5544699999999989</v>
      </c>
      <c r="AJ206" s="32">
        <v>3.5999999999999979</v>
      </c>
      <c r="AK206" s="32">
        <v>0.80625000000000047</v>
      </c>
      <c r="AL206" s="32">
        <v>1.5116299999999994</v>
      </c>
      <c r="AM206" s="34">
        <v>0.29999999999999805</v>
      </c>
    </row>
    <row r="207" spans="1:39" x14ac:dyDescent="0.3">
      <c r="A207" s="24" t="s">
        <v>272</v>
      </c>
      <c r="B207" s="25" t="s">
        <v>11</v>
      </c>
      <c r="C207" s="25" t="s">
        <v>48</v>
      </c>
      <c r="D207" s="25" t="s">
        <v>30</v>
      </c>
      <c r="E207" s="26" t="s">
        <v>200</v>
      </c>
      <c r="F207" s="27">
        <v>4</v>
      </c>
      <c r="G207" s="28">
        <f t="shared" si="21"/>
        <v>0</v>
      </c>
      <c r="H207" s="29">
        <v>0</v>
      </c>
      <c r="I207" s="29">
        <v>0</v>
      </c>
      <c r="J207" s="29">
        <v>0</v>
      </c>
      <c r="K207" s="30">
        <v>0</v>
      </c>
      <c r="L207" s="31">
        <f t="shared" si="22"/>
        <v>0</v>
      </c>
      <c r="M207" s="32">
        <v>0</v>
      </c>
      <c r="N207" s="32">
        <v>0</v>
      </c>
      <c r="O207" s="32">
        <v>0</v>
      </c>
      <c r="P207" s="33">
        <v>0</v>
      </c>
      <c r="Q207" s="31">
        <f t="shared" si="23"/>
        <v>0</v>
      </c>
      <c r="R207" s="32">
        <v>0</v>
      </c>
      <c r="S207" s="32">
        <v>0</v>
      </c>
      <c r="T207" s="32">
        <v>0</v>
      </c>
      <c r="U207" s="33">
        <v>0</v>
      </c>
      <c r="V207" s="31">
        <f t="shared" si="24"/>
        <v>0</v>
      </c>
      <c r="W207" s="32">
        <v>0</v>
      </c>
      <c r="X207" s="32">
        <v>0</v>
      </c>
      <c r="Y207" s="32">
        <v>0</v>
      </c>
      <c r="Z207" s="33">
        <v>0</v>
      </c>
      <c r="AA207" s="31">
        <f t="shared" si="25"/>
        <v>0</v>
      </c>
      <c r="AB207" s="32">
        <v>0</v>
      </c>
      <c r="AC207" s="33">
        <v>0</v>
      </c>
      <c r="AD207" s="31">
        <f t="shared" si="26"/>
        <v>0</v>
      </c>
      <c r="AE207" s="32">
        <v>0</v>
      </c>
      <c r="AF207" s="32">
        <v>0</v>
      </c>
      <c r="AG207" s="32">
        <v>0</v>
      </c>
      <c r="AH207" s="33">
        <v>0</v>
      </c>
      <c r="AI207" s="31">
        <f t="shared" si="27"/>
        <v>0</v>
      </c>
      <c r="AJ207" s="32">
        <v>0</v>
      </c>
      <c r="AK207" s="32">
        <v>0</v>
      </c>
      <c r="AL207" s="32">
        <v>0</v>
      </c>
      <c r="AM207" s="34">
        <v>0</v>
      </c>
    </row>
    <row r="208" spans="1:39" x14ac:dyDescent="0.3">
      <c r="A208" s="24" t="s">
        <v>272</v>
      </c>
      <c r="B208" s="25" t="s">
        <v>269</v>
      </c>
      <c r="C208" s="25" t="s">
        <v>269</v>
      </c>
      <c r="D208" s="25" t="s">
        <v>22</v>
      </c>
      <c r="E208" s="26" t="s">
        <v>136</v>
      </c>
      <c r="F208" s="27">
        <v>8</v>
      </c>
      <c r="G208" s="28">
        <f t="shared" si="21"/>
        <v>4.25</v>
      </c>
      <c r="H208" s="29">
        <v>5</v>
      </c>
      <c r="I208" s="29">
        <v>6</v>
      </c>
      <c r="J208" s="29">
        <v>3</v>
      </c>
      <c r="K208" s="30">
        <v>3</v>
      </c>
      <c r="L208" s="31">
        <f t="shared" si="22"/>
        <v>1.783066</v>
      </c>
      <c r="M208" s="32">
        <v>1.775655</v>
      </c>
      <c r="N208" s="32">
        <v>3.4612829999999999</v>
      </c>
      <c r="O208" s="32">
        <v>0.80601199999999995</v>
      </c>
      <c r="P208" s="33">
        <v>0.44047999999999998</v>
      </c>
      <c r="Q208" s="31">
        <f t="shared" si="23"/>
        <v>1.2796385000000001</v>
      </c>
      <c r="R208" s="32">
        <v>1.2189049999999999</v>
      </c>
      <c r="S208" s="32">
        <v>2.965687</v>
      </c>
      <c r="T208" s="32">
        <v>0.60176200000000002</v>
      </c>
      <c r="U208" s="33">
        <v>0.3322</v>
      </c>
      <c r="V208" s="31">
        <f t="shared" si="24"/>
        <v>0</v>
      </c>
      <c r="W208" s="32">
        <v>0</v>
      </c>
      <c r="X208" s="32">
        <v>0</v>
      </c>
      <c r="Y208" s="32">
        <v>0</v>
      </c>
      <c r="Z208" s="33">
        <v>0</v>
      </c>
      <c r="AA208" s="31">
        <f t="shared" si="25"/>
        <v>0.32441700000000001</v>
      </c>
      <c r="AB208" s="32">
        <v>0.40932000000000002</v>
      </c>
      <c r="AC208" s="33">
        <v>0.239514</v>
      </c>
      <c r="AD208" s="31">
        <f t="shared" si="26"/>
        <v>0.17901050000000002</v>
      </c>
      <c r="AE208" s="32">
        <v>0.14743000000000001</v>
      </c>
      <c r="AF208" s="32">
        <v>0.25608200000000003</v>
      </c>
      <c r="AG208" s="32">
        <v>0.20424999999999999</v>
      </c>
      <c r="AH208" s="33">
        <v>0.10828</v>
      </c>
      <c r="AI208" s="31">
        <f t="shared" si="27"/>
        <v>0</v>
      </c>
      <c r="AJ208" s="32">
        <v>0</v>
      </c>
      <c r="AK208" s="32">
        <v>0</v>
      </c>
      <c r="AL208" s="32">
        <v>0</v>
      </c>
      <c r="AM208" s="34">
        <v>0</v>
      </c>
    </row>
    <row r="209" spans="1:39" x14ac:dyDescent="0.3">
      <c r="A209" s="24" t="s">
        <v>272</v>
      </c>
      <c r="B209" s="25" t="s">
        <v>269</v>
      </c>
      <c r="C209" s="25" t="s">
        <v>269</v>
      </c>
      <c r="D209" s="25" t="s">
        <v>22</v>
      </c>
      <c r="E209" s="26" t="s">
        <v>251</v>
      </c>
      <c r="F209" s="27">
        <v>5</v>
      </c>
      <c r="G209" s="28">
        <f t="shared" si="21"/>
        <v>0.25</v>
      </c>
      <c r="H209" s="29">
        <v>0</v>
      </c>
      <c r="I209" s="29">
        <v>0</v>
      </c>
      <c r="J209" s="29">
        <v>1</v>
      </c>
      <c r="K209" s="30">
        <v>0</v>
      </c>
      <c r="L209" s="31">
        <f t="shared" si="22"/>
        <v>8.4000000000000005E-2</v>
      </c>
      <c r="M209" s="32">
        <v>0</v>
      </c>
      <c r="N209" s="32">
        <v>0</v>
      </c>
      <c r="O209" s="32">
        <v>0.33600000000000002</v>
      </c>
      <c r="P209" s="33">
        <v>0</v>
      </c>
      <c r="Q209" s="31">
        <f t="shared" si="23"/>
        <v>8.4000000000000005E-2</v>
      </c>
      <c r="R209" s="32">
        <v>0</v>
      </c>
      <c r="S209" s="32">
        <v>0</v>
      </c>
      <c r="T209" s="32">
        <v>0.33600000000000002</v>
      </c>
      <c r="U209" s="33">
        <v>0</v>
      </c>
      <c r="V209" s="31">
        <f t="shared" si="24"/>
        <v>0</v>
      </c>
      <c r="W209" s="32">
        <v>0</v>
      </c>
      <c r="X209" s="32">
        <v>0</v>
      </c>
      <c r="Y209" s="32">
        <v>0</v>
      </c>
      <c r="Z209" s="33">
        <v>0</v>
      </c>
      <c r="AA209" s="31">
        <f t="shared" si="25"/>
        <v>0</v>
      </c>
      <c r="AB209" s="32">
        <v>0</v>
      </c>
      <c r="AC209" s="33">
        <v>0</v>
      </c>
      <c r="AD209" s="31">
        <f t="shared" si="26"/>
        <v>0</v>
      </c>
      <c r="AE209" s="32">
        <v>0</v>
      </c>
      <c r="AF209" s="32">
        <v>0</v>
      </c>
      <c r="AG209" s="32">
        <v>0</v>
      </c>
      <c r="AH209" s="33">
        <v>0</v>
      </c>
      <c r="AI209" s="31">
        <f t="shared" si="27"/>
        <v>0</v>
      </c>
      <c r="AJ209" s="32">
        <v>0</v>
      </c>
      <c r="AK209" s="32">
        <v>0</v>
      </c>
      <c r="AL209" s="32">
        <v>0</v>
      </c>
      <c r="AM209" s="34">
        <v>0</v>
      </c>
    </row>
    <row r="210" spans="1:39" x14ac:dyDescent="0.3">
      <c r="A210" s="24" t="s">
        <v>272</v>
      </c>
      <c r="B210" s="25" t="s">
        <v>269</v>
      </c>
      <c r="C210" s="25" t="s">
        <v>269</v>
      </c>
      <c r="D210" s="25" t="s">
        <v>22</v>
      </c>
      <c r="E210" s="26" t="s">
        <v>62</v>
      </c>
      <c r="F210" s="27">
        <v>140</v>
      </c>
      <c r="G210" s="28">
        <f t="shared" si="21"/>
        <v>93</v>
      </c>
      <c r="H210" s="29">
        <v>111</v>
      </c>
      <c r="I210" s="29">
        <v>103</v>
      </c>
      <c r="J210" s="29">
        <v>74</v>
      </c>
      <c r="K210" s="30">
        <v>84</v>
      </c>
      <c r="L210" s="31">
        <f t="shared" si="22"/>
        <v>60.540087</v>
      </c>
      <c r="M210" s="32">
        <v>64.136511999999996</v>
      </c>
      <c r="N210" s="32">
        <v>80.356263999999996</v>
      </c>
      <c r="O210" s="32">
        <v>41.39247799999999</v>
      </c>
      <c r="P210" s="33">
        <v>46.79862399999999</v>
      </c>
      <c r="Q210" s="31">
        <f t="shared" si="23"/>
        <v>27.557341000000001</v>
      </c>
      <c r="R210" s="32">
        <v>27.066127999999999</v>
      </c>
      <c r="S210" s="32">
        <v>29.162236</v>
      </c>
      <c r="T210" s="32">
        <v>30.229792</v>
      </c>
      <c r="U210" s="33">
        <v>23.771208000000001</v>
      </c>
      <c r="V210" s="31">
        <f t="shared" si="24"/>
        <v>25.16799</v>
      </c>
      <c r="W210" s="32">
        <v>28.930790000000002</v>
      </c>
      <c r="X210" s="32">
        <v>46.068390000000001</v>
      </c>
      <c r="Y210" s="32">
        <v>8.3647600000000004</v>
      </c>
      <c r="Z210" s="33">
        <v>17.308019999999999</v>
      </c>
      <c r="AA210" s="31">
        <f t="shared" si="25"/>
        <v>4.7382349999999995</v>
      </c>
      <c r="AB210" s="32">
        <v>6.4292519999999991</v>
      </c>
      <c r="AC210" s="33">
        <v>3.0472180000000004</v>
      </c>
      <c r="AD210" s="31">
        <f t="shared" si="26"/>
        <v>2.6862209999999997</v>
      </c>
      <c r="AE210" s="32">
        <v>0.96034200000000003</v>
      </c>
      <c r="AF210" s="32">
        <v>1.7784200000000001</v>
      </c>
      <c r="AG210" s="32">
        <v>2.2867259999999998</v>
      </c>
      <c r="AH210" s="33">
        <v>5.7193959999999988</v>
      </c>
      <c r="AI210" s="31">
        <f t="shared" si="27"/>
        <v>0.39029999999999515</v>
      </c>
      <c r="AJ210" s="32">
        <v>0.74999999999999623</v>
      </c>
      <c r="AK210" s="32">
        <v>0.29999999999999449</v>
      </c>
      <c r="AL210" s="32">
        <v>0.51119999999998988</v>
      </c>
      <c r="AM210" s="34">
        <v>0</v>
      </c>
    </row>
    <row r="211" spans="1:39" x14ac:dyDescent="0.3">
      <c r="A211" s="24" t="s">
        <v>272</v>
      </c>
      <c r="B211" s="25" t="s">
        <v>269</v>
      </c>
      <c r="C211" s="25" t="s">
        <v>269</v>
      </c>
      <c r="D211" s="25" t="s">
        <v>22</v>
      </c>
      <c r="E211" s="26" t="s">
        <v>158</v>
      </c>
      <c r="F211" s="27">
        <v>28</v>
      </c>
      <c r="G211" s="28">
        <f t="shared" si="21"/>
        <v>22.5</v>
      </c>
      <c r="H211" s="29">
        <v>24</v>
      </c>
      <c r="I211" s="29">
        <v>24</v>
      </c>
      <c r="J211" s="29">
        <v>24</v>
      </c>
      <c r="K211" s="30">
        <v>18</v>
      </c>
      <c r="L211" s="31">
        <f t="shared" si="22"/>
        <v>8.4997317500000005</v>
      </c>
      <c r="M211" s="32">
        <v>7.4406540000000003</v>
      </c>
      <c r="N211" s="32">
        <v>7.0465049999999998</v>
      </c>
      <c r="O211" s="32">
        <v>11.276415</v>
      </c>
      <c r="P211" s="33">
        <v>6.6463109999999999</v>
      </c>
      <c r="Q211" s="31">
        <f t="shared" si="23"/>
        <v>5.0574035000000004</v>
      </c>
      <c r="R211" s="32">
        <v>5.1027530000000008</v>
      </c>
      <c r="S211" s="32">
        <v>5.3202690000000006</v>
      </c>
      <c r="T211" s="32">
        <v>6.7645720000000003</v>
      </c>
      <c r="U211" s="33">
        <v>3.0420199999999999</v>
      </c>
      <c r="V211" s="31">
        <f t="shared" si="24"/>
        <v>0.76084700000000005</v>
      </c>
      <c r="W211" s="32">
        <v>0.17594000000000001</v>
      </c>
      <c r="X211" s="32">
        <v>0</v>
      </c>
      <c r="Y211" s="32">
        <v>1.8620479999999999</v>
      </c>
      <c r="Z211" s="33">
        <v>1.0054000000000001</v>
      </c>
      <c r="AA211" s="31">
        <f t="shared" si="25"/>
        <v>0.79452100000000003</v>
      </c>
      <c r="AB211" s="32">
        <v>0.99831400000000003</v>
      </c>
      <c r="AC211" s="33">
        <v>0.59072800000000003</v>
      </c>
      <c r="AD211" s="31">
        <f t="shared" si="26"/>
        <v>0.91196025000000014</v>
      </c>
      <c r="AE211" s="32">
        <v>1.1636470000000001</v>
      </c>
      <c r="AF211" s="32">
        <v>0.63550799999999996</v>
      </c>
      <c r="AG211" s="32">
        <v>0.54979500000000003</v>
      </c>
      <c r="AH211" s="33">
        <v>1.298891</v>
      </c>
      <c r="AI211" s="31">
        <f t="shared" si="27"/>
        <v>0.97499999999999987</v>
      </c>
      <c r="AJ211" s="32">
        <v>0</v>
      </c>
      <c r="AK211" s="32">
        <v>0.49999999999999933</v>
      </c>
      <c r="AL211" s="32">
        <v>2.1</v>
      </c>
      <c r="AM211" s="34">
        <v>1.3</v>
      </c>
    </row>
    <row r="212" spans="1:39" x14ac:dyDescent="0.3">
      <c r="A212" s="24" t="s">
        <v>272</v>
      </c>
      <c r="B212" s="25" t="s">
        <v>269</v>
      </c>
      <c r="C212" s="25" t="s">
        <v>269</v>
      </c>
      <c r="D212" s="25" t="s">
        <v>22</v>
      </c>
      <c r="E212" s="26" t="s">
        <v>80</v>
      </c>
      <c r="F212" s="27">
        <v>57</v>
      </c>
      <c r="G212" s="28">
        <f t="shared" si="21"/>
        <v>35</v>
      </c>
      <c r="H212" s="29">
        <v>39</v>
      </c>
      <c r="I212" s="29">
        <v>58</v>
      </c>
      <c r="J212" s="29">
        <v>22</v>
      </c>
      <c r="K212" s="30">
        <v>21</v>
      </c>
      <c r="L212" s="31">
        <f t="shared" si="22"/>
        <v>25.120871000000001</v>
      </c>
      <c r="M212" s="32">
        <v>18.102485999999995</v>
      </c>
      <c r="N212" s="32">
        <v>48.547494</v>
      </c>
      <c r="O212" s="32">
        <v>10.738078</v>
      </c>
      <c r="P212" s="33">
        <v>17.911653999999999</v>
      </c>
      <c r="Q212" s="31">
        <f t="shared" si="23"/>
        <v>6.2952689999999993</v>
      </c>
      <c r="R212" s="32">
        <v>10.650842000000001</v>
      </c>
      <c r="S212" s="32">
        <v>7.7934209999999995</v>
      </c>
      <c r="T212" s="32">
        <v>4.5389659999999994</v>
      </c>
      <c r="U212" s="33">
        <v>2.1978469999999999</v>
      </c>
      <c r="V212" s="31">
        <f t="shared" si="24"/>
        <v>14.938585</v>
      </c>
      <c r="W212" s="32">
        <v>4.3310499999999994</v>
      </c>
      <c r="X212" s="32">
        <v>37.158660000000005</v>
      </c>
      <c r="Y212" s="32">
        <v>4.9344800000000006</v>
      </c>
      <c r="Z212" s="33">
        <v>13.33015</v>
      </c>
      <c r="AA212" s="31">
        <f t="shared" si="25"/>
        <v>2.5918860000000001</v>
      </c>
      <c r="AB212" s="32">
        <v>2.988003</v>
      </c>
      <c r="AC212" s="33">
        <v>2.1957690000000003</v>
      </c>
      <c r="AD212" s="31">
        <f t="shared" si="26"/>
        <v>1.295131</v>
      </c>
      <c r="AE212" s="32">
        <v>0.13259100000000001</v>
      </c>
      <c r="AF212" s="32">
        <v>1.3996440000000001</v>
      </c>
      <c r="AG212" s="32">
        <v>1.2646320000000002</v>
      </c>
      <c r="AH212" s="33">
        <v>2.3836569999999999</v>
      </c>
      <c r="AI212" s="31">
        <f t="shared" si="27"/>
        <v>0</v>
      </c>
      <c r="AJ212" s="32">
        <v>0</v>
      </c>
      <c r="AK212" s="32">
        <v>0</v>
      </c>
      <c r="AL212" s="32">
        <v>0</v>
      </c>
      <c r="AM212" s="34">
        <v>0</v>
      </c>
    </row>
    <row r="213" spans="1:39" x14ac:dyDescent="0.3">
      <c r="A213" s="24" t="s">
        <v>272</v>
      </c>
      <c r="B213" s="25" t="s">
        <v>269</v>
      </c>
      <c r="C213" s="25" t="s">
        <v>269</v>
      </c>
      <c r="D213" s="25" t="s">
        <v>26</v>
      </c>
      <c r="E213" s="26" t="s">
        <v>250</v>
      </c>
      <c r="F213" s="27">
        <v>1</v>
      </c>
      <c r="G213" s="28">
        <f t="shared" si="21"/>
        <v>0</v>
      </c>
      <c r="H213" s="29">
        <v>0</v>
      </c>
      <c r="I213" s="29">
        <v>0</v>
      </c>
      <c r="J213" s="29">
        <v>0</v>
      </c>
      <c r="K213" s="30">
        <v>0</v>
      </c>
      <c r="L213" s="31">
        <f t="shared" si="22"/>
        <v>0</v>
      </c>
      <c r="M213" s="32">
        <v>0</v>
      </c>
      <c r="N213" s="32">
        <v>0</v>
      </c>
      <c r="O213" s="32">
        <v>0</v>
      </c>
      <c r="P213" s="33">
        <v>0</v>
      </c>
      <c r="Q213" s="31">
        <f t="shared" si="23"/>
        <v>0</v>
      </c>
      <c r="R213" s="32">
        <v>0</v>
      </c>
      <c r="S213" s="32">
        <v>0</v>
      </c>
      <c r="T213" s="32">
        <v>0</v>
      </c>
      <c r="U213" s="33">
        <v>0</v>
      </c>
      <c r="V213" s="31">
        <f t="shared" si="24"/>
        <v>0</v>
      </c>
      <c r="W213" s="32">
        <v>0</v>
      </c>
      <c r="X213" s="32">
        <v>0</v>
      </c>
      <c r="Y213" s="32">
        <v>0</v>
      </c>
      <c r="Z213" s="33">
        <v>0</v>
      </c>
      <c r="AA213" s="31">
        <f t="shared" si="25"/>
        <v>0</v>
      </c>
      <c r="AB213" s="32">
        <v>0</v>
      </c>
      <c r="AC213" s="33">
        <v>0</v>
      </c>
      <c r="AD213" s="31">
        <f t="shared" si="26"/>
        <v>0</v>
      </c>
      <c r="AE213" s="32">
        <v>0</v>
      </c>
      <c r="AF213" s="32">
        <v>0</v>
      </c>
      <c r="AG213" s="32">
        <v>0</v>
      </c>
      <c r="AH213" s="33">
        <v>0</v>
      </c>
      <c r="AI213" s="31">
        <f t="shared" si="27"/>
        <v>0</v>
      </c>
      <c r="AJ213" s="32">
        <v>0</v>
      </c>
      <c r="AK213" s="32">
        <v>0</v>
      </c>
      <c r="AL213" s="32">
        <v>0</v>
      </c>
      <c r="AM213" s="34">
        <v>0</v>
      </c>
    </row>
    <row r="214" spans="1:39" x14ac:dyDescent="0.3">
      <c r="A214" s="24" t="s">
        <v>272</v>
      </c>
      <c r="B214" s="25" t="s">
        <v>269</v>
      </c>
      <c r="C214" s="25" t="s">
        <v>269</v>
      </c>
      <c r="D214" s="25" t="s">
        <v>26</v>
      </c>
      <c r="E214" s="26" t="s">
        <v>210</v>
      </c>
      <c r="F214" s="27">
        <v>7</v>
      </c>
      <c r="G214" s="28">
        <f t="shared" si="21"/>
        <v>12.75</v>
      </c>
      <c r="H214" s="29">
        <v>22</v>
      </c>
      <c r="I214" s="29">
        <v>11</v>
      </c>
      <c r="J214" s="29">
        <v>8</v>
      </c>
      <c r="K214" s="30">
        <v>10</v>
      </c>
      <c r="L214" s="31">
        <f t="shared" si="22"/>
        <v>18.095905999999999</v>
      </c>
      <c r="M214" s="32">
        <v>37.238709999999998</v>
      </c>
      <c r="N214" s="32">
        <v>16.548264</v>
      </c>
      <c r="O214" s="32">
        <v>10.020600999999999</v>
      </c>
      <c r="P214" s="33">
        <v>8.5760490000000011</v>
      </c>
      <c r="Q214" s="31">
        <f t="shared" si="23"/>
        <v>0.40072025</v>
      </c>
      <c r="R214" s="32">
        <v>0</v>
      </c>
      <c r="S214" s="32">
        <v>0</v>
      </c>
      <c r="T214" s="32">
        <v>0</v>
      </c>
      <c r="U214" s="33">
        <v>1.602881</v>
      </c>
      <c r="V214" s="31">
        <f t="shared" si="24"/>
        <v>17.519674999999999</v>
      </c>
      <c r="W214" s="32">
        <v>37.238709999999998</v>
      </c>
      <c r="X214" s="32">
        <v>16.46303</v>
      </c>
      <c r="Y214" s="32">
        <v>9.6096800000000009</v>
      </c>
      <c r="Z214" s="33">
        <v>6.7672800000000004</v>
      </c>
      <c r="AA214" s="31">
        <f t="shared" si="25"/>
        <v>0</v>
      </c>
      <c r="AB214" s="32">
        <v>0</v>
      </c>
      <c r="AC214" s="33">
        <v>0</v>
      </c>
      <c r="AD214" s="31">
        <f t="shared" si="26"/>
        <v>0.17551074999999999</v>
      </c>
      <c r="AE214" s="32">
        <v>0</v>
      </c>
      <c r="AF214" s="32">
        <v>8.5234000000000004E-2</v>
      </c>
      <c r="AG214" s="32">
        <v>0.41092099999999998</v>
      </c>
      <c r="AH214" s="33">
        <v>0.20588800000000002</v>
      </c>
      <c r="AI214" s="31">
        <f t="shared" si="27"/>
        <v>1.8041124150158794E-16</v>
      </c>
      <c r="AJ214" s="32">
        <v>0</v>
      </c>
      <c r="AK214" s="32">
        <v>0</v>
      </c>
      <c r="AL214" s="32">
        <v>0</v>
      </c>
      <c r="AM214" s="34">
        <v>7.2164496600635175E-16</v>
      </c>
    </row>
    <row r="215" spans="1:39" x14ac:dyDescent="0.3">
      <c r="A215" s="24" t="s">
        <v>272</v>
      </c>
      <c r="B215" s="25" t="s">
        <v>269</v>
      </c>
      <c r="C215" s="25" t="s">
        <v>269</v>
      </c>
      <c r="D215" s="25" t="s">
        <v>26</v>
      </c>
      <c r="E215" s="26" t="s">
        <v>178</v>
      </c>
      <c r="F215" s="27">
        <v>2</v>
      </c>
      <c r="G215" s="28">
        <f t="shared" si="21"/>
        <v>0</v>
      </c>
      <c r="H215" s="29">
        <v>0</v>
      </c>
      <c r="I215" s="29">
        <v>0</v>
      </c>
      <c r="J215" s="29">
        <v>0</v>
      </c>
      <c r="K215" s="30">
        <v>0</v>
      </c>
      <c r="L215" s="31">
        <f t="shared" si="22"/>
        <v>0</v>
      </c>
      <c r="M215" s="32">
        <v>0</v>
      </c>
      <c r="N215" s="32">
        <v>0</v>
      </c>
      <c r="O215" s="32">
        <v>0</v>
      </c>
      <c r="P215" s="33">
        <v>0</v>
      </c>
      <c r="Q215" s="31">
        <f t="shared" si="23"/>
        <v>0</v>
      </c>
      <c r="R215" s="32">
        <v>0</v>
      </c>
      <c r="S215" s="32">
        <v>0</v>
      </c>
      <c r="T215" s="32">
        <v>0</v>
      </c>
      <c r="U215" s="33">
        <v>0</v>
      </c>
      <c r="V215" s="31">
        <f t="shared" si="24"/>
        <v>0</v>
      </c>
      <c r="W215" s="32">
        <v>0</v>
      </c>
      <c r="X215" s="32">
        <v>0</v>
      </c>
      <c r="Y215" s="32">
        <v>0</v>
      </c>
      <c r="Z215" s="33">
        <v>0</v>
      </c>
      <c r="AA215" s="31">
        <f t="shared" si="25"/>
        <v>0</v>
      </c>
      <c r="AB215" s="32">
        <v>0</v>
      </c>
      <c r="AC215" s="33">
        <v>0</v>
      </c>
      <c r="AD215" s="31">
        <f t="shared" si="26"/>
        <v>0</v>
      </c>
      <c r="AE215" s="32">
        <v>0</v>
      </c>
      <c r="AF215" s="32">
        <v>0</v>
      </c>
      <c r="AG215" s="32">
        <v>0</v>
      </c>
      <c r="AH215" s="33">
        <v>0</v>
      </c>
      <c r="AI215" s="31">
        <f t="shared" si="27"/>
        <v>0</v>
      </c>
      <c r="AJ215" s="32">
        <v>0</v>
      </c>
      <c r="AK215" s="32">
        <v>0</v>
      </c>
      <c r="AL215" s="32">
        <v>0</v>
      </c>
      <c r="AM215" s="34">
        <v>0</v>
      </c>
    </row>
    <row r="216" spans="1:39" x14ac:dyDescent="0.3">
      <c r="A216" s="24" t="s">
        <v>272</v>
      </c>
      <c r="B216" s="25" t="s">
        <v>269</v>
      </c>
      <c r="C216" s="25" t="s">
        <v>269</v>
      </c>
      <c r="D216" s="25" t="s">
        <v>26</v>
      </c>
      <c r="E216" s="26" t="s">
        <v>114</v>
      </c>
      <c r="F216" s="27">
        <v>19</v>
      </c>
      <c r="G216" s="28">
        <f t="shared" si="21"/>
        <v>1.75</v>
      </c>
      <c r="H216" s="29">
        <v>2</v>
      </c>
      <c r="I216" s="29">
        <v>0</v>
      </c>
      <c r="J216" s="29">
        <v>2</v>
      </c>
      <c r="K216" s="30">
        <v>3</v>
      </c>
      <c r="L216" s="31">
        <f t="shared" si="22"/>
        <v>0.56463825000000001</v>
      </c>
      <c r="M216" s="32">
        <v>0.40079500000000001</v>
      </c>
      <c r="N216" s="32">
        <v>0</v>
      </c>
      <c r="O216" s="32">
        <v>0.48593700000000001</v>
      </c>
      <c r="P216" s="33">
        <v>1.247026</v>
      </c>
      <c r="Q216" s="31">
        <f t="shared" si="23"/>
        <v>0.15720000000000001</v>
      </c>
      <c r="R216" s="32">
        <v>0.27600000000000002</v>
      </c>
      <c r="S216" s="32">
        <v>0</v>
      </c>
      <c r="T216" s="32">
        <v>0.3528</v>
      </c>
      <c r="U216" s="33">
        <v>0</v>
      </c>
      <c r="V216" s="31">
        <f t="shared" si="24"/>
        <v>0.251475</v>
      </c>
      <c r="W216" s="32">
        <v>0</v>
      </c>
      <c r="X216" s="32">
        <v>0</v>
      </c>
      <c r="Y216" s="32">
        <v>0</v>
      </c>
      <c r="Z216" s="33">
        <v>1.0059</v>
      </c>
      <c r="AA216" s="31">
        <f t="shared" si="25"/>
        <v>6.2397500000000002E-2</v>
      </c>
      <c r="AB216" s="32">
        <v>0.124795</v>
      </c>
      <c r="AC216" s="33">
        <v>0</v>
      </c>
      <c r="AD216" s="31">
        <f t="shared" si="26"/>
        <v>9.3565750000000003E-2</v>
      </c>
      <c r="AE216" s="32">
        <v>0</v>
      </c>
      <c r="AF216" s="32">
        <v>0</v>
      </c>
      <c r="AG216" s="32">
        <v>0.13313700000000001</v>
      </c>
      <c r="AH216" s="33">
        <v>0.24112600000000001</v>
      </c>
      <c r="AI216" s="31">
        <f t="shared" si="27"/>
        <v>0</v>
      </c>
      <c r="AJ216" s="32">
        <v>0</v>
      </c>
      <c r="AK216" s="32">
        <v>0</v>
      </c>
      <c r="AL216" s="32">
        <v>0</v>
      </c>
      <c r="AM216" s="34">
        <v>0</v>
      </c>
    </row>
    <row r="217" spans="1:39" x14ac:dyDescent="0.3">
      <c r="A217" s="24" t="s">
        <v>272</v>
      </c>
      <c r="B217" s="25" t="s">
        <v>269</v>
      </c>
      <c r="C217" s="25" t="s">
        <v>269</v>
      </c>
      <c r="D217" s="25" t="s">
        <v>26</v>
      </c>
      <c r="E217" s="26" t="s">
        <v>216</v>
      </c>
      <c r="F217" s="27">
        <v>4</v>
      </c>
      <c r="G217" s="28">
        <f t="shared" si="21"/>
        <v>2.5</v>
      </c>
      <c r="H217" s="29">
        <v>2</v>
      </c>
      <c r="I217" s="29">
        <v>1</v>
      </c>
      <c r="J217" s="29">
        <v>4</v>
      </c>
      <c r="K217" s="30">
        <v>3</v>
      </c>
      <c r="L217" s="31">
        <f t="shared" si="22"/>
        <v>1.67209725</v>
      </c>
      <c r="M217" s="32">
        <v>1.55867</v>
      </c>
      <c r="N217" s="32">
        <v>8.9550000000000005E-2</v>
      </c>
      <c r="O217" s="32">
        <v>3.0857209999999999</v>
      </c>
      <c r="P217" s="33">
        <v>1.8081799999999999</v>
      </c>
      <c r="Q217" s="31">
        <f t="shared" si="23"/>
        <v>1.00141825</v>
      </c>
      <c r="R217" s="32">
        <v>1.501952</v>
      </c>
      <c r="S217" s="32">
        <v>0</v>
      </c>
      <c r="T217" s="32">
        <v>2.5037210000000001</v>
      </c>
      <c r="U217" s="33">
        <v>0</v>
      </c>
      <c r="V217" s="31">
        <f t="shared" si="24"/>
        <v>0.59754499999999999</v>
      </c>
      <c r="W217" s="32">
        <v>0</v>
      </c>
      <c r="X217" s="32">
        <v>0</v>
      </c>
      <c r="Y217" s="32">
        <v>0.58199999999999996</v>
      </c>
      <c r="Z217" s="33">
        <v>1.8081799999999999</v>
      </c>
      <c r="AA217" s="31">
        <f t="shared" si="25"/>
        <v>7.3134000000000005E-2</v>
      </c>
      <c r="AB217" s="32">
        <v>5.6717999999999998E-2</v>
      </c>
      <c r="AC217" s="33">
        <v>8.9550000000000005E-2</v>
      </c>
      <c r="AD217" s="31">
        <f t="shared" si="26"/>
        <v>0</v>
      </c>
      <c r="AE217" s="32">
        <v>0</v>
      </c>
      <c r="AF217" s="32">
        <v>0</v>
      </c>
      <c r="AG217" s="32">
        <v>0</v>
      </c>
      <c r="AH217" s="33">
        <v>0</v>
      </c>
      <c r="AI217" s="31">
        <f t="shared" si="27"/>
        <v>1.214306433183765E-17</v>
      </c>
      <c r="AJ217" s="32">
        <v>4.8572257327350599E-17</v>
      </c>
      <c r="AK217" s="32">
        <v>0</v>
      </c>
      <c r="AL217" s="32">
        <v>0</v>
      </c>
      <c r="AM217" s="34">
        <v>0</v>
      </c>
    </row>
    <row r="218" spans="1:39" x14ac:dyDescent="0.3">
      <c r="A218" s="24" t="s">
        <v>272</v>
      </c>
      <c r="B218" s="25" t="s">
        <v>269</v>
      </c>
      <c r="C218" s="25" t="s">
        <v>269</v>
      </c>
      <c r="D218" s="25" t="s">
        <v>26</v>
      </c>
      <c r="E218" s="26" t="s">
        <v>134</v>
      </c>
      <c r="F218" s="27">
        <v>14</v>
      </c>
      <c r="G218" s="28">
        <f t="shared" si="21"/>
        <v>2</v>
      </c>
      <c r="H218" s="29">
        <v>2</v>
      </c>
      <c r="I218" s="29">
        <v>1</v>
      </c>
      <c r="J218" s="29">
        <v>3</v>
      </c>
      <c r="K218" s="30">
        <v>2</v>
      </c>
      <c r="L218" s="31">
        <f t="shared" si="22"/>
        <v>2.17985425</v>
      </c>
      <c r="M218" s="32">
        <v>2.001153</v>
      </c>
      <c r="N218" s="32">
        <v>3.2300000000000002E-2</v>
      </c>
      <c r="O218" s="32">
        <v>2.5758179999999999</v>
      </c>
      <c r="P218" s="33">
        <v>4.1101460000000003</v>
      </c>
      <c r="Q218" s="31">
        <f t="shared" si="23"/>
        <v>1.04827425</v>
      </c>
      <c r="R218" s="32">
        <v>2.001153</v>
      </c>
      <c r="S218" s="32">
        <v>0</v>
      </c>
      <c r="T218" s="32">
        <v>1.1012580000000001</v>
      </c>
      <c r="U218" s="33">
        <v>1.090686</v>
      </c>
      <c r="V218" s="31">
        <f t="shared" si="24"/>
        <v>1.123505</v>
      </c>
      <c r="W218" s="32">
        <v>0</v>
      </c>
      <c r="X218" s="32">
        <v>0</v>
      </c>
      <c r="Y218" s="32">
        <v>1.4745600000000001</v>
      </c>
      <c r="Z218" s="33">
        <v>3.01946</v>
      </c>
      <c r="AA218" s="31">
        <f t="shared" si="25"/>
        <v>0</v>
      </c>
      <c r="AB218" s="32">
        <v>0</v>
      </c>
      <c r="AC218" s="33">
        <v>0</v>
      </c>
      <c r="AD218" s="31">
        <f t="shared" si="26"/>
        <v>8.0750000000000006E-3</v>
      </c>
      <c r="AE218" s="32">
        <v>0</v>
      </c>
      <c r="AF218" s="32">
        <v>3.2300000000000002E-2</v>
      </c>
      <c r="AG218" s="32">
        <v>0</v>
      </c>
      <c r="AH218" s="33">
        <v>0</v>
      </c>
      <c r="AI218" s="31">
        <f t="shared" si="27"/>
        <v>1.1102230246251565E-16</v>
      </c>
      <c r="AJ218" s="32">
        <v>0</v>
      </c>
      <c r="AK218" s="32">
        <v>0</v>
      </c>
      <c r="AL218" s="32">
        <v>0</v>
      </c>
      <c r="AM218" s="34">
        <v>4.4408920985006262E-16</v>
      </c>
    </row>
    <row r="219" spans="1:39" x14ac:dyDescent="0.3">
      <c r="A219" s="24" t="s">
        <v>272</v>
      </c>
      <c r="B219" s="25" t="s">
        <v>269</v>
      </c>
      <c r="C219" s="25" t="s">
        <v>269</v>
      </c>
      <c r="D219" s="25" t="s">
        <v>26</v>
      </c>
      <c r="E219" s="26" t="s">
        <v>196</v>
      </c>
      <c r="F219" s="27">
        <v>5</v>
      </c>
      <c r="G219" s="28">
        <f t="shared" si="21"/>
        <v>0.75</v>
      </c>
      <c r="H219" s="29">
        <v>0</v>
      </c>
      <c r="I219" s="29">
        <v>2</v>
      </c>
      <c r="J219" s="29">
        <v>1</v>
      </c>
      <c r="K219" s="30">
        <v>0</v>
      </c>
      <c r="L219" s="31">
        <f t="shared" si="22"/>
        <v>0.59386499999999998</v>
      </c>
      <c r="M219" s="32">
        <v>0</v>
      </c>
      <c r="N219" s="32">
        <v>2.3348</v>
      </c>
      <c r="O219" s="32">
        <v>4.0660000000000002E-2</v>
      </c>
      <c r="P219" s="33">
        <v>0</v>
      </c>
      <c r="Q219" s="31">
        <f t="shared" si="23"/>
        <v>0</v>
      </c>
      <c r="R219" s="32">
        <v>0</v>
      </c>
      <c r="S219" s="32">
        <v>0</v>
      </c>
      <c r="T219" s="32">
        <v>0</v>
      </c>
      <c r="U219" s="33">
        <v>0</v>
      </c>
      <c r="V219" s="31">
        <f t="shared" si="24"/>
        <v>0.5837</v>
      </c>
      <c r="W219" s="32">
        <v>0</v>
      </c>
      <c r="X219" s="32">
        <v>2.3348</v>
      </c>
      <c r="Y219" s="32">
        <v>0</v>
      </c>
      <c r="Z219" s="33">
        <v>0</v>
      </c>
      <c r="AA219" s="31">
        <f t="shared" si="25"/>
        <v>0</v>
      </c>
      <c r="AB219" s="32">
        <v>0</v>
      </c>
      <c r="AC219" s="33">
        <v>0</v>
      </c>
      <c r="AD219" s="31">
        <f t="shared" si="26"/>
        <v>1.0165E-2</v>
      </c>
      <c r="AE219" s="32">
        <v>0</v>
      </c>
      <c r="AF219" s="32">
        <v>0</v>
      </c>
      <c r="AG219" s="32">
        <v>4.0660000000000002E-2</v>
      </c>
      <c r="AH219" s="33">
        <v>0</v>
      </c>
      <c r="AI219" s="31">
        <f t="shared" si="27"/>
        <v>0</v>
      </c>
      <c r="AJ219" s="32">
        <v>0</v>
      </c>
      <c r="AK219" s="32">
        <v>0</v>
      </c>
      <c r="AL219" s="32">
        <v>0</v>
      </c>
      <c r="AM219" s="34">
        <v>0</v>
      </c>
    </row>
    <row r="220" spans="1:39" x14ac:dyDescent="0.3">
      <c r="A220" s="24" t="s">
        <v>272</v>
      </c>
      <c r="B220" s="25" t="s">
        <v>269</v>
      </c>
      <c r="C220" s="25" t="s">
        <v>269</v>
      </c>
      <c r="D220" s="25" t="s">
        <v>26</v>
      </c>
      <c r="E220" s="26" t="s">
        <v>103</v>
      </c>
      <c r="F220" s="27">
        <v>27</v>
      </c>
      <c r="G220" s="28">
        <f t="shared" si="21"/>
        <v>8.75</v>
      </c>
      <c r="H220" s="29">
        <v>9</v>
      </c>
      <c r="I220" s="29">
        <v>10</v>
      </c>
      <c r="J220" s="29">
        <v>7</v>
      </c>
      <c r="K220" s="30">
        <v>9</v>
      </c>
      <c r="L220" s="31">
        <f t="shared" si="22"/>
        <v>3.4977119999999995</v>
      </c>
      <c r="M220" s="32">
        <v>2.8818290000000002</v>
      </c>
      <c r="N220" s="32">
        <v>4.3707709999999995</v>
      </c>
      <c r="O220" s="32">
        <v>3.0158179999999999</v>
      </c>
      <c r="P220" s="33">
        <v>2.795493</v>
      </c>
      <c r="Q220" s="31">
        <f t="shared" si="23"/>
        <v>1.6574759999999999</v>
      </c>
      <c r="R220" s="32">
        <v>0.30032999999999999</v>
      </c>
      <c r="S220" s="32">
        <v>1.5049699999999999</v>
      </c>
      <c r="T220" s="32">
        <v>2.6796949999999997</v>
      </c>
      <c r="U220" s="33">
        <v>2.1449090000000002</v>
      </c>
      <c r="V220" s="31">
        <f t="shared" si="24"/>
        <v>1.0428674999999998</v>
      </c>
      <c r="W220" s="32">
        <v>1.76749</v>
      </c>
      <c r="X220" s="32">
        <v>2.4039799999999998</v>
      </c>
      <c r="Y220" s="32">
        <v>0</v>
      </c>
      <c r="Z220" s="33">
        <v>0</v>
      </c>
      <c r="AA220" s="31">
        <f t="shared" si="25"/>
        <v>0.46346850000000001</v>
      </c>
      <c r="AB220" s="32">
        <v>0.66174500000000003</v>
      </c>
      <c r="AC220" s="33">
        <v>0.26519199999999998</v>
      </c>
      <c r="AD220" s="31">
        <f t="shared" si="26"/>
        <v>0.33389999999999997</v>
      </c>
      <c r="AE220" s="32">
        <v>0.15226400000000001</v>
      </c>
      <c r="AF220" s="32">
        <v>0.196629</v>
      </c>
      <c r="AG220" s="32">
        <v>0.33612300000000001</v>
      </c>
      <c r="AH220" s="33">
        <v>0.65058399999999994</v>
      </c>
      <c r="AI220" s="31">
        <f t="shared" si="27"/>
        <v>0</v>
      </c>
      <c r="AJ220" s="32">
        <v>0</v>
      </c>
      <c r="AK220" s="32">
        <v>0</v>
      </c>
      <c r="AL220" s="32">
        <v>0</v>
      </c>
      <c r="AM220" s="34">
        <v>0</v>
      </c>
    </row>
    <row r="221" spans="1:39" x14ac:dyDescent="0.3">
      <c r="A221" s="24" t="s">
        <v>272</v>
      </c>
      <c r="B221" s="25" t="s">
        <v>269</v>
      </c>
      <c r="C221" s="25" t="s">
        <v>269</v>
      </c>
      <c r="D221" s="25" t="s">
        <v>26</v>
      </c>
      <c r="E221" s="26" t="s">
        <v>187</v>
      </c>
      <c r="F221" s="27">
        <v>2</v>
      </c>
      <c r="G221" s="28">
        <f t="shared" si="21"/>
        <v>0</v>
      </c>
      <c r="H221" s="29">
        <v>0</v>
      </c>
      <c r="I221" s="29">
        <v>0</v>
      </c>
      <c r="J221" s="29">
        <v>0</v>
      </c>
      <c r="K221" s="30">
        <v>0</v>
      </c>
      <c r="L221" s="31">
        <f t="shared" si="22"/>
        <v>0</v>
      </c>
      <c r="M221" s="32">
        <v>0</v>
      </c>
      <c r="N221" s="32">
        <v>0</v>
      </c>
      <c r="O221" s="32">
        <v>0</v>
      </c>
      <c r="P221" s="33">
        <v>0</v>
      </c>
      <c r="Q221" s="31">
        <f t="shared" si="23"/>
        <v>0</v>
      </c>
      <c r="R221" s="32">
        <v>0</v>
      </c>
      <c r="S221" s="32">
        <v>0</v>
      </c>
      <c r="T221" s="32">
        <v>0</v>
      </c>
      <c r="U221" s="33">
        <v>0</v>
      </c>
      <c r="V221" s="31">
        <f t="shared" si="24"/>
        <v>0</v>
      </c>
      <c r="W221" s="32">
        <v>0</v>
      </c>
      <c r="X221" s="32">
        <v>0</v>
      </c>
      <c r="Y221" s="32">
        <v>0</v>
      </c>
      <c r="Z221" s="33">
        <v>0</v>
      </c>
      <c r="AA221" s="31">
        <f t="shared" si="25"/>
        <v>0</v>
      </c>
      <c r="AB221" s="32">
        <v>0</v>
      </c>
      <c r="AC221" s="33">
        <v>0</v>
      </c>
      <c r="AD221" s="31">
        <f t="shared" si="26"/>
        <v>0</v>
      </c>
      <c r="AE221" s="32">
        <v>0</v>
      </c>
      <c r="AF221" s="32">
        <v>0</v>
      </c>
      <c r="AG221" s="32">
        <v>0</v>
      </c>
      <c r="AH221" s="33">
        <v>0</v>
      </c>
      <c r="AI221" s="31">
        <f t="shared" si="27"/>
        <v>0</v>
      </c>
      <c r="AJ221" s="32">
        <v>0</v>
      </c>
      <c r="AK221" s="32">
        <v>0</v>
      </c>
      <c r="AL221" s="32">
        <v>0</v>
      </c>
      <c r="AM221" s="34">
        <v>0</v>
      </c>
    </row>
    <row r="222" spans="1:39" x14ac:dyDescent="0.3">
      <c r="A222" s="24" t="s">
        <v>272</v>
      </c>
      <c r="B222" s="25" t="s">
        <v>269</v>
      </c>
      <c r="C222" s="25" t="s">
        <v>269</v>
      </c>
      <c r="D222" s="25" t="s">
        <v>26</v>
      </c>
      <c r="E222" s="26" t="s">
        <v>202</v>
      </c>
      <c r="F222" s="27">
        <v>26</v>
      </c>
      <c r="G222" s="28">
        <f t="shared" si="21"/>
        <v>9.75</v>
      </c>
      <c r="H222" s="29">
        <v>10</v>
      </c>
      <c r="I222" s="29">
        <v>9</v>
      </c>
      <c r="J222" s="29">
        <v>5</v>
      </c>
      <c r="K222" s="30">
        <v>15</v>
      </c>
      <c r="L222" s="31">
        <f t="shared" si="22"/>
        <v>3.9538549999999995</v>
      </c>
      <c r="M222" s="32">
        <v>2.7983009999999995</v>
      </c>
      <c r="N222" s="32">
        <v>3.9247179999999995</v>
      </c>
      <c r="O222" s="32">
        <v>3.4592649999999998</v>
      </c>
      <c r="P222" s="33">
        <v>4.7378170000000006</v>
      </c>
      <c r="Q222" s="31">
        <f t="shared" si="23"/>
        <v>2.1642605000000001</v>
      </c>
      <c r="R222" s="32">
        <v>2.1375000000000002</v>
      </c>
      <c r="S222" s="32">
        <v>2.2151890000000001</v>
      </c>
      <c r="T222" s="32">
        <v>2.6016870000000001</v>
      </c>
      <c r="U222" s="33">
        <v>1.702666</v>
      </c>
      <c r="V222" s="31">
        <f t="shared" si="24"/>
        <v>1.0110299999999999</v>
      </c>
      <c r="W222" s="32">
        <v>0</v>
      </c>
      <c r="X222" s="32">
        <v>1.00912</v>
      </c>
      <c r="Y222" s="32">
        <v>0.70852999999999999</v>
      </c>
      <c r="Z222" s="33">
        <v>2.32647</v>
      </c>
      <c r="AA222" s="31">
        <f t="shared" si="25"/>
        <v>0.44765949999999999</v>
      </c>
      <c r="AB222" s="32">
        <v>0.66080099999999997</v>
      </c>
      <c r="AC222" s="33">
        <v>0.23451799999999998</v>
      </c>
      <c r="AD222" s="31">
        <f t="shared" si="26"/>
        <v>0.25590499999999999</v>
      </c>
      <c r="AE222" s="32">
        <v>0</v>
      </c>
      <c r="AF222" s="32">
        <v>0.16589100000000001</v>
      </c>
      <c r="AG222" s="32">
        <v>0.14904800000000001</v>
      </c>
      <c r="AH222" s="33">
        <v>0.70868100000000001</v>
      </c>
      <c r="AI222" s="31">
        <f t="shared" si="27"/>
        <v>7.4999999999999845E-2</v>
      </c>
      <c r="AJ222" s="32">
        <v>0</v>
      </c>
      <c r="AK222" s="32">
        <v>0.29999999999999938</v>
      </c>
      <c r="AL222" s="32">
        <v>0</v>
      </c>
      <c r="AM222" s="34">
        <v>0</v>
      </c>
    </row>
    <row r="223" spans="1:39" x14ac:dyDescent="0.3">
      <c r="A223" s="24" t="s">
        <v>272</v>
      </c>
      <c r="B223" s="25" t="s">
        <v>269</v>
      </c>
      <c r="C223" s="25" t="s">
        <v>269</v>
      </c>
      <c r="D223" s="25" t="s">
        <v>26</v>
      </c>
      <c r="E223" s="26" t="s">
        <v>249</v>
      </c>
      <c r="F223" s="27">
        <v>5</v>
      </c>
      <c r="G223" s="28">
        <f t="shared" si="21"/>
        <v>0.5</v>
      </c>
      <c r="H223" s="29">
        <v>1</v>
      </c>
      <c r="I223" s="29">
        <v>0</v>
      </c>
      <c r="J223" s="29">
        <v>0</v>
      </c>
      <c r="K223" s="30">
        <v>1</v>
      </c>
      <c r="L223" s="31">
        <f t="shared" si="22"/>
        <v>0.11784</v>
      </c>
      <c r="M223" s="32">
        <v>0.31296000000000002</v>
      </c>
      <c r="N223" s="32">
        <v>0</v>
      </c>
      <c r="O223" s="32">
        <v>0</v>
      </c>
      <c r="P223" s="33">
        <v>0.15840000000000001</v>
      </c>
      <c r="Q223" s="31">
        <f t="shared" si="23"/>
        <v>0.11784</v>
      </c>
      <c r="R223" s="32">
        <v>0.31296000000000002</v>
      </c>
      <c r="S223" s="32">
        <v>0</v>
      </c>
      <c r="T223" s="32">
        <v>0</v>
      </c>
      <c r="U223" s="33">
        <v>0.15840000000000001</v>
      </c>
      <c r="V223" s="31">
        <f t="shared" si="24"/>
        <v>0</v>
      </c>
      <c r="W223" s="32">
        <v>0</v>
      </c>
      <c r="X223" s="32">
        <v>0</v>
      </c>
      <c r="Y223" s="32">
        <v>0</v>
      </c>
      <c r="Z223" s="33">
        <v>0</v>
      </c>
      <c r="AA223" s="31">
        <f t="shared" si="25"/>
        <v>0</v>
      </c>
      <c r="AB223" s="32">
        <v>0</v>
      </c>
      <c r="AC223" s="33">
        <v>0</v>
      </c>
      <c r="AD223" s="31">
        <f t="shared" si="26"/>
        <v>0</v>
      </c>
      <c r="AE223" s="32">
        <v>0</v>
      </c>
      <c r="AF223" s="32">
        <v>0</v>
      </c>
      <c r="AG223" s="32">
        <v>0</v>
      </c>
      <c r="AH223" s="33">
        <v>0</v>
      </c>
      <c r="AI223" s="31">
        <f t="shared" si="27"/>
        <v>0</v>
      </c>
      <c r="AJ223" s="32">
        <v>0</v>
      </c>
      <c r="AK223" s="32">
        <v>0</v>
      </c>
      <c r="AL223" s="32">
        <v>0</v>
      </c>
      <c r="AM223" s="34">
        <v>0</v>
      </c>
    </row>
    <row r="224" spans="1:39" x14ac:dyDescent="0.3">
      <c r="A224" s="24" t="s">
        <v>272</v>
      </c>
      <c r="B224" s="25" t="s">
        <v>269</v>
      </c>
      <c r="C224" s="25" t="s">
        <v>269</v>
      </c>
      <c r="D224" s="25" t="s">
        <v>26</v>
      </c>
      <c r="E224" s="26" t="s">
        <v>172</v>
      </c>
      <c r="F224" s="27">
        <v>3</v>
      </c>
      <c r="G224" s="28">
        <f t="shared" si="21"/>
        <v>0.25</v>
      </c>
      <c r="H224" s="29">
        <v>0</v>
      </c>
      <c r="I224" s="29">
        <v>0</v>
      </c>
      <c r="J224" s="29">
        <v>0</v>
      </c>
      <c r="K224" s="30">
        <v>1</v>
      </c>
      <c r="L224" s="31">
        <f t="shared" si="22"/>
        <v>0.25032300000000002</v>
      </c>
      <c r="M224" s="32">
        <v>0</v>
      </c>
      <c r="N224" s="32">
        <v>0</v>
      </c>
      <c r="O224" s="32">
        <v>0</v>
      </c>
      <c r="P224" s="33">
        <v>1.0012920000000001</v>
      </c>
      <c r="Q224" s="31">
        <f t="shared" si="23"/>
        <v>0.25032300000000002</v>
      </c>
      <c r="R224" s="32">
        <v>0</v>
      </c>
      <c r="S224" s="32">
        <v>0</v>
      </c>
      <c r="T224" s="32">
        <v>0</v>
      </c>
      <c r="U224" s="33">
        <v>1.0012920000000001</v>
      </c>
      <c r="V224" s="31">
        <f t="shared" si="24"/>
        <v>0</v>
      </c>
      <c r="W224" s="32">
        <v>0</v>
      </c>
      <c r="X224" s="32">
        <v>0</v>
      </c>
      <c r="Y224" s="32">
        <v>0</v>
      </c>
      <c r="Z224" s="33">
        <v>0</v>
      </c>
      <c r="AA224" s="31">
        <f t="shared" si="25"/>
        <v>0</v>
      </c>
      <c r="AB224" s="32">
        <v>0</v>
      </c>
      <c r="AC224" s="33">
        <v>0</v>
      </c>
      <c r="AD224" s="31">
        <f t="shared" si="26"/>
        <v>0</v>
      </c>
      <c r="AE224" s="32">
        <v>0</v>
      </c>
      <c r="AF224" s="32">
        <v>0</v>
      </c>
      <c r="AG224" s="32">
        <v>0</v>
      </c>
      <c r="AH224" s="33">
        <v>0</v>
      </c>
      <c r="AI224" s="31">
        <f t="shared" si="27"/>
        <v>0</v>
      </c>
      <c r="AJ224" s="32">
        <v>0</v>
      </c>
      <c r="AK224" s="32">
        <v>0</v>
      </c>
      <c r="AL224" s="32">
        <v>0</v>
      </c>
      <c r="AM224" s="34">
        <v>0</v>
      </c>
    </row>
    <row r="225" spans="1:39" x14ac:dyDescent="0.3">
      <c r="A225" s="24" t="s">
        <v>272</v>
      </c>
      <c r="B225" s="25" t="s">
        <v>269</v>
      </c>
      <c r="C225" s="25" t="s">
        <v>269</v>
      </c>
      <c r="D225" s="25" t="s">
        <v>26</v>
      </c>
      <c r="E225" s="26" t="s">
        <v>229</v>
      </c>
      <c r="F225" s="27">
        <v>1</v>
      </c>
      <c r="G225" s="28">
        <f t="shared" si="21"/>
        <v>0</v>
      </c>
      <c r="H225" s="29">
        <v>0</v>
      </c>
      <c r="I225" s="29">
        <v>0</v>
      </c>
      <c r="J225" s="29">
        <v>0</v>
      </c>
      <c r="K225" s="30">
        <v>0</v>
      </c>
      <c r="L225" s="31">
        <f t="shared" si="22"/>
        <v>0</v>
      </c>
      <c r="M225" s="32">
        <v>0</v>
      </c>
      <c r="N225" s="32">
        <v>0</v>
      </c>
      <c r="O225" s="32">
        <v>0</v>
      </c>
      <c r="P225" s="33">
        <v>0</v>
      </c>
      <c r="Q225" s="31">
        <f t="shared" si="23"/>
        <v>0</v>
      </c>
      <c r="R225" s="32">
        <v>0</v>
      </c>
      <c r="S225" s="32">
        <v>0</v>
      </c>
      <c r="T225" s="32">
        <v>0</v>
      </c>
      <c r="U225" s="33">
        <v>0</v>
      </c>
      <c r="V225" s="31">
        <f t="shared" si="24"/>
        <v>0</v>
      </c>
      <c r="W225" s="32">
        <v>0</v>
      </c>
      <c r="X225" s="32">
        <v>0</v>
      </c>
      <c r="Y225" s="32">
        <v>0</v>
      </c>
      <c r="Z225" s="33">
        <v>0</v>
      </c>
      <c r="AA225" s="31">
        <f t="shared" si="25"/>
        <v>0</v>
      </c>
      <c r="AB225" s="32">
        <v>0</v>
      </c>
      <c r="AC225" s="33">
        <v>0</v>
      </c>
      <c r="AD225" s="31">
        <f t="shared" si="26"/>
        <v>0</v>
      </c>
      <c r="AE225" s="32">
        <v>0</v>
      </c>
      <c r="AF225" s="32">
        <v>0</v>
      </c>
      <c r="AG225" s="32">
        <v>0</v>
      </c>
      <c r="AH225" s="33">
        <v>0</v>
      </c>
      <c r="AI225" s="31">
        <f t="shared" si="27"/>
        <v>0</v>
      </c>
      <c r="AJ225" s="32">
        <v>0</v>
      </c>
      <c r="AK225" s="32">
        <v>0</v>
      </c>
      <c r="AL225" s="32">
        <v>0</v>
      </c>
      <c r="AM225" s="34">
        <v>0</v>
      </c>
    </row>
    <row r="226" spans="1:39" x14ac:dyDescent="0.3">
      <c r="A226" s="24" t="s">
        <v>272</v>
      </c>
      <c r="B226" s="25" t="s">
        <v>269</v>
      </c>
      <c r="C226" s="25" t="s">
        <v>269</v>
      </c>
      <c r="D226" s="25" t="s">
        <v>26</v>
      </c>
      <c r="E226" s="26" t="s">
        <v>233</v>
      </c>
      <c r="F226" s="27">
        <v>4</v>
      </c>
      <c r="G226" s="28">
        <f t="shared" si="21"/>
        <v>0.25</v>
      </c>
      <c r="H226" s="29">
        <v>1</v>
      </c>
      <c r="I226" s="29">
        <v>0</v>
      </c>
      <c r="J226" s="29">
        <v>0</v>
      </c>
      <c r="K226" s="30">
        <v>0</v>
      </c>
      <c r="L226" s="31">
        <f t="shared" si="22"/>
        <v>6.7457749999999997E-2</v>
      </c>
      <c r="M226" s="32">
        <v>0.26983099999999999</v>
      </c>
      <c r="N226" s="32">
        <v>0</v>
      </c>
      <c r="O226" s="32">
        <v>0</v>
      </c>
      <c r="P226" s="33">
        <v>0</v>
      </c>
      <c r="Q226" s="31">
        <f t="shared" si="23"/>
        <v>0</v>
      </c>
      <c r="R226" s="32">
        <v>0</v>
      </c>
      <c r="S226" s="32">
        <v>0</v>
      </c>
      <c r="T226" s="32">
        <v>0</v>
      </c>
      <c r="U226" s="33">
        <v>0</v>
      </c>
      <c r="V226" s="31">
        <f t="shared" si="24"/>
        <v>0</v>
      </c>
      <c r="W226" s="32">
        <v>0</v>
      </c>
      <c r="X226" s="32">
        <v>0</v>
      </c>
      <c r="Y226" s="32">
        <v>0</v>
      </c>
      <c r="Z226" s="33">
        <v>0</v>
      </c>
      <c r="AA226" s="31">
        <f t="shared" si="25"/>
        <v>0</v>
      </c>
      <c r="AB226" s="32">
        <v>0</v>
      </c>
      <c r="AC226" s="33">
        <v>0</v>
      </c>
      <c r="AD226" s="31">
        <f t="shared" si="26"/>
        <v>6.7457749999999997E-2</v>
      </c>
      <c r="AE226" s="32">
        <v>0.26983099999999999</v>
      </c>
      <c r="AF226" s="32">
        <v>0</v>
      </c>
      <c r="AG226" s="32">
        <v>0</v>
      </c>
      <c r="AH226" s="33">
        <v>0</v>
      </c>
      <c r="AI226" s="31">
        <f t="shared" si="27"/>
        <v>0</v>
      </c>
      <c r="AJ226" s="32">
        <v>0</v>
      </c>
      <c r="AK226" s="32">
        <v>0</v>
      </c>
      <c r="AL226" s="32">
        <v>0</v>
      </c>
      <c r="AM226" s="34">
        <v>0</v>
      </c>
    </row>
    <row r="227" spans="1:39" x14ac:dyDescent="0.3">
      <c r="A227" s="24" t="s">
        <v>272</v>
      </c>
      <c r="B227" s="25" t="s">
        <v>270</v>
      </c>
      <c r="C227" s="25" t="s">
        <v>270</v>
      </c>
      <c r="D227" s="25" t="s">
        <v>13</v>
      </c>
      <c r="E227" s="26" t="s">
        <v>179</v>
      </c>
      <c r="F227" s="27">
        <v>14</v>
      </c>
      <c r="G227" s="28">
        <f t="shared" si="21"/>
        <v>6.5</v>
      </c>
      <c r="H227" s="29">
        <v>5</v>
      </c>
      <c r="I227" s="29">
        <v>15</v>
      </c>
      <c r="J227" s="29">
        <v>1</v>
      </c>
      <c r="K227" s="30">
        <v>5</v>
      </c>
      <c r="L227" s="31">
        <f t="shared" si="22"/>
        <v>3.4166690000000006</v>
      </c>
      <c r="M227" s="32">
        <v>0.80042999999999986</v>
      </c>
      <c r="N227" s="32">
        <v>8.7949770000000012</v>
      </c>
      <c r="O227" s="32">
        <v>0.70377999999999996</v>
      </c>
      <c r="P227" s="33">
        <v>2.255652</v>
      </c>
      <c r="Q227" s="31">
        <f t="shared" si="23"/>
        <v>1.13354675</v>
      </c>
      <c r="R227" s="32">
        <v>0</v>
      </c>
      <c r="S227" s="32">
        <v>2.3280949999999998</v>
      </c>
      <c r="T227" s="32">
        <v>0.70377999999999996</v>
      </c>
      <c r="U227" s="33">
        <v>1.5023120000000001</v>
      </c>
      <c r="V227" s="31">
        <f t="shared" si="24"/>
        <v>1.4964649999999999</v>
      </c>
      <c r="W227" s="32">
        <v>0</v>
      </c>
      <c r="X227" s="32">
        <v>5.6772</v>
      </c>
      <c r="Y227" s="32">
        <v>0</v>
      </c>
      <c r="Z227" s="33">
        <v>0.30865999999999999</v>
      </c>
      <c r="AA227" s="31">
        <f t="shared" si="25"/>
        <v>0.55591849999999998</v>
      </c>
      <c r="AB227" s="32">
        <v>0.61071999999999993</v>
      </c>
      <c r="AC227" s="33">
        <v>0.50111700000000003</v>
      </c>
      <c r="AD227" s="31">
        <f t="shared" si="26"/>
        <v>0.23073874999999999</v>
      </c>
      <c r="AE227" s="32">
        <v>0.18970999999999999</v>
      </c>
      <c r="AF227" s="32">
        <v>0.28856499999999996</v>
      </c>
      <c r="AG227" s="32">
        <v>0</v>
      </c>
      <c r="AH227" s="33">
        <v>0.44468000000000002</v>
      </c>
      <c r="AI227" s="31">
        <f t="shared" si="27"/>
        <v>4.4408920985006262E-16</v>
      </c>
      <c r="AJ227" s="32">
        <v>0</v>
      </c>
      <c r="AK227" s="32">
        <v>1.7763568394002505E-15</v>
      </c>
      <c r="AL227" s="32">
        <v>0</v>
      </c>
      <c r="AM227" s="34">
        <v>0</v>
      </c>
    </row>
    <row r="228" spans="1:39" x14ac:dyDescent="0.3">
      <c r="A228" s="24" t="s">
        <v>272</v>
      </c>
      <c r="B228" s="25" t="s">
        <v>270</v>
      </c>
      <c r="C228" s="25" t="s">
        <v>270</v>
      </c>
      <c r="D228" s="25" t="s">
        <v>26</v>
      </c>
      <c r="E228" s="26" t="s">
        <v>135</v>
      </c>
      <c r="F228" s="27">
        <v>84</v>
      </c>
      <c r="G228" s="28">
        <f t="shared" si="21"/>
        <v>49.5</v>
      </c>
      <c r="H228" s="29">
        <v>57</v>
      </c>
      <c r="I228" s="29">
        <v>60</v>
      </c>
      <c r="J228" s="29">
        <v>42</v>
      </c>
      <c r="K228" s="30">
        <v>39</v>
      </c>
      <c r="L228" s="31">
        <f t="shared" si="22"/>
        <v>21.543349750000001</v>
      </c>
      <c r="M228" s="32">
        <v>31.969025999999996</v>
      </c>
      <c r="N228" s="32">
        <v>20.310184999999997</v>
      </c>
      <c r="O228" s="32">
        <v>15.765308000000001</v>
      </c>
      <c r="P228" s="33">
        <v>13.494098999999999</v>
      </c>
      <c r="Q228" s="31">
        <f t="shared" si="23"/>
        <v>7.2928357500000001</v>
      </c>
      <c r="R228" s="32">
        <v>8.128247</v>
      </c>
      <c r="S228" s="32">
        <v>6.1222180000000002</v>
      </c>
      <c r="T228" s="32">
        <v>9.691217</v>
      </c>
      <c r="U228" s="33">
        <v>5.2296610000000001</v>
      </c>
      <c r="V228" s="31">
        <f t="shared" si="24"/>
        <v>9.7111892500000003</v>
      </c>
      <c r="W228" s="32">
        <v>19.573140000000002</v>
      </c>
      <c r="X228" s="32">
        <v>11.779074</v>
      </c>
      <c r="Y228" s="32">
        <v>2.856122</v>
      </c>
      <c r="Z228" s="33">
        <v>4.6364210000000003</v>
      </c>
      <c r="AA228" s="31">
        <f t="shared" si="25"/>
        <v>2.3173905000000001</v>
      </c>
      <c r="AB228" s="32">
        <v>2.910917</v>
      </c>
      <c r="AC228" s="33">
        <v>1.7238640000000003</v>
      </c>
      <c r="AD228" s="31">
        <f t="shared" si="26"/>
        <v>1.9719342499999999</v>
      </c>
      <c r="AE228" s="32">
        <v>1.356722</v>
      </c>
      <c r="AF228" s="32">
        <v>0.685029</v>
      </c>
      <c r="AG228" s="32">
        <v>3.2179690000000001</v>
      </c>
      <c r="AH228" s="33">
        <v>2.6280169999999998</v>
      </c>
      <c r="AI228" s="31">
        <f t="shared" si="27"/>
        <v>0.24999999999999956</v>
      </c>
      <c r="AJ228" s="32">
        <v>0</v>
      </c>
      <c r="AK228" s="32">
        <v>0</v>
      </c>
      <c r="AL228" s="32">
        <v>0</v>
      </c>
      <c r="AM228" s="34">
        <v>0.99999999999999822</v>
      </c>
    </row>
    <row r="229" spans="1:39" x14ac:dyDescent="0.3">
      <c r="A229" s="24" t="s">
        <v>272</v>
      </c>
      <c r="B229" s="25" t="s">
        <v>270</v>
      </c>
      <c r="C229" s="25" t="s">
        <v>270</v>
      </c>
      <c r="D229" s="25" t="s">
        <v>34</v>
      </c>
      <c r="E229" s="26" t="s">
        <v>225</v>
      </c>
      <c r="F229" s="27">
        <v>1</v>
      </c>
      <c r="G229" s="28">
        <f t="shared" si="21"/>
        <v>0</v>
      </c>
      <c r="H229" s="29">
        <v>0</v>
      </c>
      <c r="I229" s="29">
        <v>0</v>
      </c>
      <c r="J229" s="29">
        <v>0</v>
      </c>
      <c r="K229" s="30">
        <v>0</v>
      </c>
      <c r="L229" s="31">
        <f t="shared" si="22"/>
        <v>0</v>
      </c>
      <c r="M229" s="32">
        <v>0</v>
      </c>
      <c r="N229" s="32">
        <v>0</v>
      </c>
      <c r="O229" s="32">
        <v>0</v>
      </c>
      <c r="P229" s="33">
        <v>0</v>
      </c>
      <c r="Q229" s="31">
        <f t="shared" si="23"/>
        <v>0</v>
      </c>
      <c r="R229" s="32">
        <v>0</v>
      </c>
      <c r="S229" s="32">
        <v>0</v>
      </c>
      <c r="T229" s="32">
        <v>0</v>
      </c>
      <c r="U229" s="33">
        <v>0</v>
      </c>
      <c r="V229" s="31">
        <f t="shared" si="24"/>
        <v>0</v>
      </c>
      <c r="W229" s="32">
        <v>0</v>
      </c>
      <c r="X229" s="32">
        <v>0</v>
      </c>
      <c r="Y229" s="32">
        <v>0</v>
      </c>
      <c r="Z229" s="33">
        <v>0</v>
      </c>
      <c r="AA229" s="31">
        <f t="shared" si="25"/>
        <v>0</v>
      </c>
      <c r="AB229" s="32">
        <v>0</v>
      </c>
      <c r="AC229" s="33">
        <v>0</v>
      </c>
      <c r="AD229" s="31">
        <f t="shared" si="26"/>
        <v>0</v>
      </c>
      <c r="AE229" s="32">
        <v>0</v>
      </c>
      <c r="AF229" s="32">
        <v>0</v>
      </c>
      <c r="AG229" s="32">
        <v>0</v>
      </c>
      <c r="AH229" s="33">
        <v>0</v>
      </c>
      <c r="AI229" s="31">
        <f t="shared" si="27"/>
        <v>0</v>
      </c>
      <c r="AJ229" s="32">
        <v>0</v>
      </c>
      <c r="AK229" s="32">
        <v>0</v>
      </c>
      <c r="AL229" s="32">
        <v>0</v>
      </c>
      <c r="AM229" s="34">
        <v>0</v>
      </c>
    </row>
    <row r="230" spans="1:39" x14ac:dyDescent="0.3">
      <c r="A230" s="24" t="s">
        <v>272</v>
      </c>
      <c r="B230" s="25" t="s">
        <v>270</v>
      </c>
      <c r="C230" s="25" t="s">
        <v>270</v>
      </c>
      <c r="D230" s="25" t="s">
        <v>34</v>
      </c>
      <c r="E230" s="26" t="s">
        <v>262</v>
      </c>
      <c r="F230" s="27">
        <v>1</v>
      </c>
      <c r="G230" s="28">
        <f t="shared" si="21"/>
        <v>0</v>
      </c>
      <c r="H230" s="29">
        <v>0</v>
      </c>
      <c r="I230" s="29">
        <v>0</v>
      </c>
      <c r="J230" s="29">
        <v>0</v>
      </c>
      <c r="K230" s="30">
        <v>0</v>
      </c>
      <c r="L230" s="31">
        <f t="shared" si="22"/>
        <v>0</v>
      </c>
      <c r="M230" s="32">
        <v>0</v>
      </c>
      <c r="N230" s="32">
        <v>0</v>
      </c>
      <c r="O230" s="32">
        <v>0</v>
      </c>
      <c r="P230" s="33">
        <v>0</v>
      </c>
      <c r="Q230" s="31">
        <f t="shared" si="23"/>
        <v>0</v>
      </c>
      <c r="R230" s="32">
        <v>0</v>
      </c>
      <c r="S230" s="32">
        <v>0</v>
      </c>
      <c r="T230" s="32">
        <v>0</v>
      </c>
      <c r="U230" s="33">
        <v>0</v>
      </c>
      <c r="V230" s="31">
        <f t="shared" si="24"/>
        <v>0</v>
      </c>
      <c r="W230" s="32">
        <v>0</v>
      </c>
      <c r="X230" s="32">
        <v>0</v>
      </c>
      <c r="Y230" s="32">
        <v>0</v>
      </c>
      <c r="Z230" s="33">
        <v>0</v>
      </c>
      <c r="AA230" s="31">
        <f t="shared" si="25"/>
        <v>0</v>
      </c>
      <c r="AB230" s="32">
        <v>0</v>
      </c>
      <c r="AC230" s="33">
        <v>0</v>
      </c>
      <c r="AD230" s="31">
        <f t="shared" si="26"/>
        <v>0</v>
      </c>
      <c r="AE230" s="32">
        <v>0</v>
      </c>
      <c r="AF230" s="32">
        <v>0</v>
      </c>
      <c r="AG230" s="32">
        <v>0</v>
      </c>
      <c r="AH230" s="33">
        <v>0</v>
      </c>
      <c r="AI230" s="31">
        <f t="shared" si="27"/>
        <v>0</v>
      </c>
      <c r="AJ230" s="32">
        <v>0</v>
      </c>
      <c r="AK230" s="32">
        <v>0</v>
      </c>
      <c r="AL230" s="32">
        <v>0</v>
      </c>
      <c r="AM230" s="34">
        <v>0</v>
      </c>
    </row>
    <row r="231" spans="1:39" x14ac:dyDescent="0.3">
      <c r="A231" s="24" t="s">
        <v>272</v>
      </c>
      <c r="B231" s="25" t="s">
        <v>270</v>
      </c>
      <c r="C231" s="25" t="s">
        <v>270</v>
      </c>
      <c r="D231" s="25" t="s">
        <v>34</v>
      </c>
      <c r="E231" s="26" t="s">
        <v>257</v>
      </c>
      <c r="F231" s="27">
        <v>3</v>
      </c>
      <c r="G231" s="28">
        <f t="shared" si="21"/>
        <v>2</v>
      </c>
      <c r="H231" s="29">
        <v>0</v>
      </c>
      <c r="I231" s="29">
        <v>2</v>
      </c>
      <c r="J231" s="29">
        <v>4</v>
      </c>
      <c r="K231" s="30">
        <v>2</v>
      </c>
      <c r="L231" s="31">
        <f t="shared" si="22"/>
        <v>1.3463449999999999</v>
      </c>
      <c r="M231" s="32">
        <v>0</v>
      </c>
      <c r="N231" s="32">
        <v>2.0087799999999998</v>
      </c>
      <c r="O231" s="32">
        <v>2.7618499999999999</v>
      </c>
      <c r="P231" s="33">
        <v>0.61475000000000002</v>
      </c>
      <c r="Q231" s="31">
        <f t="shared" si="23"/>
        <v>0.4358725</v>
      </c>
      <c r="R231" s="32">
        <v>0</v>
      </c>
      <c r="S231" s="32">
        <v>0</v>
      </c>
      <c r="T231" s="32">
        <v>1.24264</v>
      </c>
      <c r="U231" s="33">
        <v>0.50085000000000002</v>
      </c>
      <c r="V231" s="31">
        <f t="shared" si="24"/>
        <v>0.91047250000000002</v>
      </c>
      <c r="W231" s="32">
        <v>0</v>
      </c>
      <c r="X231" s="32">
        <v>2.0087799999999998</v>
      </c>
      <c r="Y231" s="32">
        <v>1.5192099999999999</v>
      </c>
      <c r="Z231" s="33">
        <v>0.1139</v>
      </c>
      <c r="AA231" s="31">
        <f t="shared" si="25"/>
        <v>0</v>
      </c>
      <c r="AB231" s="32">
        <v>0</v>
      </c>
      <c r="AC231" s="33">
        <v>0</v>
      </c>
      <c r="AD231" s="31">
        <f t="shared" si="26"/>
        <v>0</v>
      </c>
      <c r="AE231" s="32">
        <v>0</v>
      </c>
      <c r="AF231" s="32">
        <v>0</v>
      </c>
      <c r="AG231" s="32">
        <v>0</v>
      </c>
      <c r="AH231" s="33">
        <v>0</v>
      </c>
      <c r="AI231" s="31">
        <f t="shared" si="27"/>
        <v>0</v>
      </c>
      <c r="AJ231" s="32">
        <v>0</v>
      </c>
      <c r="AK231" s="32">
        <v>0</v>
      </c>
      <c r="AL231" s="32">
        <v>0</v>
      </c>
      <c r="AM231" s="34">
        <v>0</v>
      </c>
    </row>
    <row r="232" spans="1:39" x14ac:dyDescent="0.3">
      <c r="A232" s="24" t="s">
        <v>272</v>
      </c>
      <c r="B232" s="25" t="s">
        <v>270</v>
      </c>
      <c r="C232" s="25" t="s">
        <v>270</v>
      </c>
      <c r="D232" s="25" t="s">
        <v>34</v>
      </c>
      <c r="E232" s="26" t="s">
        <v>170</v>
      </c>
      <c r="F232" s="27">
        <v>4</v>
      </c>
      <c r="G232" s="28">
        <f t="shared" si="21"/>
        <v>2.5</v>
      </c>
      <c r="H232" s="29">
        <v>0</v>
      </c>
      <c r="I232" s="29">
        <v>0</v>
      </c>
      <c r="J232" s="29">
        <v>4</v>
      </c>
      <c r="K232" s="30">
        <v>6</v>
      </c>
      <c r="L232" s="31">
        <f t="shared" si="22"/>
        <v>1.6982377500000001</v>
      </c>
      <c r="M232" s="32">
        <v>0</v>
      </c>
      <c r="N232" s="32">
        <v>0</v>
      </c>
      <c r="O232" s="32">
        <v>2.7120340000000001</v>
      </c>
      <c r="P232" s="33">
        <v>4.0809170000000003</v>
      </c>
      <c r="Q232" s="31">
        <f t="shared" si="23"/>
        <v>1.5544072500000001</v>
      </c>
      <c r="R232" s="32">
        <v>0</v>
      </c>
      <c r="S232" s="32">
        <v>0</v>
      </c>
      <c r="T232" s="32">
        <v>2.5002960000000001</v>
      </c>
      <c r="U232" s="33">
        <v>3.717333</v>
      </c>
      <c r="V232" s="31">
        <f t="shared" si="24"/>
        <v>0</v>
      </c>
      <c r="W232" s="32">
        <v>0</v>
      </c>
      <c r="X232" s="32">
        <v>0</v>
      </c>
      <c r="Y232" s="32">
        <v>0</v>
      </c>
      <c r="Z232" s="33">
        <v>0</v>
      </c>
      <c r="AA232" s="31">
        <f t="shared" si="25"/>
        <v>0</v>
      </c>
      <c r="AB232" s="32">
        <v>0</v>
      </c>
      <c r="AC232" s="33">
        <v>0</v>
      </c>
      <c r="AD232" s="31">
        <f t="shared" si="26"/>
        <v>0.1438305</v>
      </c>
      <c r="AE232" s="32">
        <v>0</v>
      </c>
      <c r="AF232" s="32">
        <v>0</v>
      </c>
      <c r="AG232" s="32">
        <v>0.21173800000000001</v>
      </c>
      <c r="AH232" s="33">
        <v>0.36358400000000002</v>
      </c>
      <c r="AI232" s="31">
        <f t="shared" si="27"/>
        <v>0</v>
      </c>
      <c r="AJ232" s="32">
        <v>0</v>
      </c>
      <c r="AK232" s="32">
        <v>0</v>
      </c>
      <c r="AL232" s="32">
        <v>0</v>
      </c>
      <c r="AM232" s="34">
        <v>0</v>
      </c>
    </row>
    <row r="233" spans="1:39" x14ac:dyDescent="0.3">
      <c r="A233" s="24" t="s">
        <v>272</v>
      </c>
      <c r="B233" s="25" t="s">
        <v>270</v>
      </c>
      <c r="C233" s="25" t="s">
        <v>270</v>
      </c>
      <c r="D233" s="25" t="s">
        <v>34</v>
      </c>
      <c r="E233" s="26" t="s">
        <v>230</v>
      </c>
      <c r="F233" s="27">
        <v>5</v>
      </c>
      <c r="G233" s="28">
        <f t="shared" si="21"/>
        <v>0.75</v>
      </c>
      <c r="H233" s="29">
        <v>2</v>
      </c>
      <c r="I233" s="29">
        <v>0</v>
      </c>
      <c r="J233" s="29">
        <v>0</v>
      </c>
      <c r="K233" s="30">
        <v>1</v>
      </c>
      <c r="L233" s="31">
        <f t="shared" si="22"/>
        <v>0.22234199999999998</v>
      </c>
      <c r="M233" s="32">
        <v>0.359406</v>
      </c>
      <c r="N233" s="32">
        <v>0</v>
      </c>
      <c r="O233" s="32">
        <v>0</v>
      </c>
      <c r="P233" s="33">
        <v>0.26790199999999997</v>
      </c>
      <c r="Q233" s="31">
        <f t="shared" si="23"/>
        <v>0</v>
      </c>
      <c r="R233" s="32">
        <v>0</v>
      </c>
      <c r="S233" s="32">
        <v>0</v>
      </c>
      <c r="T233" s="32">
        <v>0</v>
      </c>
      <c r="U233" s="33">
        <v>0</v>
      </c>
      <c r="V233" s="31">
        <f t="shared" si="24"/>
        <v>0</v>
      </c>
      <c r="W233" s="32">
        <v>0</v>
      </c>
      <c r="X233" s="32">
        <v>0</v>
      </c>
      <c r="Y233" s="32">
        <v>0</v>
      </c>
      <c r="Z233" s="33">
        <v>0</v>
      </c>
      <c r="AA233" s="31">
        <f t="shared" si="25"/>
        <v>0.13103000000000001</v>
      </c>
      <c r="AB233" s="32">
        <v>0.26206000000000002</v>
      </c>
      <c r="AC233" s="33">
        <v>0</v>
      </c>
      <c r="AD233" s="31">
        <f t="shared" si="26"/>
        <v>9.131199999999999E-2</v>
      </c>
      <c r="AE233" s="32">
        <v>9.7346000000000002E-2</v>
      </c>
      <c r="AF233" s="32">
        <v>0</v>
      </c>
      <c r="AG233" s="32">
        <v>0</v>
      </c>
      <c r="AH233" s="33">
        <v>0.26790199999999997</v>
      </c>
      <c r="AI233" s="31">
        <f t="shared" si="27"/>
        <v>0</v>
      </c>
      <c r="AJ233" s="32">
        <v>0</v>
      </c>
      <c r="AK233" s="32">
        <v>0</v>
      </c>
      <c r="AL233" s="32">
        <v>0</v>
      </c>
      <c r="AM233" s="34">
        <v>0</v>
      </c>
    </row>
    <row r="234" spans="1:39" x14ac:dyDescent="0.3">
      <c r="A234" s="24" t="s">
        <v>272</v>
      </c>
      <c r="B234" s="25" t="s">
        <v>270</v>
      </c>
      <c r="C234" s="25" t="s">
        <v>270</v>
      </c>
      <c r="D234" s="25" t="s">
        <v>34</v>
      </c>
      <c r="E234" s="26" t="s">
        <v>75</v>
      </c>
      <c r="F234" s="27">
        <v>23</v>
      </c>
      <c r="G234" s="28">
        <f t="shared" si="21"/>
        <v>1.25</v>
      </c>
      <c r="H234" s="29">
        <v>4</v>
      </c>
      <c r="I234" s="29">
        <v>0</v>
      </c>
      <c r="J234" s="29">
        <v>0</v>
      </c>
      <c r="K234" s="30">
        <v>1</v>
      </c>
      <c r="L234" s="31">
        <f t="shared" si="22"/>
        <v>0.79212574999999996</v>
      </c>
      <c r="M234" s="32">
        <v>2.0388440000000001</v>
      </c>
      <c r="N234" s="32">
        <v>0</v>
      </c>
      <c r="O234" s="32">
        <v>0</v>
      </c>
      <c r="P234" s="33">
        <v>1.0249200000000001</v>
      </c>
      <c r="Q234" s="31">
        <f t="shared" si="23"/>
        <v>0.38554875</v>
      </c>
      <c r="R234" s="32">
        <v>0.51727500000000004</v>
      </c>
      <c r="S234" s="32">
        <v>0</v>
      </c>
      <c r="T234" s="32">
        <v>0</v>
      </c>
      <c r="U234" s="33">
        <v>1.0249200000000001</v>
      </c>
      <c r="V234" s="31">
        <f t="shared" si="24"/>
        <v>0.35420750000000001</v>
      </c>
      <c r="W234" s="32">
        <v>1.41683</v>
      </c>
      <c r="X234" s="32">
        <v>0</v>
      </c>
      <c r="Y234" s="32">
        <v>0</v>
      </c>
      <c r="Z234" s="33">
        <v>0</v>
      </c>
      <c r="AA234" s="31">
        <f t="shared" si="25"/>
        <v>5.2369499999999999E-2</v>
      </c>
      <c r="AB234" s="32">
        <v>0.104739</v>
      </c>
      <c r="AC234" s="33">
        <v>0</v>
      </c>
      <c r="AD234" s="31">
        <f t="shared" si="26"/>
        <v>0</v>
      </c>
      <c r="AE234" s="32">
        <v>0</v>
      </c>
      <c r="AF234" s="32">
        <v>0</v>
      </c>
      <c r="AG234" s="32">
        <v>0</v>
      </c>
      <c r="AH234" s="33">
        <v>0</v>
      </c>
      <c r="AI234" s="31">
        <f t="shared" si="27"/>
        <v>0</v>
      </c>
      <c r="AJ234" s="32">
        <v>0</v>
      </c>
      <c r="AK234" s="32">
        <v>0</v>
      </c>
      <c r="AL234" s="32">
        <v>0</v>
      </c>
      <c r="AM234" s="34">
        <v>0</v>
      </c>
    </row>
    <row r="235" spans="1:39" x14ac:dyDescent="0.3">
      <c r="A235" s="24" t="s">
        <v>272</v>
      </c>
      <c r="B235" s="25" t="s">
        <v>270</v>
      </c>
      <c r="C235" s="25" t="s">
        <v>270</v>
      </c>
      <c r="D235" s="25" t="s">
        <v>34</v>
      </c>
      <c r="E235" s="26" t="s">
        <v>171</v>
      </c>
      <c r="F235" s="27">
        <v>1</v>
      </c>
      <c r="G235" s="28">
        <f t="shared" si="21"/>
        <v>0</v>
      </c>
      <c r="H235" s="29">
        <v>0</v>
      </c>
      <c r="I235" s="29">
        <v>0</v>
      </c>
      <c r="J235" s="29">
        <v>0</v>
      </c>
      <c r="K235" s="30">
        <v>0</v>
      </c>
      <c r="L235" s="31">
        <f t="shared" si="22"/>
        <v>0</v>
      </c>
      <c r="M235" s="32">
        <v>0</v>
      </c>
      <c r="N235" s="32">
        <v>0</v>
      </c>
      <c r="O235" s="32">
        <v>0</v>
      </c>
      <c r="P235" s="33">
        <v>0</v>
      </c>
      <c r="Q235" s="31">
        <f t="shared" si="23"/>
        <v>0</v>
      </c>
      <c r="R235" s="32">
        <v>0</v>
      </c>
      <c r="S235" s="32">
        <v>0</v>
      </c>
      <c r="T235" s="32">
        <v>0</v>
      </c>
      <c r="U235" s="33">
        <v>0</v>
      </c>
      <c r="V235" s="31">
        <f t="shared" si="24"/>
        <v>0</v>
      </c>
      <c r="W235" s="32">
        <v>0</v>
      </c>
      <c r="X235" s="32">
        <v>0</v>
      </c>
      <c r="Y235" s="32">
        <v>0</v>
      </c>
      <c r="Z235" s="33">
        <v>0</v>
      </c>
      <c r="AA235" s="31">
        <f t="shared" si="25"/>
        <v>0</v>
      </c>
      <c r="AB235" s="32">
        <v>0</v>
      </c>
      <c r="AC235" s="33">
        <v>0</v>
      </c>
      <c r="AD235" s="31">
        <f t="shared" si="26"/>
        <v>0</v>
      </c>
      <c r="AE235" s="32">
        <v>0</v>
      </c>
      <c r="AF235" s="32">
        <v>0</v>
      </c>
      <c r="AG235" s="32">
        <v>0</v>
      </c>
      <c r="AH235" s="33">
        <v>0</v>
      </c>
      <c r="AI235" s="31">
        <f t="shared" si="27"/>
        <v>0</v>
      </c>
      <c r="AJ235" s="32">
        <v>0</v>
      </c>
      <c r="AK235" s="32">
        <v>0</v>
      </c>
      <c r="AL235" s="32">
        <v>0</v>
      </c>
      <c r="AM235" s="34">
        <v>0</v>
      </c>
    </row>
    <row r="236" spans="1:39" x14ac:dyDescent="0.3">
      <c r="A236" s="24" t="s">
        <v>272</v>
      </c>
      <c r="B236" s="25" t="s">
        <v>270</v>
      </c>
      <c r="C236" s="25" t="s">
        <v>270</v>
      </c>
      <c r="D236" s="25" t="s">
        <v>34</v>
      </c>
      <c r="E236" s="26" t="s">
        <v>176</v>
      </c>
      <c r="F236" s="27">
        <v>4</v>
      </c>
      <c r="G236" s="28">
        <f t="shared" si="21"/>
        <v>0</v>
      </c>
      <c r="H236" s="29">
        <v>0</v>
      </c>
      <c r="I236" s="29">
        <v>0</v>
      </c>
      <c r="J236" s="29">
        <v>0</v>
      </c>
      <c r="K236" s="30">
        <v>0</v>
      </c>
      <c r="L236" s="31">
        <f t="shared" si="22"/>
        <v>0</v>
      </c>
      <c r="M236" s="32">
        <v>0</v>
      </c>
      <c r="N236" s="32">
        <v>0</v>
      </c>
      <c r="O236" s="32">
        <v>0</v>
      </c>
      <c r="P236" s="33">
        <v>0</v>
      </c>
      <c r="Q236" s="31">
        <f t="shared" si="23"/>
        <v>0</v>
      </c>
      <c r="R236" s="32">
        <v>0</v>
      </c>
      <c r="S236" s="32">
        <v>0</v>
      </c>
      <c r="T236" s="32">
        <v>0</v>
      </c>
      <c r="U236" s="33">
        <v>0</v>
      </c>
      <c r="V236" s="31">
        <f t="shared" si="24"/>
        <v>0</v>
      </c>
      <c r="W236" s="32">
        <v>0</v>
      </c>
      <c r="X236" s="32">
        <v>0</v>
      </c>
      <c r="Y236" s="32">
        <v>0</v>
      </c>
      <c r="Z236" s="33">
        <v>0</v>
      </c>
      <c r="AA236" s="31">
        <f t="shared" si="25"/>
        <v>0</v>
      </c>
      <c r="AB236" s="32">
        <v>0</v>
      </c>
      <c r="AC236" s="33">
        <v>0</v>
      </c>
      <c r="AD236" s="31">
        <f t="shared" si="26"/>
        <v>0</v>
      </c>
      <c r="AE236" s="32">
        <v>0</v>
      </c>
      <c r="AF236" s="32">
        <v>0</v>
      </c>
      <c r="AG236" s="32">
        <v>0</v>
      </c>
      <c r="AH236" s="33">
        <v>0</v>
      </c>
      <c r="AI236" s="31">
        <f t="shared" si="27"/>
        <v>0</v>
      </c>
      <c r="AJ236" s="32">
        <v>0</v>
      </c>
      <c r="AK236" s="32">
        <v>0</v>
      </c>
      <c r="AL236" s="32">
        <v>0</v>
      </c>
      <c r="AM236" s="34">
        <v>0</v>
      </c>
    </row>
    <row r="237" spans="1:39" x14ac:dyDescent="0.3">
      <c r="A237" s="24" t="s">
        <v>272</v>
      </c>
      <c r="B237" s="25" t="s">
        <v>270</v>
      </c>
      <c r="C237" s="25" t="s">
        <v>270</v>
      </c>
      <c r="D237" s="25" t="s">
        <v>34</v>
      </c>
      <c r="E237" s="26" t="s">
        <v>73</v>
      </c>
      <c r="F237" s="27">
        <v>117</v>
      </c>
      <c r="G237" s="28">
        <f t="shared" si="21"/>
        <v>59</v>
      </c>
      <c r="H237" s="29">
        <v>63</v>
      </c>
      <c r="I237" s="29">
        <v>64</v>
      </c>
      <c r="J237" s="29">
        <v>60</v>
      </c>
      <c r="K237" s="30">
        <v>49</v>
      </c>
      <c r="L237" s="31">
        <f t="shared" si="22"/>
        <v>40.453857499999998</v>
      </c>
      <c r="M237" s="32">
        <v>38.834005000000005</v>
      </c>
      <c r="N237" s="32">
        <v>42.011308999999997</v>
      </c>
      <c r="O237" s="32">
        <v>35.580103999999999</v>
      </c>
      <c r="P237" s="33">
        <v>41.438877999999995</v>
      </c>
      <c r="Q237" s="31">
        <f t="shared" si="23"/>
        <v>10.614932749999999</v>
      </c>
      <c r="R237" s="32">
        <v>8.901053000000001</v>
      </c>
      <c r="S237" s="32">
        <v>11.539568999999998</v>
      </c>
      <c r="T237" s="32">
        <v>13.852805999999999</v>
      </c>
      <c r="U237" s="33">
        <v>8.166303000000001</v>
      </c>
      <c r="V237" s="31">
        <f t="shared" si="24"/>
        <v>23.402994750000001</v>
      </c>
      <c r="W237" s="32">
        <v>26.043229</v>
      </c>
      <c r="X237" s="32">
        <v>26.571350000000002</v>
      </c>
      <c r="Y237" s="32">
        <v>12.346910000000001</v>
      </c>
      <c r="Z237" s="33">
        <v>28.650490000000001</v>
      </c>
      <c r="AA237" s="31">
        <f t="shared" si="25"/>
        <v>1.9755670000000003</v>
      </c>
      <c r="AB237" s="32">
        <v>2.106967</v>
      </c>
      <c r="AC237" s="33">
        <v>1.8441670000000003</v>
      </c>
      <c r="AD237" s="31">
        <f t="shared" si="26"/>
        <v>2.8146354999999996</v>
      </c>
      <c r="AE237" s="32">
        <v>0.98275599999999996</v>
      </c>
      <c r="AF237" s="32">
        <v>1.050333</v>
      </c>
      <c r="AG237" s="32">
        <v>4.6033679999999988</v>
      </c>
      <c r="AH237" s="33">
        <v>4.6220850000000002</v>
      </c>
      <c r="AI237" s="31">
        <f t="shared" si="27"/>
        <v>1.6457274999999987</v>
      </c>
      <c r="AJ237" s="32">
        <v>0.8000000000000036</v>
      </c>
      <c r="AK237" s="32">
        <v>1.005889999999994</v>
      </c>
      <c r="AL237" s="32">
        <v>4.7770199999999976</v>
      </c>
      <c r="AM237" s="34">
        <v>0</v>
      </c>
    </row>
    <row r="238" spans="1:39" x14ac:dyDescent="0.3">
      <c r="A238" s="24" t="s">
        <v>272</v>
      </c>
      <c r="B238" s="25" t="s">
        <v>270</v>
      </c>
      <c r="C238" s="25" t="s">
        <v>270</v>
      </c>
      <c r="D238" s="25" t="s">
        <v>34</v>
      </c>
      <c r="E238" s="26" t="s">
        <v>72</v>
      </c>
      <c r="F238" s="27">
        <v>25</v>
      </c>
      <c r="G238" s="28">
        <f t="shared" si="21"/>
        <v>2.75</v>
      </c>
      <c r="H238" s="29">
        <v>5</v>
      </c>
      <c r="I238" s="29">
        <v>2</v>
      </c>
      <c r="J238" s="29">
        <v>3</v>
      </c>
      <c r="K238" s="30">
        <v>1</v>
      </c>
      <c r="L238" s="31">
        <f t="shared" si="22"/>
        <v>1.2620742499999997</v>
      </c>
      <c r="M238" s="32">
        <v>3.3564039999999999</v>
      </c>
      <c r="N238" s="32">
        <v>6.5571000000000004E-2</v>
      </c>
      <c r="O238" s="32">
        <v>1.1826570000000001</v>
      </c>
      <c r="P238" s="33">
        <v>9.4899999999999998E-2</v>
      </c>
      <c r="Q238" s="31">
        <f t="shared" si="23"/>
        <v>0.25010399999999999</v>
      </c>
      <c r="R238" s="32">
        <v>0</v>
      </c>
      <c r="S238" s="32">
        <v>0</v>
      </c>
      <c r="T238" s="32">
        <v>1.000416</v>
      </c>
      <c r="U238" s="33">
        <v>0</v>
      </c>
      <c r="V238" s="31">
        <f t="shared" si="24"/>
        <v>0.75810999999999995</v>
      </c>
      <c r="W238" s="32">
        <v>3.0324399999999998</v>
      </c>
      <c r="X238" s="32">
        <v>0</v>
      </c>
      <c r="Y238" s="32">
        <v>0</v>
      </c>
      <c r="Z238" s="33">
        <v>0</v>
      </c>
      <c r="AA238" s="31">
        <f t="shared" si="25"/>
        <v>0.1743825</v>
      </c>
      <c r="AB238" s="32">
        <v>0.283194</v>
      </c>
      <c r="AC238" s="33">
        <v>6.5571000000000004E-2</v>
      </c>
      <c r="AD238" s="31">
        <f t="shared" si="26"/>
        <v>7.947775E-2</v>
      </c>
      <c r="AE238" s="32">
        <v>4.0770000000000001E-2</v>
      </c>
      <c r="AF238" s="32">
        <v>0</v>
      </c>
      <c r="AG238" s="32">
        <v>0.18224099999999999</v>
      </c>
      <c r="AH238" s="33">
        <v>9.4899999999999998E-2</v>
      </c>
      <c r="AI238" s="31">
        <f t="shared" si="27"/>
        <v>3.4694469519536142E-17</v>
      </c>
      <c r="AJ238" s="32">
        <v>1.3877787807814457E-16</v>
      </c>
      <c r="AK238" s="32">
        <v>0</v>
      </c>
      <c r="AL238" s="32">
        <v>0</v>
      </c>
      <c r="AM238" s="34">
        <v>0</v>
      </c>
    </row>
    <row r="239" spans="1:39" x14ac:dyDescent="0.3">
      <c r="A239" s="24" t="s">
        <v>275</v>
      </c>
      <c r="B239" s="25" t="s">
        <v>53</v>
      </c>
      <c r="C239" s="25" t="s">
        <v>54</v>
      </c>
      <c r="D239" s="25" t="s">
        <v>21</v>
      </c>
      <c r="E239" s="26" t="s">
        <v>102</v>
      </c>
      <c r="F239" s="27">
        <v>2</v>
      </c>
      <c r="G239" s="28">
        <f t="shared" si="21"/>
        <v>6.75</v>
      </c>
      <c r="H239" s="29">
        <v>10</v>
      </c>
      <c r="I239" s="29">
        <v>9</v>
      </c>
      <c r="J239" s="29">
        <v>5</v>
      </c>
      <c r="K239" s="30">
        <v>3</v>
      </c>
      <c r="L239" s="31">
        <f t="shared" si="22"/>
        <v>2.8710104999999997</v>
      </c>
      <c r="M239" s="32">
        <v>2.782238</v>
      </c>
      <c r="N239" s="32">
        <v>3.6398250000000001</v>
      </c>
      <c r="O239" s="32">
        <v>3.0743299999999998</v>
      </c>
      <c r="P239" s="33">
        <v>1.1049249999999999</v>
      </c>
      <c r="Q239" s="31">
        <f t="shared" si="23"/>
        <v>0.42882349999999997</v>
      </c>
      <c r="R239" s="32">
        <v>1.5084439999999999</v>
      </c>
      <c r="S239" s="32">
        <v>0.20685000000000001</v>
      </c>
      <c r="T239" s="32">
        <v>0</v>
      </c>
      <c r="U239" s="33">
        <v>0</v>
      </c>
      <c r="V239" s="31">
        <f t="shared" si="24"/>
        <v>1.959465</v>
      </c>
      <c r="W239" s="32">
        <v>0.50912000000000002</v>
      </c>
      <c r="X239" s="32">
        <v>3.2480099999999998</v>
      </c>
      <c r="Y239" s="32">
        <v>3.0394399999999999</v>
      </c>
      <c r="Z239" s="33">
        <v>1.04129</v>
      </c>
      <c r="AA239" s="31">
        <f t="shared" si="25"/>
        <v>0.44136199999999998</v>
      </c>
      <c r="AB239" s="32">
        <v>0.76467399999999996</v>
      </c>
      <c r="AC239" s="33">
        <v>0.11805</v>
      </c>
      <c r="AD239" s="31">
        <f t="shared" si="26"/>
        <v>4.1360000000000001E-2</v>
      </c>
      <c r="AE239" s="32">
        <v>0</v>
      </c>
      <c r="AF239" s="32">
        <v>6.6915000000000002E-2</v>
      </c>
      <c r="AG239" s="32">
        <v>3.4889999999999997E-2</v>
      </c>
      <c r="AH239" s="33">
        <v>6.3634999999999997E-2</v>
      </c>
      <c r="AI239" s="31">
        <f t="shared" si="27"/>
        <v>2.7755575615628914E-17</v>
      </c>
      <c r="AJ239" s="32">
        <v>1.1102230246251565E-16</v>
      </c>
      <c r="AK239" s="32">
        <v>0</v>
      </c>
      <c r="AL239" s="32">
        <v>0</v>
      </c>
      <c r="AM239" s="34">
        <v>0</v>
      </c>
    </row>
    <row r="240" spans="1:39" x14ac:dyDescent="0.3">
      <c r="A240" s="24" t="s">
        <v>275</v>
      </c>
      <c r="B240" s="25" t="s">
        <v>53</v>
      </c>
      <c r="C240" s="25" t="s">
        <v>54</v>
      </c>
      <c r="D240" s="25" t="s">
        <v>21</v>
      </c>
      <c r="E240" s="26" t="s">
        <v>129</v>
      </c>
      <c r="F240" s="27">
        <v>2</v>
      </c>
      <c r="G240" s="28">
        <f t="shared" si="21"/>
        <v>2.75</v>
      </c>
      <c r="H240" s="29">
        <v>2</v>
      </c>
      <c r="I240" s="29">
        <v>4</v>
      </c>
      <c r="J240" s="29">
        <v>3</v>
      </c>
      <c r="K240" s="30">
        <v>2</v>
      </c>
      <c r="L240" s="31">
        <f t="shared" si="22"/>
        <v>1.6725675</v>
      </c>
      <c r="M240" s="32">
        <v>1.2238500000000001</v>
      </c>
      <c r="N240" s="32">
        <v>3.8449999999999998</v>
      </c>
      <c r="O240" s="32">
        <v>0.76032</v>
      </c>
      <c r="P240" s="33">
        <v>0.86109999999999998</v>
      </c>
      <c r="Q240" s="31">
        <f t="shared" si="23"/>
        <v>0.66547000000000001</v>
      </c>
      <c r="R240" s="32">
        <v>0</v>
      </c>
      <c r="S240" s="32">
        <v>2</v>
      </c>
      <c r="T240" s="32">
        <v>0.31580000000000003</v>
      </c>
      <c r="U240" s="33">
        <v>0.34608</v>
      </c>
      <c r="V240" s="31">
        <f t="shared" si="24"/>
        <v>1.0070975</v>
      </c>
      <c r="W240" s="32">
        <v>1.2238500000000001</v>
      </c>
      <c r="X240" s="32">
        <v>1.845</v>
      </c>
      <c r="Y240" s="32">
        <v>0.44452000000000003</v>
      </c>
      <c r="Z240" s="33">
        <v>0.51502000000000003</v>
      </c>
      <c r="AA240" s="31">
        <f t="shared" si="25"/>
        <v>0</v>
      </c>
      <c r="AB240" s="32">
        <v>0</v>
      </c>
      <c r="AC240" s="33">
        <v>0</v>
      </c>
      <c r="AD240" s="31">
        <f t="shared" si="26"/>
        <v>0</v>
      </c>
      <c r="AE240" s="32">
        <v>0</v>
      </c>
      <c r="AF240" s="32">
        <v>0</v>
      </c>
      <c r="AG240" s="32">
        <v>0</v>
      </c>
      <c r="AH240" s="33">
        <v>0</v>
      </c>
      <c r="AI240" s="31">
        <f t="shared" si="27"/>
        <v>0</v>
      </c>
      <c r="AJ240" s="32">
        <v>0</v>
      </c>
      <c r="AK240" s="32">
        <v>0</v>
      </c>
      <c r="AL240" s="32">
        <v>0</v>
      </c>
      <c r="AM240" s="34">
        <v>0</v>
      </c>
    </row>
    <row r="241" spans="1:39" x14ac:dyDescent="0.3">
      <c r="A241" s="24" t="s">
        <v>275</v>
      </c>
      <c r="B241" s="25" t="s">
        <v>53</v>
      </c>
      <c r="C241" s="25" t="s">
        <v>54</v>
      </c>
      <c r="D241" s="25" t="s">
        <v>21</v>
      </c>
      <c r="E241" s="26" t="s">
        <v>112</v>
      </c>
      <c r="F241" s="27">
        <v>14</v>
      </c>
      <c r="G241" s="28">
        <f t="shared" si="21"/>
        <v>43.5</v>
      </c>
      <c r="H241" s="29">
        <v>34</v>
      </c>
      <c r="I241" s="29">
        <v>80</v>
      </c>
      <c r="J241" s="29">
        <v>30</v>
      </c>
      <c r="K241" s="30">
        <v>30</v>
      </c>
      <c r="L241" s="31">
        <f t="shared" si="22"/>
        <v>28.329837749999999</v>
      </c>
      <c r="M241" s="32">
        <v>25.292950000000001</v>
      </c>
      <c r="N241" s="32">
        <v>48.159394999999996</v>
      </c>
      <c r="O241" s="32">
        <v>18.710972999999999</v>
      </c>
      <c r="P241" s="33">
        <v>18.123737999999999</v>
      </c>
      <c r="Q241" s="31">
        <f t="shared" si="23"/>
        <v>6.7444877499999993</v>
      </c>
      <c r="R241" s="32">
        <v>7.3534430000000004</v>
      </c>
      <c r="S241" s="32">
        <v>11.669525</v>
      </c>
      <c r="T241" s="32">
        <v>4.130196999999999</v>
      </c>
      <c r="U241" s="33">
        <v>3.824786</v>
      </c>
      <c r="V241" s="31">
        <f t="shared" si="24"/>
        <v>12.480495000000001</v>
      </c>
      <c r="W241" s="32">
        <v>7.6824300000000001</v>
      </c>
      <c r="X241" s="32">
        <v>28.977150000000002</v>
      </c>
      <c r="Y241" s="32">
        <v>6.6528700000000001</v>
      </c>
      <c r="Z241" s="33">
        <v>6.6095299999999995</v>
      </c>
      <c r="AA241" s="31">
        <f t="shared" si="25"/>
        <v>1.5161474999999998</v>
      </c>
      <c r="AB241" s="32">
        <v>1.3749929999999999</v>
      </c>
      <c r="AC241" s="33">
        <v>1.6573019999999998</v>
      </c>
      <c r="AD241" s="31">
        <f t="shared" si="26"/>
        <v>1.9662074999999999</v>
      </c>
      <c r="AE241" s="32">
        <v>0.32208399999999998</v>
      </c>
      <c r="AF241" s="32">
        <v>1.075418</v>
      </c>
      <c r="AG241" s="32">
        <v>2.827906</v>
      </c>
      <c r="AH241" s="33">
        <v>3.6394219999999997</v>
      </c>
      <c r="AI241" s="31">
        <f t="shared" si="27"/>
        <v>5.6224999999999978</v>
      </c>
      <c r="AJ241" s="32">
        <v>8.5599999999999987</v>
      </c>
      <c r="AK241" s="32">
        <v>4.7799999999999949</v>
      </c>
      <c r="AL241" s="32">
        <v>5.0999999999999996</v>
      </c>
      <c r="AM241" s="34">
        <v>4.0500000000000007</v>
      </c>
    </row>
    <row r="242" spans="1:39" x14ac:dyDescent="0.3">
      <c r="A242" s="24" t="s">
        <v>275</v>
      </c>
      <c r="B242" s="25" t="s">
        <v>53</v>
      </c>
      <c r="C242" s="25" t="s">
        <v>54</v>
      </c>
      <c r="D242" s="25" t="s">
        <v>21</v>
      </c>
      <c r="E242" s="26" t="s">
        <v>166</v>
      </c>
      <c r="F242" s="27">
        <v>7</v>
      </c>
      <c r="G242" s="28">
        <f t="shared" si="21"/>
        <v>40</v>
      </c>
      <c r="H242" s="29">
        <v>51</v>
      </c>
      <c r="I242" s="29">
        <v>49</v>
      </c>
      <c r="J242" s="29">
        <v>28</v>
      </c>
      <c r="K242" s="30">
        <v>32</v>
      </c>
      <c r="L242" s="31">
        <f t="shared" si="22"/>
        <v>24.045291500000005</v>
      </c>
      <c r="M242" s="32">
        <v>27.389132</v>
      </c>
      <c r="N242" s="32">
        <v>37.199763000000004</v>
      </c>
      <c r="O242" s="32">
        <v>13.677888999999999</v>
      </c>
      <c r="P242" s="33">
        <v>15.275623</v>
      </c>
      <c r="Q242" s="31">
        <f t="shared" si="23"/>
        <v>2.14383225</v>
      </c>
      <c r="R242" s="32">
        <v>3.3826939999999999</v>
      </c>
      <c r="S242" s="32">
        <v>3.794495</v>
      </c>
      <c r="T242" s="32">
        <v>1.3981399999999999</v>
      </c>
      <c r="U242" s="33">
        <v>0</v>
      </c>
      <c r="V242" s="31">
        <f t="shared" si="24"/>
        <v>19.818927500000001</v>
      </c>
      <c r="W242" s="32">
        <v>22.316890000000001</v>
      </c>
      <c r="X242" s="32">
        <v>31.332099999999997</v>
      </c>
      <c r="Y242" s="32">
        <v>11.145009999999999</v>
      </c>
      <c r="Z242" s="33">
        <v>14.48171</v>
      </c>
      <c r="AA242" s="31">
        <f t="shared" si="25"/>
        <v>1.3193795000000001</v>
      </c>
      <c r="AB242" s="32">
        <v>1.2009339999999999</v>
      </c>
      <c r="AC242" s="33">
        <v>1.4378250000000001</v>
      </c>
      <c r="AD242" s="31">
        <f t="shared" si="26"/>
        <v>0.76315224999999987</v>
      </c>
      <c r="AE242" s="32">
        <v>0.48861399999999999</v>
      </c>
      <c r="AF242" s="32">
        <v>0.63534299999999999</v>
      </c>
      <c r="AG242" s="32">
        <v>1.1347389999999999</v>
      </c>
      <c r="AH242" s="33">
        <v>0.79391299999999998</v>
      </c>
      <c r="AI242" s="31">
        <f t="shared" si="27"/>
        <v>2.3869795029440866E-15</v>
      </c>
      <c r="AJ242" s="32">
        <v>0</v>
      </c>
      <c r="AK242" s="32">
        <v>9.5479180117763462E-15</v>
      </c>
      <c r="AL242" s="32">
        <v>0</v>
      </c>
      <c r="AM242" s="34">
        <v>0</v>
      </c>
    </row>
    <row r="243" spans="1:39" x14ac:dyDescent="0.3">
      <c r="A243" s="24" t="s">
        <v>275</v>
      </c>
      <c r="B243" s="25" t="s">
        <v>53</v>
      </c>
      <c r="C243" s="25" t="s">
        <v>54</v>
      </c>
      <c r="D243" s="25" t="s">
        <v>25</v>
      </c>
      <c r="E243" s="26" t="s">
        <v>211</v>
      </c>
      <c r="F243" s="27">
        <v>1</v>
      </c>
      <c r="G243" s="28">
        <f t="shared" si="21"/>
        <v>3.5</v>
      </c>
      <c r="H243" s="29">
        <v>3</v>
      </c>
      <c r="I243" s="29">
        <v>4</v>
      </c>
      <c r="J243" s="29">
        <v>5</v>
      </c>
      <c r="K243" s="30">
        <v>2</v>
      </c>
      <c r="L243" s="31">
        <f t="shared" si="22"/>
        <v>1.7307717500000002</v>
      </c>
      <c r="M243" s="32">
        <v>1.3532500000000001</v>
      </c>
      <c r="N243" s="32">
        <v>2.56054</v>
      </c>
      <c r="O243" s="32">
        <v>2.514866</v>
      </c>
      <c r="P243" s="33">
        <v>0.49443100000000001</v>
      </c>
      <c r="Q243" s="31">
        <f t="shared" si="23"/>
        <v>7.5899999999999995E-2</v>
      </c>
      <c r="R243" s="32">
        <v>0.30359999999999998</v>
      </c>
      <c r="S243" s="32">
        <v>0</v>
      </c>
      <c r="T243" s="32">
        <v>0</v>
      </c>
      <c r="U243" s="33">
        <v>0</v>
      </c>
      <c r="V243" s="31">
        <f t="shared" si="24"/>
        <v>1.5708250000000001</v>
      </c>
      <c r="W243" s="32">
        <v>1.04965</v>
      </c>
      <c r="X243" s="32">
        <v>2.56054</v>
      </c>
      <c r="Y243" s="32">
        <v>2.3644500000000002</v>
      </c>
      <c r="Z243" s="33">
        <v>0.30865999999999999</v>
      </c>
      <c r="AA243" s="31">
        <f t="shared" si="25"/>
        <v>0</v>
      </c>
      <c r="AB243" s="32">
        <v>0</v>
      </c>
      <c r="AC243" s="33">
        <v>0</v>
      </c>
      <c r="AD243" s="31">
        <f t="shared" si="26"/>
        <v>8.4046750000000003E-2</v>
      </c>
      <c r="AE243" s="32">
        <v>0</v>
      </c>
      <c r="AF243" s="32">
        <v>0</v>
      </c>
      <c r="AG243" s="32">
        <v>0.15041599999999999</v>
      </c>
      <c r="AH243" s="33">
        <v>0.18577099999999999</v>
      </c>
      <c r="AI243" s="31">
        <f t="shared" si="27"/>
        <v>5.5511151231257827E-17</v>
      </c>
      <c r="AJ243" s="32">
        <v>2.2204460492503131E-16</v>
      </c>
      <c r="AK243" s="32">
        <v>0</v>
      </c>
      <c r="AL243" s="32">
        <v>0</v>
      </c>
      <c r="AM243" s="34">
        <v>0</v>
      </c>
    </row>
    <row r="244" spans="1:39" x14ac:dyDescent="0.3">
      <c r="A244" s="24" t="s">
        <v>275</v>
      </c>
      <c r="B244" s="25" t="s">
        <v>53</v>
      </c>
      <c r="C244" s="25" t="s">
        <v>54</v>
      </c>
      <c r="D244" s="25" t="s">
        <v>25</v>
      </c>
      <c r="E244" s="26" t="s">
        <v>198</v>
      </c>
      <c r="F244" s="27">
        <v>3</v>
      </c>
      <c r="G244" s="28">
        <f t="shared" si="21"/>
        <v>15</v>
      </c>
      <c r="H244" s="29">
        <v>12</v>
      </c>
      <c r="I244" s="29">
        <v>14</v>
      </c>
      <c r="J244" s="29">
        <v>18</v>
      </c>
      <c r="K244" s="30">
        <v>16</v>
      </c>
      <c r="L244" s="31">
        <f t="shared" si="22"/>
        <v>11.568456499999998</v>
      </c>
      <c r="M244" s="32">
        <v>8.9777059999999995</v>
      </c>
      <c r="N244" s="32">
        <v>13.678248</v>
      </c>
      <c r="O244" s="32">
        <v>14.351099</v>
      </c>
      <c r="P244" s="33">
        <v>9.2667730000000006</v>
      </c>
      <c r="Q244" s="31">
        <f t="shared" si="23"/>
        <v>0.80272900000000003</v>
      </c>
      <c r="R244" s="32">
        <v>0</v>
      </c>
      <c r="S244" s="32">
        <v>2.0321600000000002</v>
      </c>
      <c r="T244" s="32">
        <v>0.37740000000000001</v>
      </c>
      <c r="U244" s="33">
        <v>0.80135599999999996</v>
      </c>
      <c r="V244" s="31">
        <f t="shared" si="24"/>
        <v>9.98198425</v>
      </c>
      <c r="W244" s="32">
        <v>7.5261700000000005</v>
      </c>
      <c r="X244" s="32">
        <v>11.429468</v>
      </c>
      <c r="Y244" s="32">
        <v>13.389049</v>
      </c>
      <c r="Z244" s="33">
        <v>7.5832500000000005</v>
      </c>
      <c r="AA244" s="31">
        <f t="shared" si="25"/>
        <v>0</v>
      </c>
      <c r="AB244" s="32">
        <v>0</v>
      </c>
      <c r="AC244" s="33">
        <v>0</v>
      </c>
      <c r="AD244" s="31">
        <f t="shared" si="26"/>
        <v>0.70874324999999994</v>
      </c>
      <c r="AE244" s="32">
        <v>1.1515359999999999</v>
      </c>
      <c r="AF244" s="32">
        <v>0.21662000000000001</v>
      </c>
      <c r="AG244" s="32">
        <v>0.58465</v>
      </c>
      <c r="AH244" s="33">
        <v>0.88216700000000003</v>
      </c>
      <c r="AI244" s="31">
        <f t="shared" si="27"/>
        <v>7.4999999999999789E-2</v>
      </c>
      <c r="AJ244" s="32">
        <v>0.29999999999999916</v>
      </c>
      <c r="AK244" s="32">
        <v>0</v>
      </c>
      <c r="AL244" s="32">
        <v>0</v>
      </c>
      <c r="AM244" s="34">
        <v>0</v>
      </c>
    </row>
    <row r="245" spans="1:39" x14ac:dyDescent="0.3">
      <c r="A245" s="24" t="s">
        <v>275</v>
      </c>
      <c r="B245" s="25" t="s">
        <v>53</v>
      </c>
      <c r="C245" s="25" t="s">
        <v>54</v>
      </c>
      <c r="D245" s="25" t="s">
        <v>25</v>
      </c>
      <c r="E245" s="26" t="s">
        <v>71</v>
      </c>
      <c r="F245" s="27">
        <v>4</v>
      </c>
      <c r="G245" s="28">
        <f t="shared" si="21"/>
        <v>14</v>
      </c>
      <c r="H245" s="29">
        <v>20</v>
      </c>
      <c r="I245" s="29">
        <v>11</v>
      </c>
      <c r="J245" s="29">
        <v>16</v>
      </c>
      <c r="K245" s="30">
        <v>9</v>
      </c>
      <c r="L245" s="31">
        <f t="shared" si="22"/>
        <v>4.9325302500000001</v>
      </c>
      <c r="M245" s="32">
        <v>5.0386509999999998</v>
      </c>
      <c r="N245" s="32">
        <v>3.9615890000000005</v>
      </c>
      <c r="O245" s="32">
        <v>7.6285059999999998</v>
      </c>
      <c r="P245" s="33">
        <v>2.29244</v>
      </c>
      <c r="Q245" s="31">
        <f t="shared" si="23"/>
        <v>0.34465000000000001</v>
      </c>
      <c r="R245" s="32">
        <v>0.76662000000000008</v>
      </c>
      <c r="S245" s="32">
        <v>0</v>
      </c>
      <c r="T245" s="32">
        <v>0.30471999999999999</v>
      </c>
      <c r="U245" s="33">
        <v>0.30725999999999998</v>
      </c>
      <c r="V245" s="31">
        <f t="shared" si="24"/>
        <v>2.7962877499999998</v>
      </c>
      <c r="W245" s="32">
        <v>1.9276800000000001</v>
      </c>
      <c r="X245" s="32">
        <v>3.0009600000000001</v>
      </c>
      <c r="Y245" s="32">
        <v>5.2175510000000003</v>
      </c>
      <c r="Z245" s="33">
        <v>1.0389600000000001</v>
      </c>
      <c r="AA245" s="31">
        <f t="shared" si="25"/>
        <v>0.40446749999999998</v>
      </c>
      <c r="AB245" s="32">
        <v>0.70720099999999997</v>
      </c>
      <c r="AC245" s="33">
        <v>0.101734</v>
      </c>
      <c r="AD245" s="31">
        <f t="shared" si="26"/>
        <v>1.0871250000000001</v>
      </c>
      <c r="AE245" s="32">
        <v>1.6371499999999999</v>
      </c>
      <c r="AF245" s="32">
        <v>0.35889499999999996</v>
      </c>
      <c r="AG245" s="32">
        <v>1.4062350000000001</v>
      </c>
      <c r="AH245" s="33">
        <v>0.94622000000000006</v>
      </c>
      <c r="AI245" s="31">
        <f t="shared" si="27"/>
        <v>0.30000000000000004</v>
      </c>
      <c r="AJ245" s="32">
        <v>0</v>
      </c>
      <c r="AK245" s="32">
        <v>0.50000000000000044</v>
      </c>
      <c r="AL245" s="32">
        <v>0.69999999999999973</v>
      </c>
      <c r="AM245" s="34">
        <v>0</v>
      </c>
    </row>
    <row r="246" spans="1:39" x14ac:dyDescent="0.3">
      <c r="A246" s="24" t="s">
        <v>275</v>
      </c>
      <c r="B246" s="25" t="s">
        <v>53</v>
      </c>
      <c r="C246" s="25" t="s">
        <v>54</v>
      </c>
      <c r="D246" s="25" t="s">
        <v>25</v>
      </c>
      <c r="E246" s="26" t="s">
        <v>204</v>
      </c>
      <c r="F246" s="27">
        <v>3</v>
      </c>
      <c r="G246" s="28">
        <f t="shared" si="21"/>
        <v>5.25</v>
      </c>
      <c r="H246" s="29">
        <v>5</v>
      </c>
      <c r="I246" s="29">
        <v>9</v>
      </c>
      <c r="J246" s="29">
        <v>3</v>
      </c>
      <c r="K246" s="30">
        <v>4</v>
      </c>
      <c r="L246" s="31">
        <f t="shared" si="22"/>
        <v>2.9358300000000002</v>
      </c>
      <c r="M246" s="32">
        <v>3.6644200000000002</v>
      </c>
      <c r="N246" s="32">
        <v>4.8591799999999994</v>
      </c>
      <c r="O246" s="32">
        <v>1.56504</v>
      </c>
      <c r="P246" s="33">
        <v>1.6546799999999999</v>
      </c>
      <c r="Q246" s="31">
        <f t="shared" si="23"/>
        <v>0.34127249999999998</v>
      </c>
      <c r="R246" s="32">
        <v>0.30020000000000002</v>
      </c>
      <c r="S246" s="32">
        <v>0.1454</v>
      </c>
      <c r="T246" s="32">
        <v>0.91949000000000003</v>
      </c>
      <c r="U246" s="33">
        <v>0</v>
      </c>
      <c r="V246" s="31">
        <f t="shared" si="24"/>
        <v>2.3436249999999998</v>
      </c>
      <c r="W246" s="32">
        <v>3.3642200000000004</v>
      </c>
      <c r="X246" s="32">
        <v>4.7137799999999999</v>
      </c>
      <c r="Y246" s="32">
        <v>0</v>
      </c>
      <c r="Z246" s="33">
        <v>1.2965</v>
      </c>
      <c r="AA246" s="31">
        <f t="shared" si="25"/>
        <v>0</v>
      </c>
      <c r="AB246" s="32">
        <v>0</v>
      </c>
      <c r="AC246" s="33">
        <v>0</v>
      </c>
      <c r="AD246" s="31">
        <f t="shared" si="26"/>
        <v>1.3157500000000001E-2</v>
      </c>
      <c r="AE246" s="32">
        <v>0</v>
      </c>
      <c r="AF246" s="32">
        <v>0</v>
      </c>
      <c r="AG246" s="32">
        <v>0</v>
      </c>
      <c r="AH246" s="33">
        <v>5.2630000000000003E-2</v>
      </c>
      <c r="AI246" s="31">
        <f t="shared" si="27"/>
        <v>0.23777499999999996</v>
      </c>
      <c r="AJ246" s="32">
        <v>0</v>
      </c>
      <c r="AK246" s="32">
        <v>0</v>
      </c>
      <c r="AL246" s="32">
        <v>0.64554999999999996</v>
      </c>
      <c r="AM246" s="34">
        <v>0.30554999999999993</v>
      </c>
    </row>
    <row r="247" spans="1:39" x14ac:dyDescent="0.3">
      <c r="A247" s="24" t="s">
        <v>275</v>
      </c>
      <c r="B247" s="25" t="s">
        <v>53</v>
      </c>
      <c r="C247" s="25" t="s">
        <v>54</v>
      </c>
      <c r="D247" s="25" t="s">
        <v>25</v>
      </c>
      <c r="E247" s="26" t="s">
        <v>191</v>
      </c>
      <c r="F247" s="27">
        <v>1</v>
      </c>
      <c r="G247" s="28">
        <f t="shared" si="21"/>
        <v>3</v>
      </c>
      <c r="H247" s="29">
        <v>4</v>
      </c>
      <c r="I247" s="29">
        <v>5</v>
      </c>
      <c r="J247" s="29">
        <v>2</v>
      </c>
      <c r="K247" s="30">
        <v>1</v>
      </c>
      <c r="L247" s="31">
        <f t="shared" si="22"/>
        <v>3.0444374999999999</v>
      </c>
      <c r="M247" s="32">
        <v>3.3933200000000001</v>
      </c>
      <c r="N247" s="32">
        <v>3.7918500000000002</v>
      </c>
      <c r="O247" s="32">
        <v>4.2797799999999997</v>
      </c>
      <c r="P247" s="33">
        <v>0.71279999999999999</v>
      </c>
      <c r="Q247" s="31">
        <f t="shared" si="23"/>
        <v>0.12634999999999999</v>
      </c>
      <c r="R247" s="32">
        <v>0</v>
      </c>
      <c r="S247" s="32">
        <v>0.50539999999999996</v>
      </c>
      <c r="T247" s="32">
        <v>0</v>
      </c>
      <c r="U247" s="33">
        <v>0</v>
      </c>
      <c r="V247" s="31">
        <f t="shared" si="24"/>
        <v>2.9180874999999999</v>
      </c>
      <c r="W247" s="32">
        <v>3.3933200000000001</v>
      </c>
      <c r="X247" s="32">
        <v>3.2864499999999999</v>
      </c>
      <c r="Y247" s="32">
        <v>4.2797799999999997</v>
      </c>
      <c r="Z247" s="33">
        <v>0.71279999999999999</v>
      </c>
      <c r="AA247" s="31">
        <f t="shared" si="25"/>
        <v>0</v>
      </c>
      <c r="AB247" s="32">
        <v>0</v>
      </c>
      <c r="AC247" s="33">
        <v>0</v>
      </c>
      <c r="AD247" s="31">
        <f t="shared" si="26"/>
        <v>0</v>
      </c>
      <c r="AE247" s="32">
        <v>0</v>
      </c>
      <c r="AF247" s="32">
        <v>0</v>
      </c>
      <c r="AG247" s="32">
        <v>0</v>
      </c>
      <c r="AH247" s="33">
        <v>0</v>
      </c>
      <c r="AI247" s="31">
        <f t="shared" si="27"/>
        <v>1.1102230246251565E-16</v>
      </c>
      <c r="AJ247" s="32">
        <v>0</v>
      </c>
      <c r="AK247" s="32">
        <v>4.4408920985006262E-16</v>
      </c>
      <c r="AL247" s="32">
        <v>0</v>
      </c>
      <c r="AM247" s="34">
        <v>0</v>
      </c>
    </row>
    <row r="248" spans="1:39" x14ac:dyDescent="0.3">
      <c r="A248" s="24" t="s">
        <v>275</v>
      </c>
      <c r="B248" s="25" t="s">
        <v>53</v>
      </c>
      <c r="C248" s="25" t="s">
        <v>54</v>
      </c>
      <c r="D248" s="25" t="s">
        <v>25</v>
      </c>
      <c r="E248" s="26" t="s">
        <v>243</v>
      </c>
      <c r="F248" s="27">
        <v>1</v>
      </c>
      <c r="G248" s="28">
        <f t="shared" si="21"/>
        <v>2</v>
      </c>
      <c r="H248" s="29">
        <v>4</v>
      </c>
      <c r="I248" s="29">
        <v>4</v>
      </c>
      <c r="J248" s="29">
        <v>0</v>
      </c>
      <c r="K248" s="30">
        <v>0</v>
      </c>
      <c r="L248" s="31">
        <f t="shared" si="22"/>
        <v>1.9170275000000001</v>
      </c>
      <c r="M248" s="32">
        <v>5.4413200000000002</v>
      </c>
      <c r="N248" s="32">
        <v>2.2267899999999998</v>
      </c>
      <c r="O248" s="32">
        <v>0</v>
      </c>
      <c r="P248" s="33">
        <v>0</v>
      </c>
      <c r="Q248" s="31">
        <f t="shared" si="23"/>
        <v>0</v>
      </c>
      <c r="R248" s="32">
        <v>0</v>
      </c>
      <c r="S248" s="32">
        <v>0</v>
      </c>
      <c r="T248" s="32">
        <v>0</v>
      </c>
      <c r="U248" s="33">
        <v>0</v>
      </c>
      <c r="V248" s="31">
        <f t="shared" si="24"/>
        <v>1.9170275000000001</v>
      </c>
      <c r="W248" s="32">
        <v>5.4413200000000002</v>
      </c>
      <c r="X248" s="32">
        <v>2.2267899999999998</v>
      </c>
      <c r="Y248" s="32">
        <v>0</v>
      </c>
      <c r="Z248" s="33">
        <v>0</v>
      </c>
      <c r="AA248" s="31">
        <f t="shared" si="25"/>
        <v>0</v>
      </c>
      <c r="AB248" s="32">
        <v>0</v>
      </c>
      <c r="AC248" s="33">
        <v>0</v>
      </c>
      <c r="AD248" s="31">
        <f t="shared" si="26"/>
        <v>0</v>
      </c>
      <c r="AE248" s="32">
        <v>0</v>
      </c>
      <c r="AF248" s="32">
        <v>0</v>
      </c>
      <c r="AG248" s="32">
        <v>0</v>
      </c>
      <c r="AH248" s="33">
        <v>0</v>
      </c>
      <c r="AI248" s="31">
        <f t="shared" si="27"/>
        <v>0</v>
      </c>
      <c r="AJ248" s="32">
        <v>0</v>
      </c>
      <c r="AK248" s="32">
        <v>0</v>
      </c>
      <c r="AL248" s="32">
        <v>0</v>
      </c>
      <c r="AM248" s="34">
        <v>0</v>
      </c>
    </row>
    <row r="249" spans="1:39" x14ac:dyDescent="0.3">
      <c r="A249" s="24" t="s">
        <v>275</v>
      </c>
      <c r="B249" s="25" t="s">
        <v>53</v>
      </c>
      <c r="C249" s="25" t="s">
        <v>54</v>
      </c>
      <c r="D249" s="25" t="s">
        <v>25</v>
      </c>
      <c r="E249" s="26" t="s">
        <v>235</v>
      </c>
      <c r="F249" s="27">
        <v>2</v>
      </c>
      <c r="G249" s="28">
        <f t="shared" si="21"/>
        <v>0</v>
      </c>
      <c r="H249" s="29">
        <v>0</v>
      </c>
      <c r="I249" s="29">
        <v>0</v>
      </c>
      <c r="J249" s="29">
        <v>0</v>
      </c>
      <c r="K249" s="30">
        <v>0</v>
      </c>
      <c r="L249" s="31">
        <f t="shared" si="22"/>
        <v>0</v>
      </c>
      <c r="M249" s="32">
        <v>0</v>
      </c>
      <c r="N249" s="32">
        <v>0</v>
      </c>
      <c r="O249" s="32">
        <v>0</v>
      </c>
      <c r="P249" s="33">
        <v>0</v>
      </c>
      <c r="Q249" s="31">
        <f t="shared" si="23"/>
        <v>0</v>
      </c>
      <c r="R249" s="32">
        <v>0</v>
      </c>
      <c r="S249" s="32">
        <v>0</v>
      </c>
      <c r="T249" s="32">
        <v>0</v>
      </c>
      <c r="U249" s="33">
        <v>0</v>
      </c>
      <c r="V249" s="31">
        <f t="shared" si="24"/>
        <v>0</v>
      </c>
      <c r="W249" s="32">
        <v>0</v>
      </c>
      <c r="X249" s="32">
        <v>0</v>
      </c>
      <c r="Y249" s="32">
        <v>0</v>
      </c>
      <c r="Z249" s="33">
        <v>0</v>
      </c>
      <c r="AA249" s="31">
        <f t="shared" si="25"/>
        <v>0</v>
      </c>
      <c r="AB249" s="32">
        <v>0</v>
      </c>
      <c r="AC249" s="33">
        <v>0</v>
      </c>
      <c r="AD249" s="31">
        <f t="shared" si="26"/>
        <v>0</v>
      </c>
      <c r="AE249" s="32">
        <v>0</v>
      </c>
      <c r="AF249" s="32">
        <v>0</v>
      </c>
      <c r="AG249" s="32">
        <v>0</v>
      </c>
      <c r="AH249" s="33">
        <v>0</v>
      </c>
      <c r="AI249" s="31">
        <f t="shared" si="27"/>
        <v>0</v>
      </c>
      <c r="AJ249" s="32">
        <v>0</v>
      </c>
      <c r="AK249" s="32">
        <v>0</v>
      </c>
      <c r="AL249" s="32">
        <v>0</v>
      </c>
      <c r="AM249" s="34">
        <v>0</v>
      </c>
    </row>
    <row r="250" spans="1:39" x14ac:dyDescent="0.3">
      <c r="A250" s="24" t="s">
        <v>275</v>
      </c>
      <c r="B250" s="25" t="s">
        <v>53</v>
      </c>
      <c r="C250" s="25" t="s">
        <v>54</v>
      </c>
      <c r="D250" s="25" t="s">
        <v>25</v>
      </c>
      <c r="E250" s="26" t="s">
        <v>131</v>
      </c>
      <c r="F250" s="27">
        <v>5</v>
      </c>
      <c r="G250" s="28">
        <f t="shared" si="21"/>
        <v>21.5</v>
      </c>
      <c r="H250" s="29">
        <v>18</v>
      </c>
      <c r="I250" s="29">
        <v>32</v>
      </c>
      <c r="J250" s="29">
        <v>20</v>
      </c>
      <c r="K250" s="30">
        <v>16</v>
      </c>
      <c r="L250" s="31">
        <f t="shared" si="22"/>
        <v>12.072774500000001</v>
      </c>
      <c r="M250" s="32">
        <v>8.8766960000000008</v>
      </c>
      <c r="N250" s="32">
        <v>17.740682</v>
      </c>
      <c r="O250" s="32">
        <v>11.744313999999999</v>
      </c>
      <c r="P250" s="33">
        <v>9.2163400000000006</v>
      </c>
      <c r="Q250" s="31">
        <f t="shared" si="23"/>
        <v>1.9592117499999999</v>
      </c>
      <c r="R250" s="32">
        <v>0.13320000000000001</v>
      </c>
      <c r="S250" s="32">
        <v>2.225355</v>
      </c>
      <c r="T250" s="32">
        <v>3.0203819999999997</v>
      </c>
      <c r="U250" s="33">
        <v>2.45791</v>
      </c>
      <c r="V250" s="31">
        <f t="shared" si="24"/>
        <v>9.4134925000000003</v>
      </c>
      <c r="W250" s="32">
        <v>7.9909699999999999</v>
      </c>
      <c r="X250" s="32">
        <v>14.386649999999999</v>
      </c>
      <c r="Y250" s="32">
        <v>8.6835400000000007</v>
      </c>
      <c r="Z250" s="33">
        <v>6.5928100000000001</v>
      </c>
      <c r="AA250" s="31">
        <f t="shared" si="25"/>
        <v>0.35653299999999999</v>
      </c>
      <c r="AB250" s="32">
        <v>0.52634800000000004</v>
      </c>
      <c r="AC250" s="33">
        <v>0.186718</v>
      </c>
      <c r="AD250" s="31">
        <f t="shared" si="26"/>
        <v>0.34353725000000002</v>
      </c>
      <c r="AE250" s="32">
        <v>0.22617799999999999</v>
      </c>
      <c r="AF250" s="32">
        <v>0.94195899999999999</v>
      </c>
      <c r="AG250" s="32">
        <v>4.0391999999999997E-2</v>
      </c>
      <c r="AH250" s="33">
        <v>0.16561999999999999</v>
      </c>
      <c r="AI250" s="31">
        <f t="shared" si="27"/>
        <v>2.4980018054066022E-16</v>
      </c>
      <c r="AJ250" s="32">
        <v>4.4408920985006262E-16</v>
      </c>
      <c r="AK250" s="32">
        <v>0</v>
      </c>
      <c r="AL250" s="32">
        <v>0</v>
      </c>
      <c r="AM250" s="34">
        <v>5.5511151231257827E-16</v>
      </c>
    </row>
    <row r="251" spans="1:39" x14ac:dyDescent="0.3">
      <c r="A251" s="24" t="s">
        <v>275</v>
      </c>
      <c r="B251" s="25" t="s">
        <v>53</v>
      </c>
      <c r="C251" s="25" t="s">
        <v>54</v>
      </c>
      <c r="D251" s="25" t="s">
        <v>9</v>
      </c>
      <c r="E251" s="26" t="s">
        <v>242</v>
      </c>
      <c r="F251" s="27">
        <v>1</v>
      </c>
      <c r="G251" s="28">
        <f t="shared" si="21"/>
        <v>0.75</v>
      </c>
      <c r="H251" s="29">
        <v>0</v>
      </c>
      <c r="I251" s="29">
        <v>1</v>
      </c>
      <c r="J251" s="29">
        <v>1</v>
      </c>
      <c r="K251" s="30">
        <v>1</v>
      </c>
      <c r="L251" s="31">
        <f t="shared" si="22"/>
        <v>0.48214499999999999</v>
      </c>
      <c r="M251" s="32">
        <v>0</v>
      </c>
      <c r="N251" s="32">
        <v>1.5225599999999999</v>
      </c>
      <c r="O251" s="32">
        <v>0.1002</v>
      </c>
      <c r="P251" s="33">
        <v>0.30581999999999998</v>
      </c>
      <c r="Q251" s="31">
        <f t="shared" si="23"/>
        <v>0</v>
      </c>
      <c r="R251" s="32">
        <v>0</v>
      </c>
      <c r="S251" s="32">
        <v>0</v>
      </c>
      <c r="T251" s="32">
        <v>0</v>
      </c>
      <c r="U251" s="33">
        <v>0</v>
      </c>
      <c r="V251" s="31">
        <f t="shared" si="24"/>
        <v>0.48214499999999999</v>
      </c>
      <c r="W251" s="32">
        <v>0</v>
      </c>
      <c r="X251" s="32">
        <v>1.5225599999999999</v>
      </c>
      <c r="Y251" s="32">
        <v>0.1002</v>
      </c>
      <c r="Z251" s="33">
        <v>0.30581999999999998</v>
      </c>
      <c r="AA251" s="31">
        <f t="shared" si="25"/>
        <v>0</v>
      </c>
      <c r="AB251" s="32">
        <v>0</v>
      </c>
      <c r="AC251" s="33">
        <v>0</v>
      </c>
      <c r="AD251" s="31">
        <f t="shared" si="26"/>
        <v>0</v>
      </c>
      <c r="AE251" s="32">
        <v>0</v>
      </c>
      <c r="AF251" s="32">
        <v>0</v>
      </c>
      <c r="AG251" s="32">
        <v>0</v>
      </c>
      <c r="AH251" s="33">
        <v>0</v>
      </c>
      <c r="AI251" s="31">
        <f t="shared" si="27"/>
        <v>0</v>
      </c>
      <c r="AJ251" s="32">
        <v>0</v>
      </c>
      <c r="AK251" s="32">
        <v>0</v>
      </c>
      <c r="AL251" s="32">
        <v>0</v>
      </c>
      <c r="AM251" s="34">
        <v>0</v>
      </c>
    </row>
    <row r="252" spans="1:39" x14ac:dyDescent="0.3">
      <c r="A252" s="24" t="s">
        <v>275</v>
      </c>
      <c r="B252" s="25" t="s">
        <v>53</v>
      </c>
      <c r="C252" s="25" t="s">
        <v>54</v>
      </c>
      <c r="D252" s="25" t="s">
        <v>9</v>
      </c>
      <c r="E252" s="26" t="s">
        <v>94</v>
      </c>
      <c r="F252" s="27">
        <v>2</v>
      </c>
      <c r="G252" s="28">
        <f t="shared" si="21"/>
        <v>1.25</v>
      </c>
      <c r="H252" s="29">
        <v>0</v>
      </c>
      <c r="I252" s="29">
        <v>5</v>
      </c>
      <c r="J252" s="29">
        <v>0</v>
      </c>
      <c r="K252" s="30">
        <v>0</v>
      </c>
      <c r="L252" s="31">
        <f t="shared" si="22"/>
        <v>0.27653499999999998</v>
      </c>
      <c r="M252" s="32">
        <v>0</v>
      </c>
      <c r="N252" s="32">
        <v>1.1061399999999999</v>
      </c>
      <c r="O252" s="32">
        <v>0</v>
      </c>
      <c r="P252" s="33">
        <v>0</v>
      </c>
      <c r="Q252" s="31">
        <f t="shared" si="23"/>
        <v>8.1799999999999998E-2</v>
      </c>
      <c r="R252" s="32">
        <v>0</v>
      </c>
      <c r="S252" s="32">
        <v>0.32719999999999999</v>
      </c>
      <c r="T252" s="32">
        <v>0</v>
      </c>
      <c r="U252" s="33">
        <v>0</v>
      </c>
      <c r="V252" s="31">
        <f t="shared" si="24"/>
        <v>0.19473499999999999</v>
      </c>
      <c r="W252" s="32">
        <v>0</v>
      </c>
      <c r="X252" s="32">
        <v>0.77893999999999997</v>
      </c>
      <c r="Y252" s="32">
        <v>0</v>
      </c>
      <c r="Z252" s="33">
        <v>0</v>
      </c>
      <c r="AA252" s="31">
        <f t="shared" si="25"/>
        <v>0</v>
      </c>
      <c r="AB252" s="32">
        <v>0</v>
      </c>
      <c r="AC252" s="33">
        <v>0</v>
      </c>
      <c r="AD252" s="31">
        <f t="shared" si="26"/>
        <v>0</v>
      </c>
      <c r="AE252" s="32">
        <v>0</v>
      </c>
      <c r="AF252" s="32">
        <v>0</v>
      </c>
      <c r="AG252" s="32">
        <v>0</v>
      </c>
      <c r="AH252" s="33">
        <v>0</v>
      </c>
      <c r="AI252" s="31">
        <f t="shared" si="27"/>
        <v>0</v>
      </c>
      <c r="AJ252" s="32">
        <v>0</v>
      </c>
      <c r="AK252" s="32">
        <v>0</v>
      </c>
      <c r="AL252" s="32">
        <v>0</v>
      </c>
      <c r="AM252" s="34">
        <v>0</v>
      </c>
    </row>
    <row r="253" spans="1:39" x14ac:dyDescent="0.3">
      <c r="A253" s="24" t="s">
        <v>275</v>
      </c>
      <c r="B253" s="25" t="s">
        <v>53</v>
      </c>
      <c r="C253" s="25" t="s">
        <v>54</v>
      </c>
      <c r="D253" s="25" t="s">
        <v>9</v>
      </c>
      <c r="E253" s="26" t="s">
        <v>118</v>
      </c>
      <c r="F253" s="27">
        <v>38</v>
      </c>
      <c r="G253" s="28">
        <f t="shared" si="21"/>
        <v>95</v>
      </c>
      <c r="H253" s="29">
        <v>101</v>
      </c>
      <c r="I253" s="29">
        <v>140</v>
      </c>
      <c r="J253" s="29">
        <v>79</v>
      </c>
      <c r="K253" s="30">
        <v>60</v>
      </c>
      <c r="L253" s="31">
        <f t="shared" si="22"/>
        <v>53.353427249999996</v>
      </c>
      <c r="M253" s="32">
        <v>48.313752999999991</v>
      </c>
      <c r="N253" s="32">
        <v>86.578630000000018</v>
      </c>
      <c r="O253" s="32">
        <v>45.781874000000002</v>
      </c>
      <c r="P253" s="33">
        <v>28.907718000000003</v>
      </c>
      <c r="Q253" s="31">
        <f t="shared" si="23"/>
        <v>7.7481917499999993</v>
      </c>
      <c r="R253" s="32">
        <v>10.276163</v>
      </c>
      <c r="S253" s="32">
        <v>14.493900999999997</v>
      </c>
      <c r="T253" s="32">
        <v>3.675303</v>
      </c>
      <c r="U253" s="33">
        <v>2.5473999999999997</v>
      </c>
      <c r="V253" s="31">
        <f t="shared" si="24"/>
        <v>37.459046000000001</v>
      </c>
      <c r="W253" s="32">
        <v>34.901147000000002</v>
      </c>
      <c r="X253" s="32">
        <v>60.192785000000001</v>
      </c>
      <c r="Y253" s="32">
        <v>32.825962000000004</v>
      </c>
      <c r="Z253" s="33">
        <v>21.91629</v>
      </c>
      <c r="AA253" s="31">
        <f t="shared" si="25"/>
        <v>1.915867</v>
      </c>
      <c r="AB253" s="32">
        <v>1.5991570000000002</v>
      </c>
      <c r="AC253" s="33">
        <v>2.232577</v>
      </c>
      <c r="AD253" s="31">
        <f t="shared" si="26"/>
        <v>1.2589975000000002</v>
      </c>
      <c r="AE253" s="32">
        <v>0.48728600000000005</v>
      </c>
      <c r="AF253" s="32">
        <v>0.75936700000000001</v>
      </c>
      <c r="AG253" s="32">
        <v>1.9806090000000003</v>
      </c>
      <c r="AH253" s="33">
        <v>1.8087280000000001</v>
      </c>
      <c r="AI253" s="31">
        <f t="shared" si="27"/>
        <v>4.9713250000000038</v>
      </c>
      <c r="AJ253" s="32">
        <v>1.0499999999999925</v>
      </c>
      <c r="AK253" s="32">
        <v>8.9000000000000252</v>
      </c>
      <c r="AL253" s="32">
        <v>7.299999999999998</v>
      </c>
      <c r="AM253" s="34">
        <v>2.6353000000000026</v>
      </c>
    </row>
    <row r="254" spans="1:39" x14ac:dyDescent="0.3">
      <c r="A254" s="24" t="s">
        <v>275</v>
      </c>
      <c r="B254" s="25" t="s">
        <v>53</v>
      </c>
      <c r="C254" s="25" t="s">
        <v>54</v>
      </c>
      <c r="D254" s="25" t="s">
        <v>9</v>
      </c>
      <c r="E254" s="26" t="s">
        <v>92</v>
      </c>
      <c r="F254" s="27">
        <v>3</v>
      </c>
      <c r="G254" s="28">
        <f t="shared" si="21"/>
        <v>15.25</v>
      </c>
      <c r="H254" s="29">
        <v>11</v>
      </c>
      <c r="I254" s="29">
        <v>23</v>
      </c>
      <c r="J254" s="29">
        <v>17</v>
      </c>
      <c r="K254" s="30">
        <v>10</v>
      </c>
      <c r="L254" s="31">
        <f t="shared" si="22"/>
        <v>12.8587925</v>
      </c>
      <c r="M254" s="32">
        <v>5.6354740000000003</v>
      </c>
      <c r="N254" s="32">
        <v>37.079515000000001</v>
      </c>
      <c r="O254" s="32">
        <v>5.1105920000000005</v>
      </c>
      <c r="P254" s="33">
        <v>3.468826</v>
      </c>
      <c r="Q254" s="31">
        <f t="shared" si="23"/>
        <v>3.0079249999999997</v>
      </c>
      <c r="R254" s="32">
        <v>0</v>
      </c>
      <c r="S254" s="32">
        <v>11.03</v>
      </c>
      <c r="T254" s="32">
        <v>1.0017</v>
      </c>
      <c r="U254" s="33">
        <v>0</v>
      </c>
      <c r="V254" s="31">
        <f t="shared" si="24"/>
        <v>9.0979724999999991</v>
      </c>
      <c r="W254" s="32">
        <v>4.1760400000000004</v>
      </c>
      <c r="X254" s="32">
        <v>26.008759999999999</v>
      </c>
      <c r="Y254" s="32">
        <v>3.1794500000000001</v>
      </c>
      <c r="Z254" s="33">
        <v>3.0276399999999999</v>
      </c>
      <c r="AA254" s="31">
        <f t="shared" si="25"/>
        <v>7.03815E-2</v>
      </c>
      <c r="AB254" s="32">
        <v>0.140763</v>
      </c>
      <c r="AC254" s="33">
        <v>0</v>
      </c>
      <c r="AD254" s="31">
        <f t="shared" si="26"/>
        <v>0.36478349999999998</v>
      </c>
      <c r="AE254" s="32">
        <v>0.30647099999999999</v>
      </c>
      <c r="AF254" s="32">
        <v>4.0755E-2</v>
      </c>
      <c r="AG254" s="32">
        <v>0.92944199999999999</v>
      </c>
      <c r="AH254" s="33">
        <v>0.18246599999999999</v>
      </c>
      <c r="AI254" s="31">
        <f t="shared" si="27"/>
        <v>0.31773000000000018</v>
      </c>
      <c r="AJ254" s="32">
        <v>1.0122</v>
      </c>
      <c r="AK254" s="32">
        <v>7.6327832942979512E-16</v>
      </c>
      <c r="AL254" s="32">
        <v>0</v>
      </c>
      <c r="AM254" s="34">
        <v>0.25872000000000006</v>
      </c>
    </row>
    <row r="255" spans="1:39" x14ac:dyDescent="0.3">
      <c r="A255" s="24" t="s">
        <v>275</v>
      </c>
      <c r="B255" s="25" t="s">
        <v>53</v>
      </c>
      <c r="C255" s="25" t="s">
        <v>54</v>
      </c>
      <c r="D255" s="25" t="s">
        <v>9</v>
      </c>
      <c r="E255" s="26" t="s">
        <v>232</v>
      </c>
      <c r="F255" s="27">
        <v>2</v>
      </c>
      <c r="G255" s="28">
        <f t="shared" si="21"/>
        <v>3.25</v>
      </c>
      <c r="H255" s="29">
        <v>7</v>
      </c>
      <c r="I255" s="29">
        <v>3</v>
      </c>
      <c r="J255" s="29">
        <v>1</v>
      </c>
      <c r="K255" s="30">
        <v>2</v>
      </c>
      <c r="L255" s="31">
        <f t="shared" si="22"/>
        <v>1.5669939999999998</v>
      </c>
      <c r="M255" s="32">
        <v>3.7792760000000003</v>
      </c>
      <c r="N255" s="32">
        <v>1.7121900000000001</v>
      </c>
      <c r="O255" s="32">
        <v>0.40131</v>
      </c>
      <c r="P255" s="33">
        <v>0.37519999999999998</v>
      </c>
      <c r="Q255" s="31">
        <f t="shared" si="23"/>
        <v>0.1506275</v>
      </c>
      <c r="R255" s="32">
        <v>0</v>
      </c>
      <c r="S255" s="32">
        <v>0.20119999999999999</v>
      </c>
      <c r="T255" s="32">
        <v>0.40131</v>
      </c>
      <c r="U255" s="33">
        <v>0</v>
      </c>
      <c r="V255" s="31">
        <f t="shared" si="24"/>
        <v>1.3757874999999999</v>
      </c>
      <c r="W255" s="32">
        <v>3.6169600000000002</v>
      </c>
      <c r="X255" s="32">
        <v>1.5109900000000001</v>
      </c>
      <c r="Y255" s="32">
        <v>0</v>
      </c>
      <c r="Z255" s="33">
        <v>0.37519999999999998</v>
      </c>
      <c r="AA255" s="31">
        <f t="shared" si="25"/>
        <v>0</v>
      </c>
      <c r="AB255" s="32">
        <v>0</v>
      </c>
      <c r="AC255" s="33">
        <v>0</v>
      </c>
      <c r="AD255" s="31">
        <f t="shared" si="26"/>
        <v>4.0578999999999997E-2</v>
      </c>
      <c r="AE255" s="32">
        <v>0.16231599999999999</v>
      </c>
      <c r="AF255" s="32">
        <v>0</v>
      </c>
      <c r="AG255" s="32">
        <v>0</v>
      </c>
      <c r="AH255" s="33">
        <v>0</v>
      </c>
      <c r="AI255" s="31">
        <f t="shared" si="27"/>
        <v>0</v>
      </c>
      <c r="AJ255" s="32">
        <v>0</v>
      </c>
      <c r="AK255" s="32">
        <v>0</v>
      </c>
      <c r="AL255" s="32">
        <v>0</v>
      </c>
      <c r="AM255" s="34">
        <v>0</v>
      </c>
    </row>
    <row r="256" spans="1:39" x14ac:dyDescent="0.3">
      <c r="A256" s="24" t="s">
        <v>275</v>
      </c>
      <c r="B256" s="25" t="s">
        <v>53</v>
      </c>
      <c r="C256" s="25" t="s">
        <v>54</v>
      </c>
      <c r="D256" s="25" t="s">
        <v>9</v>
      </c>
      <c r="E256" s="26" t="s">
        <v>110</v>
      </c>
      <c r="F256" s="27">
        <v>9</v>
      </c>
      <c r="G256" s="28">
        <f t="shared" si="21"/>
        <v>30.25</v>
      </c>
      <c r="H256" s="29">
        <v>28</v>
      </c>
      <c r="I256" s="29">
        <v>46</v>
      </c>
      <c r="J256" s="29">
        <v>23</v>
      </c>
      <c r="K256" s="30">
        <v>24</v>
      </c>
      <c r="L256" s="31">
        <f t="shared" si="22"/>
        <v>18.06313725</v>
      </c>
      <c r="M256" s="32">
        <v>17.16958</v>
      </c>
      <c r="N256" s="32">
        <v>24.253689999999995</v>
      </c>
      <c r="O256" s="32">
        <v>11.753534</v>
      </c>
      <c r="P256" s="33">
        <v>15.880696</v>
      </c>
      <c r="Q256" s="31">
        <f t="shared" si="23"/>
        <v>2.7149020000000004</v>
      </c>
      <c r="R256" s="32">
        <v>1.0117499999999999</v>
      </c>
      <c r="S256" s="32">
        <v>4.639068</v>
      </c>
      <c r="T256" s="32">
        <v>2.3136200000000002</v>
      </c>
      <c r="U256" s="33">
        <v>2.8951700000000002</v>
      </c>
      <c r="V256" s="31">
        <f t="shared" si="24"/>
        <v>12.717171500000001</v>
      </c>
      <c r="W256" s="32">
        <v>14.365340000000002</v>
      </c>
      <c r="X256" s="32">
        <v>15.720593999999998</v>
      </c>
      <c r="Y256" s="32">
        <v>8.2561100000000014</v>
      </c>
      <c r="Z256" s="33">
        <v>12.526642000000001</v>
      </c>
      <c r="AA256" s="31">
        <f t="shared" si="25"/>
        <v>1.5975245</v>
      </c>
      <c r="AB256" s="32">
        <v>1.6575040000000001</v>
      </c>
      <c r="AC256" s="33">
        <v>1.5375450000000002</v>
      </c>
      <c r="AD256" s="31">
        <f t="shared" si="26"/>
        <v>0.43137425000000001</v>
      </c>
      <c r="AE256" s="32">
        <v>0.13498599999999999</v>
      </c>
      <c r="AF256" s="32">
        <v>0.35648299999999999</v>
      </c>
      <c r="AG256" s="32">
        <v>0.77514400000000006</v>
      </c>
      <c r="AH256" s="33">
        <v>0.45888400000000001</v>
      </c>
      <c r="AI256" s="31">
        <f t="shared" si="27"/>
        <v>0.60216499999999928</v>
      </c>
      <c r="AJ256" s="32">
        <v>0</v>
      </c>
      <c r="AK256" s="32">
        <v>1.9999999999999987</v>
      </c>
      <c r="AL256" s="32">
        <v>0.40865999999999847</v>
      </c>
      <c r="AM256" s="34">
        <v>0</v>
      </c>
    </row>
    <row r="257" spans="1:39" x14ac:dyDescent="0.3">
      <c r="A257" s="24" t="s">
        <v>275</v>
      </c>
      <c r="B257" s="25" t="s">
        <v>53</v>
      </c>
      <c r="C257" s="25" t="s">
        <v>54</v>
      </c>
      <c r="D257" s="25" t="s">
        <v>9</v>
      </c>
      <c r="E257" s="26" t="s">
        <v>240</v>
      </c>
      <c r="F257" s="27">
        <v>1</v>
      </c>
      <c r="G257" s="28">
        <f t="shared" si="21"/>
        <v>5.5</v>
      </c>
      <c r="H257" s="29">
        <v>4</v>
      </c>
      <c r="I257" s="29">
        <v>5</v>
      </c>
      <c r="J257" s="29">
        <v>8</v>
      </c>
      <c r="K257" s="30">
        <v>5</v>
      </c>
      <c r="L257" s="31">
        <f t="shared" si="22"/>
        <v>5.0112249999999996</v>
      </c>
      <c r="M257" s="32">
        <v>6.0913199999999996</v>
      </c>
      <c r="N257" s="32">
        <v>3.2052200000000002</v>
      </c>
      <c r="O257" s="32">
        <v>4.1276999999999999</v>
      </c>
      <c r="P257" s="33">
        <v>6.62066</v>
      </c>
      <c r="Q257" s="31">
        <f t="shared" si="23"/>
        <v>5.1249999999999997E-2</v>
      </c>
      <c r="R257" s="32">
        <v>0</v>
      </c>
      <c r="S257" s="32">
        <v>0.20499999999999999</v>
      </c>
      <c r="T257" s="32">
        <v>0</v>
      </c>
      <c r="U257" s="33">
        <v>0</v>
      </c>
      <c r="V257" s="31">
        <f t="shared" si="24"/>
        <v>4.9364499999999998</v>
      </c>
      <c r="W257" s="32">
        <v>6.0913199999999996</v>
      </c>
      <c r="X257" s="32">
        <v>3.0002200000000001</v>
      </c>
      <c r="Y257" s="32">
        <v>4.0335999999999999</v>
      </c>
      <c r="Z257" s="33">
        <v>6.62066</v>
      </c>
      <c r="AA257" s="31">
        <f t="shared" si="25"/>
        <v>0</v>
      </c>
      <c r="AB257" s="32">
        <v>0</v>
      </c>
      <c r="AC257" s="33">
        <v>0</v>
      </c>
      <c r="AD257" s="31">
        <f t="shared" si="26"/>
        <v>2.3525000000000001E-2</v>
      </c>
      <c r="AE257" s="32">
        <v>0</v>
      </c>
      <c r="AF257" s="32">
        <v>0</v>
      </c>
      <c r="AG257" s="32">
        <v>9.4100000000000003E-2</v>
      </c>
      <c r="AH257" s="33">
        <v>0</v>
      </c>
      <c r="AI257" s="31">
        <f t="shared" si="27"/>
        <v>0</v>
      </c>
      <c r="AJ257" s="32">
        <v>0</v>
      </c>
      <c r="AK257" s="32">
        <v>0</v>
      </c>
      <c r="AL257" s="32">
        <v>0</v>
      </c>
      <c r="AM257" s="34">
        <v>0</v>
      </c>
    </row>
    <row r="258" spans="1:39" x14ac:dyDescent="0.3">
      <c r="A258" s="24" t="s">
        <v>275</v>
      </c>
      <c r="B258" s="25" t="s">
        <v>53</v>
      </c>
      <c r="C258" s="25" t="s">
        <v>54</v>
      </c>
      <c r="D258" s="25" t="s">
        <v>5</v>
      </c>
      <c r="E258" s="26" t="s">
        <v>87</v>
      </c>
      <c r="F258" s="27">
        <v>13</v>
      </c>
      <c r="G258" s="28">
        <f t="shared" si="21"/>
        <v>47</v>
      </c>
      <c r="H258" s="29">
        <v>22</v>
      </c>
      <c r="I258" s="29">
        <v>73</v>
      </c>
      <c r="J258" s="29">
        <v>56</v>
      </c>
      <c r="K258" s="30">
        <v>37</v>
      </c>
      <c r="L258" s="31">
        <f t="shared" si="22"/>
        <v>39.738400499999997</v>
      </c>
      <c r="M258" s="32">
        <v>12.040706</v>
      </c>
      <c r="N258" s="32">
        <v>64.976898999999989</v>
      </c>
      <c r="O258" s="32">
        <v>47.390132000000001</v>
      </c>
      <c r="P258" s="33">
        <v>33.997100000000003</v>
      </c>
      <c r="Q258" s="31">
        <f t="shared" si="23"/>
        <v>0.97338000000000002</v>
      </c>
      <c r="R258" s="32">
        <v>0.52769999999999995</v>
      </c>
      <c r="S258" s="32">
        <v>0.30199999999999999</v>
      </c>
      <c r="T258" s="32">
        <v>2.7336</v>
      </c>
      <c r="U258" s="33">
        <v>0.33022000000000001</v>
      </c>
      <c r="V258" s="31">
        <f t="shared" si="24"/>
        <v>37.684190749999999</v>
      </c>
      <c r="W258" s="32">
        <v>10.180530000000001</v>
      </c>
      <c r="X258" s="32">
        <v>63.904491999999991</v>
      </c>
      <c r="Y258" s="32">
        <v>44.007390999999991</v>
      </c>
      <c r="Z258" s="33">
        <v>32.644350000000003</v>
      </c>
      <c r="AA258" s="31">
        <f t="shared" si="25"/>
        <v>0.27438249999999997</v>
      </c>
      <c r="AB258" s="32">
        <v>0.27835799999999999</v>
      </c>
      <c r="AC258" s="33">
        <v>0.27040700000000001</v>
      </c>
      <c r="AD258" s="31">
        <f t="shared" si="26"/>
        <v>0.33144724999999997</v>
      </c>
      <c r="AE258" s="32">
        <v>0.25411800000000001</v>
      </c>
      <c r="AF258" s="32">
        <v>0</v>
      </c>
      <c r="AG258" s="32">
        <v>0.44914099999999996</v>
      </c>
      <c r="AH258" s="33">
        <v>0.62252999999999992</v>
      </c>
      <c r="AI258" s="31">
        <f t="shared" si="27"/>
        <v>0.47500000000000053</v>
      </c>
      <c r="AJ258" s="32">
        <v>0.79999999999999982</v>
      </c>
      <c r="AK258" s="32">
        <v>0.49999999999999162</v>
      </c>
      <c r="AL258" s="32">
        <v>0.20000000000000734</v>
      </c>
      <c r="AM258" s="34">
        <v>0.40000000000000335</v>
      </c>
    </row>
    <row r="259" spans="1:39" x14ac:dyDescent="0.3">
      <c r="A259" s="24" t="s">
        <v>275</v>
      </c>
      <c r="B259" s="25" t="s">
        <v>53</v>
      </c>
      <c r="C259" s="25" t="s">
        <v>54</v>
      </c>
      <c r="D259" s="25" t="s">
        <v>5</v>
      </c>
      <c r="E259" s="26" t="s">
        <v>209</v>
      </c>
      <c r="F259" s="27">
        <v>1</v>
      </c>
      <c r="G259" s="28">
        <f t="shared" si="21"/>
        <v>0.25</v>
      </c>
      <c r="H259" s="29">
        <v>1</v>
      </c>
      <c r="I259" s="29">
        <v>0</v>
      </c>
      <c r="J259" s="29">
        <v>0</v>
      </c>
      <c r="K259" s="30">
        <v>0</v>
      </c>
      <c r="L259" s="31">
        <f t="shared" si="22"/>
        <v>2.1677499999999999E-2</v>
      </c>
      <c r="M259" s="32">
        <v>4.3354999999999998E-2</v>
      </c>
      <c r="N259" s="32">
        <v>0</v>
      </c>
      <c r="O259" s="32">
        <v>0</v>
      </c>
      <c r="P259" s="33">
        <v>0</v>
      </c>
      <c r="Q259" s="31">
        <f t="shared" si="23"/>
        <v>0</v>
      </c>
      <c r="R259" s="32">
        <v>0</v>
      </c>
      <c r="S259" s="32">
        <v>0</v>
      </c>
      <c r="T259" s="32">
        <v>0</v>
      </c>
      <c r="U259" s="33">
        <v>0</v>
      </c>
      <c r="V259" s="31">
        <f t="shared" si="24"/>
        <v>0</v>
      </c>
      <c r="W259" s="32">
        <v>0</v>
      </c>
      <c r="X259" s="32">
        <v>0</v>
      </c>
      <c r="Y259" s="32">
        <v>0</v>
      </c>
      <c r="Z259" s="33">
        <v>0</v>
      </c>
      <c r="AA259" s="31">
        <f t="shared" si="25"/>
        <v>2.1677499999999999E-2</v>
      </c>
      <c r="AB259" s="32">
        <v>4.3354999999999998E-2</v>
      </c>
      <c r="AC259" s="33">
        <v>0</v>
      </c>
      <c r="AD259" s="31">
        <f t="shared" si="26"/>
        <v>0</v>
      </c>
      <c r="AE259" s="32">
        <v>0</v>
      </c>
      <c r="AF259" s="32">
        <v>0</v>
      </c>
      <c r="AG259" s="32">
        <v>0</v>
      </c>
      <c r="AH259" s="33">
        <v>0</v>
      </c>
      <c r="AI259" s="31">
        <f t="shared" si="27"/>
        <v>0</v>
      </c>
      <c r="AJ259" s="32">
        <v>0</v>
      </c>
      <c r="AK259" s="32">
        <v>0</v>
      </c>
      <c r="AL259" s="32">
        <v>0</v>
      </c>
      <c r="AM259" s="34">
        <v>0</v>
      </c>
    </row>
    <row r="260" spans="1:39" x14ac:dyDescent="0.3">
      <c r="A260" s="24" t="s">
        <v>275</v>
      </c>
      <c r="B260" s="25" t="s">
        <v>53</v>
      </c>
      <c r="C260" s="25" t="s">
        <v>54</v>
      </c>
      <c r="D260" s="25" t="s">
        <v>5</v>
      </c>
      <c r="E260" s="26" t="s">
        <v>221</v>
      </c>
      <c r="F260" s="27">
        <v>1</v>
      </c>
      <c r="G260" s="28">
        <f t="shared" si="21"/>
        <v>0</v>
      </c>
      <c r="H260" s="29">
        <v>0</v>
      </c>
      <c r="I260" s="29">
        <v>0</v>
      </c>
      <c r="J260" s="29">
        <v>0</v>
      </c>
      <c r="K260" s="30">
        <v>0</v>
      </c>
      <c r="L260" s="31">
        <f t="shared" si="22"/>
        <v>0</v>
      </c>
      <c r="M260" s="32">
        <v>0</v>
      </c>
      <c r="N260" s="32">
        <v>0</v>
      </c>
      <c r="O260" s="32">
        <v>0</v>
      </c>
      <c r="P260" s="33">
        <v>0</v>
      </c>
      <c r="Q260" s="31">
        <f t="shared" si="23"/>
        <v>0</v>
      </c>
      <c r="R260" s="32">
        <v>0</v>
      </c>
      <c r="S260" s="32">
        <v>0</v>
      </c>
      <c r="T260" s="32">
        <v>0</v>
      </c>
      <c r="U260" s="33">
        <v>0</v>
      </c>
      <c r="V260" s="31">
        <f t="shared" si="24"/>
        <v>0</v>
      </c>
      <c r="W260" s="32">
        <v>0</v>
      </c>
      <c r="X260" s="32">
        <v>0</v>
      </c>
      <c r="Y260" s="32">
        <v>0</v>
      </c>
      <c r="Z260" s="33">
        <v>0</v>
      </c>
      <c r="AA260" s="31">
        <f t="shared" si="25"/>
        <v>0</v>
      </c>
      <c r="AB260" s="32">
        <v>0</v>
      </c>
      <c r="AC260" s="33">
        <v>0</v>
      </c>
      <c r="AD260" s="31">
        <f t="shared" si="26"/>
        <v>0</v>
      </c>
      <c r="AE260" s="32">
        <v>0</v>
      </c>
      <c r="AF260" s="32">
        <v>0</v>
      </c>
      <c r="AG260" s="32">
        <v>0</v>
      </c>
      <c r="AH260" s="33">
        <v>0</v>
      </c>
      <c r="AI260" s="31">
        <f t="shared" si="27"/>
        <v>0</v>
      </c>
      <c r="AJ260" s="32">
        <v>0</v>
      </c>
      <c r="AK260" s="32">
        <v>0</v>
      </c>
      <c r="AL260" s="32">
        <v>0</v>
      </c>
      <c r="AM260" s="34">
        <v>0</v>
      </c>
    </row>
    <row r="261" spans="1:39" x14ac:dyDescent="0.3">
      <c r="A261" s="24" t="s">
        <v>275</v>
      </c>
      <c r="B261" s="25" t="s">
        <v>53</v>
      </c>
      <c r="C261" s="25" t="s">
        <v>54</v>
      </c>
      <c r="D261" s="25" t="s">
        <v>5</v>
      </c>
      <c r="E261" s="26" t="s">
        <v>115</v>
      </c>
      <c r="F261" s="27">
        <v>2</v>
      </c>
      <c r="G261" s="28">
        <f t="shared" si="21"/>
        <v>1</v>
      </c>
      <c r="H261" s="29">
        <v>1</v>
      </c>
      <c r="I261" s="29">
        <v>1</v>
      </c>
      <c r="J261" s="29">
        <v>0</v>
      </c>
      <c r="K261" s="30">
        <v>2</v>
      </c>
      <c r="L261" s="31">
        <f t="shared" si="22"/>
        <v>0.35390825000000004</v>
      </c>
      <c r="M261" s="32">
        <v>0.50541999999999998</v>
      </c>
      <c r="N261" s="32">
        <v>0.31086000000000003</v>
      </c>
      <c r="O261" s="32">
        <v>0</v>
      </c>
      <c r="P261" s="33">
        <v>0.59935300000000002</v>
      </c>
      <c r="Q261" s="31">
        <f t="shared" si="23"/>
        <v>0.20407</v>
      </c>
      <c r="R261" s="32">
        <v>0.50541999999999998</v>
      </c>
      <c r="S261" s="32">
        <v>0.31086000000000003</v>
      </c>
      <c r="T261" s="32">
        <v>0</v>
      </c>
      <c r="U261" s="33">
        <v>0</v>
      </c>
      <c r="V261" s="31">
        <f t="shared" si="24"/>
        <v>0.12792500000000001</v>
      </c>
      <c r="W261" s="32">
        <v>0</v>
      </c>
      <c r="X261" s="32">
        <v>0</v>
      </c>
      <c r="Y261" s="32">
        <v>0</v>
      </c>
      <c r="Z261" s="33">
        <v>0.51170000000000004</v>
      </c>
      <c r="AA261" s="31">
        <f t="shared" si="25"/>
        <v>0</v>
      </c>
      <c r="AB261" s="32">
        <v>0</v>
      </c>
      <c r="AC261" s="33">
        <v>0</v>
      </c>
      <c r="AD261" s="31">
        <f t="shared" si="26"/>
        <v>2.1913249999999999E-2</v>
      </c>
      <c r="AE261" s="32">
        <v>0</v>
      </c>
      <c r="AF261" s="32">
        <v>0</v>
      </c>
      <c r="AG261" s="32">
        <v>0</v>
      </c>
      <c r="AH261" s="33">
        <v>8.7652999999999995E-2</v>
      </c>
      <c r="AI261" s="31">
        <f t="shared" si="27"/>
        <v>0</v>
      </c>
      <c r="AJ261" s="32">
        <v>0</v>
      </c>
      <c r="AK261" s="32">
        <v>0</v>
      </c>
      <c r="AL261" s="32">
        <v>0</v>
      </c>
      <c r="AM261" s="34">
        <v>0</v>
      </c>
    </row>
    <row r="262" spans="1:39" x14ac:dyDescent="0.3">
      <c r="A262" s="24" t="s">
        <v>275</v>
      </c>
      <c r="B262" s="25" t="s">
        <v>53</v>
      </c>
      <c r="C262" s="25" t="s">
        <v>54</v>
      </c>
      <c r="D262" s="25" t="s">
        <v>14</v>
      </c>
      <c r="E262" s="26" t="s">
        <v>65</v>
      </c>
      <c r="F262" s="27">
        <v>3</v>
      </c>
      <c r="G262" s="28">
        <f t="shared" si="21"/>
        <v>8.25</v>
      </c>
      <c r="H262" s="29">
        <v>2</v>
      </c>
      <c r="I262" s="29">
        <v>12</v>
      </c>
      <c r="J262" s="29">
        <v>7</v>
      </c>
      <c r="K262" s="30">
        <v>12</v>
      </c>
      <c r="L262" s="31">
        <f t="shared" si="22"/>
        <v>7.1726782500000006</v>
      </c>
      <c r="M262" s="32">
        <v>2.2100679999999997</v>
      </c>
      <c r="N262" s="32">
        <v>8.6517039999999987</v>
      </c>
      <c r="O262" s="32">
        <v>8.4591180000000001</v>
      </c>
      <c r="P262" s="33">
        <v>9.3698230000000002</v>
      </c>
      <c r="Q262" s="31">
        <f t="shared" si="23"/>
        <v>0.86178699999999997</v>
      </c>
      <c r="R262" s="32">
        <v>0.200928</v>
      </c>
      <c r="S262" s="32">
        <v>2.4350200000000002</v>
      </c>
      <c r="T262" s="32">
        <v>0</v>
      </c>
      <c r="U262" s="33">
        <v>0.81120000000000003</v>
      </c>
      <c r="V262" s="31">
        <f t="shared" si="24"/>
        <v>6.2250567500000002</v>
      </c>
      <c r="W262" s="32">
        <v>2.0091399999999999</v>
      </c>
      <c r="X262" s="32">
        <v>6.0567139999999995</v>
      </c>
      <c r="Y262" s="32">
        <v>8.2757500000000004</v>
      </c>
      <c r="Z262" s="33">
        <v>8.558622999999999</v>
      </c>
      <c r="AA262" s="31">
        <f t="shared" si="25"/>
        <v>0</v>
      </c>
      <c r="AB262" s="32">
        <v>0</v>
      </c>
      <c r="AC262" s="33">
        <v>0</v>
      </c>
      <c r="AD262" s="31">
        <f t="shared" si="26"/>
        <v>8.5834500000000008E-2</v>
      </c>
      <c r="AE262" s="32">
        <v>0</v>
      </c>
      <c r="AF262" s="32">
        <v>0.15997</v>
      </c>
      <c r="AG262" s="32">
        <v>0.183368</v>
      </c>
      <c r="AH262" s="33">
        <v>0</v>
      </c>
      <c r="AI262" s="31">
        <f t="shared" si="27"/>
        <v>4.4408920985006262E-16</v>
      </c>
      <c r="AJ262" s="32">
        <v>0</v>
      </c>
      <c r="AK262" s="35">
        <v>0</v>
      </c>
      <c r="AL262" s="32">
        <v>0</v>
      </c>
      <c r="AM262" s="34">
        <v>1.7763568394002505E-15</v>
      </c>
    </row>
    <row r="263" spans="1:39" x14ac:dyDescent="0.3">
      <c r="A263" s="24" t="s">
        <v>275</v>
      </c>
      <c r="B263" s="25" t="s">
        <v>53</v>
      </c>
      <c r="C263" s="25" t="s">
        <v>54</v>
      </c>
      <c r="D263" s="25" t="s">
        <v>14</v>
      </c>
      <c r="E263" s="26" t="s">
        <v>128</v>
      </c>
      <c r="F263" s="27">
        <v>3</v>
      </c>
      <c r="G263" s="28">
        <f t="shared" si="21"/>
        <v>4.5</v>
      </c>
      <c r="H263" s="29">
        <v>8</v>
      </c>
      <c r="I263" s="29">
        <v>6</v>
      </c>
      <c r="J263" s="29">
        <v>3</v>
      </c>
      <c r="K263" s="30">
        <v>1</v>
      </c>
      <c r="L263" s="31">
        <f t="shared" si="22"/>
        <v>2.1417147500000002</v>
      </c>
      <c r="M263" s="32">
        <v>4.6558080000000004</v>
      </c>
      <c r="N263" s="32">
        <v>1.9333940000000001</v>
      </c>
      <c r="O263" s="32">
        <v>1.557075</v>
      </c>
      <c r="P263" s="33">
        <v>0.30124000000000001</v>
      </c>
      <c r="Q263" s="31">
        <f t="shared" si="23"/>
        <v>0.11515</v>
      </c>
      <c r="R263" s="32">
        <v>0.24299999999999999</v>
      </c>
      <c r="S263" s="32">
        <v>0.21759999999999999</v>
      </c>
      <c r="T263" s="32">
        <v>0</v>
      </c>
      <c r="U263" s="33">
        <v>0</v>
      </c>
      <c r="V263" s="31">
        <f t="shared" si="24"/>
        <v>1.6665699999999999</v>
      </c>
      <c r="W263" s="32">
        <v>4.32864</v>
      </c>
      <c r="X263" s="32">
        <v>1.63554</v>
      </c>
      <c r="Y263" s="32">
        <v>0.40085999999999999</v>
      </c>
      <c r="Z263" s="33">
        <v>0.30124000000000001</v>
      </c>
      <c r="AA263" s="31">
        <f t="shared" si="25"/>
        <v>5.9671000000000002E-2</v>
      </c>
      <c r="AB263" s="32">
        <v>3.9087999999999998E-2</v>
      </c>
      <c r="AC263" s="33">
        <v>8.0254000000000006E-2</v>
      </c>
      <c r="AD263" s="31">
        <f t="shared" si="26"/>
        <v>5.032375E-2</v>
      </c>
      <c r="AE263" s="32">
        <v>4.5080000000000002E-2</v>
      </c>
      <c r="AF263" s="32">
        <v>0</v>
      </c>
      <c r="AG263" s="32">
        <v>0.15621499999999999</v>
      </c>
      <c r="AH263" s="33">
        <v>0</v>
      </c>
      <c r="AI263" s="31">
        <f t="shared" si="27"/>
        <v>0.25</v>
      </c>
      <c r="AJ263" s="32">
        <v>0</v>
      </c>
      <c r="AK263" s="32">
        <v>4.163336342344337E-17</v>
      </c>
      <c r="AL263" s="32">
        <v>1</v>
      </c>
      <c r="AM263" s="34">
        <v>0</v>
      </c>
    </row>
    <row r="264" spans="1:39" x14ac:dyDescent="0.3">
      <c r="A264" s="24" t="s">
        <v>275</v>
      </c>
      <c r="B264" s="25" t="s">
        <v>53</v>
      </c>
      <c r="C264" s="25" t="s">
        <v>54</v>
      </c>
      <c r="D264" s="25" t="s">
        <v>14</v>
      </c>
      <c r="E264" s="26" t="s">
        <v>227</v>
      </c>
      <c r="F264" s="27">
        <v>1</v>
      </c>
      <c r="G264" s="28">
        <f t="shared" ref="G264:G269" si="28">SUM(H264:K264)/4</f>
        <v>4.75</v>
      </c>
      <c r="H264" s="29">
        <v>7</v>
      </c>
      <c r="I264" s="29">
        <v>7</v>
      </c>
      <c r="J264" s="29">
        <v>2</v>
      </c>
      <c r="K264" s="30">
        <v>3</v>
      </c>
      <c r="L264" s="31">
        <f t="shared" ref="L264:L269" si="29">Q264+V264+AA264+AD264+AI264</f>
        <v>2.861393500000001</v>
      </c>
      <c r="M264" s="32">
        <v>4.5155419999999999</v>
      </c>
      <c r="N264" s="32">
        <v>4.4129500000000004</v>
      </c>
      <c r="O264" s="32">
        <v>1.0561</v>
      </c>
      <c r="P264" s="33">
        <v>1.33927</v>
      </c>
      <c r="Q264" s="31">
        <f t="shared" ref="Q264:Q269" si="30">SUM(R264:U264)/4</f>
        <v>0.1009125</v>
      </c>
      <c r="R264" s="32">
        <v>0</v>
      </c>
      <c r="S264" s="32">
        <v>0.40365000000000001</v>
      </c>
      <c r="T264" s="32">
        <v>0</v>
      </c>
      <c r="U264" s="33">
        <v>0</v>
      </c>
      <c r="V264" s="31">
        <f t="shared" ref="V264:V269" si="31">SUM(W264:Z264)/4</f>
        <v>2.6869500000000004</v>
      </c>
      <c r="W264" s="32">
        <v>4.3938300000000003</v>
      </c>
      <c r="X264" s="32">
        <v>4.0092999999999996</v>
      </c>
      <c r="Y264" s="32">
        <v>1.0054000000000001</v>
      </c>
      <c r="Z264" s="33">
        <v>1.33927</v>
      </c>
      <c r="AA264" s="31">
        <f t="shared" ref="AA264:AA269" si="32">SUM(AB264:AC264)/2</f>
        <v>6.0856E-2</v>
      </c>
      <c r="AB264" s="32">
        <v>0.121712</v>
      </c>
      <c r="AC264" s="33">
        <v>0</v>
      </c>
      <c r="AD264" s="31">
        <f t="shared" ref="AD264:AD269" si="33">SUM(AE264:AH264)/4</f>
        <v>1.2675000000000001E-2</v>
      </c>
      <c r="AE264" s="32">
        <v>0</v>
      </c>
      <c r="AF264" s="32">
        <v>0</v>
      </c>
      <c r="AG264" s="32">
        <v>5.0700000000000002E-2</v>
      </c>
      <c r="AH264" s="33">
        <v>0</v>
      </c>
      <c r="AI264" s="31">
        <f t="shared" ref="AI264:AI269" si="34">SUM(AJ264:AM264)/4</f>
        <v>2.2204460492503131E-16</v>
      </c>
      <c r="AJ264" s="32">
        <v>0</v>
      </c>
      <c r="AK264" s="32">
        <v>8.8817841970012523E-16</v>
      </c>
      <c r="AL264" s="32">
        <v>0</v>
      </c>
      <c r="AM264" s="34">
        <v>0</v>
      </c>
    </row>
    <row r="265" spans="1:39" x14ac:dyDescent="0.3">
      <c r="A265" s="24" t="s">
        <v>275</v>
      </c>
      <c r="B265" s="25" t="s">
        <v>53</v>
      </c>
      <c r="C265" s="25" t="s">
        <v>54</v>
      </c>
      <c r="D265" s="25" t="s">
        <v>14</v>
      </c>
      <c r="E265" s="26" t="s">
        <v>186</v>
      </c>
      <c r="F265" s="27">
        <v>2</v>
      </c>
      <c r="G265" s="28">
        <f t="shared" si="28"/>
        <v>11.5</v>
      </c>
      <c r="H265" s="29">
        <v>12</v>
      </c>
      <c r="I265" s="29">
        <v>8</v>
      </c>
      <c r="J265" s="29">
        <v>16</v>
      </c>
      <c r="K265" s="30">
        <v>10</v>
      </c>
      <c r="L265" s="31">
        <f t="shared" si="29"/>
        <v>6.0024697500000004</v>
      </c>
      <c r="M265" s="32">
        <v>6.9383900000000001</v>
      </c>
      <c r="N265" s="32">
        <v>5.0807380000000002</v>
      </c>
      <c r="O265" s="32">
        <v>9.7155509999999996</v>
      </c>
      <c r="P265" s="33">
        <v>2.1885469999999998</v>
      </c>
      <c r="Q265" s="31">
        <f t="shared" si="30"/>
        <v>0.70321900000000004</v>
      </c>
      <c r="R265" s="32">
        <v>0</v>
      </c>
      <c r="S265" s="32">
        <v>0.81188400000000005</v>
      </c>
      <c r="T265" s="32">
        <v>2.0009920000000001</v>
      </c>
      <c r="U265" s="33">
        <v>0</v>
      </c>
      <c r="V265" s="31">
        <f t="shared" si="31"/>
        <v>4.5681125000000007</v>
      </c>
      <c r="W265" s="32">
        <v>6.9383900000000001</v>
      </c>
      <c r="X265" s="32">
        <v>2.8741899999999996</v>
      </c>
      <c r="Y265" s="32">
        <v>7.0443699999999998</v>
      </c>
      <c r="Z265" s="33">
        <v>1.4155</v>
      </c>
      <c r="AA265" s="31">
        <f t="shared" si="32"/>
        <v>4.3326499999999997E-2</v>
      </c>
      <c r="AB265" s="32">
        <v>0</v>
      </c>
      <c r="AC265" s="33">
        <v>8.6652999999999994E-2</v>
      </c>
      <c r="AD265" s="31">
        <f t="shared" si="33"/>
        <v>0.43395925000000002</v>
      </c>
      <c r="AE265" s="32">
        <v>0</v>
      </c>
      <c r="AF265" s="32">
        <v>0.292601</v>
      </c>
      <c r="AG265" s="32">
        <v>0.67018899999999992</v>
      </c>
      <c r="AH265" s="33">
        <v>0.77304700000000004</v>
      </c>
      <c r="AI265" s="31">
        <f t="shared" si="34"/>
        <v>0.25385250000000015</v>
      </c>
      <c r="AJ265" s="32">
        <v>0</v>
      </c>
      <c r="AK265" s="32">
        <v>1.0154100000000006</v>
      </c>
      <c r="AL265" s="32">
        <v>0</v>
      </c>
      <c r="AM265" s="34">
        <v>0</v>
      </c>
    </row>
    <row r="266" spans="1:39" x14ac:dyDescent="0.3">
      <c r="A266" s="24" t="s">
        <v>275</v>
      </c>
      <c r="B266" s="25" t="s">
        <v>53</v>
      </c>
      <c r="C266" s="25" t="s">
        <v>54</v>
      </c>
      <c r="D266" s="25" t="s">
        <v>14</v>
      </c>
      <c r="E266" s="26" t="s">
        <v>109</v>
      </c>
      <c r="F266" s="27">
        <v>3</v>
      </c>
      <c r="G266" s="28">
        <f t="shared" si="28"/>
        <v>17.25</v>
      </c>
      <c r="H266" s="29">
        <v>26</v>
      </c>
      <c r="I266" s="29">
        <v>22</v>
      </c>
      <c r="J266" s="29">
        <v>8</v>
      </c>
      <c r="K266" s="30">
        <v>13</v>
      </c>
      <c r="L266" s="31">
        <f t="shared" si="29"/>
        <v>8.2310344999999998</v>
      </c>
      <c r="M266" s="32">
        <v>11.564260000000001</v>
      </c>
      <c r="N266" s="32">
        <v>11.681278000000001</v>
      </c>
      <c r="O266" s="32">
        <v>4.1327199999999999</v>
      </c>
      <c r="P266" s="33">
        <v>5.4009699999999992</v>
      </c>
      <c r="Q266" s="31">
        <f t="shared" si="30"/>
        <v>1.463897</v>
      </c>
      <c r="R266" s="32">
        <v>1.96408</v>
      </c>
      <c r="S266" s="32">
        <v>3.4162080000000001</v>
      </c>
      <c r="T266" s="32">
        <v>0</v>
      </c>
      <c r="U266" s="33">
        <v>0.47530000000000006</v>
      </c>
      <c r="V266" s="31">
        <f t="shared" si="31"/>
        <v>4.2814649999999999</v>
      </c>
      <c r="W266" s="32">
        <v>6.9647800000000002</v>
      </c>
      <c r="X266" s="32">
        <v>6.6560000000000006</v>
      </c>
      <c r="Y266" s="32">
        <v>1.2827200000000001</v>
      </c>
      <c r="Z266" s="33">
        <v>2.2223600000000001</v>
      </c>
      <c r="AA266" s="31">
        <f t="shared" si="32"/>
        <v>7.2455000000000006E-2</v>
      </c>
      <c r="AB266" s="32">
        <v>0</v>
      </c>
      <c r="AC266" s="33">
        <v>0.14491000000000001</v>
      </c>
      <c r="AD266" s="31">
        <f t="shared" si="33"/>
        <v>2.58275E-2</v>
      </c>
      <c r="AE266" s="32">
        <v>0</v>
      </c>
      <c r="AF266" s="32">
        <v>0</v>
      </c>
      <c r="AG266" s="32">
        <v>0</v>
      </c>
      <c r="AH266" s="33">
        <v>0.10331</v>
      </c>
      <c r="AI266" s="31">
        <f t="shared" si="34"/>
        <v>2.3873900000000003</v>
      </c>
      <c r="AJ266" s="32">
        <v>2.6354000000000015</v>
      </c>
      <c r="AK266" s="32">
        <v>1.4641600000000008</v>
      </c>
      <c r="AL266" s="32">
        <v>2.8499999999999996</v>
      </c>
      <c r="AM266" s="34">
        <v>2.5999999999999992</v>
      </c>
    </row>
    <row r="267" spans="1:39" x14ac:dyDescent="0.3">
      <c r="A267" s="24" t="s">
        <v>275</v>
      </c>
      <c r="B267" s="25" t="s">
        <v>53</v>
      </c>
      <c r="C267" s="25" t="s">
        <v>54</v>
      </c>
      <c r="D267" s="25" t="s">
        <v>14</v>
      </c>
      <c r="E267" s="26" t="s">
        <v>107</v>
      </c>
      <c r="F267" s="27">
        <v>13</v>
      </c>
      <c r="G267" s="28">
        <f t="shared" si="28"/>
        <v>60.75</v>
      </c>
      <c r="H267" s="29">
        <v>35</v>
      </c>
      <c r="I267" s="29">
        <v>67</v>
      </c>
      <c r="J267" s="29">
        <v>70</v>
      </c>
      <c r="K267" s="30">
        <v>71</v>
      </c>
      <c r="L267" s="31">
        <f t="shared" si="29"/>
        <v>50.593423750000007</v>
      </c>
      <c r="M267" s="32">
        <v>18.979773000000002</v>
      </c>
      <c r="N267" s="32">
        <v>44.581941</v>
      </c>
      <c r="O267" s="32">
        <v>74.824167000000003</v>
      </c>
      <c r="P267" s="33">
        <v>62.957298000000002</v>
      </c>
      <c r="Q267" s="31">
        <f t="shared" si="30"/>
        <v>3.0130319999999999</v>
      </c>
      <c r="R267" s="32">
        <v>2.2483079999999998</v>
      </c>
      <c r="S267" s="32">
        <v>4.65463</v>
      </c>
      <c r="T267" s="32">
        <v>3.1907899999999998</v>
      </c>
      <c r="U267" s="33">
        <v>1.9584000000000001</v>
      </c>
      <c r="V267" s="31">
        <f t="shared" si="31"/>
        <v>45.546038500000002</v>
      </c>
      <c r="W267" s="32">
        <v>14.462231000000001</v>
      </c>
      <c r="X267" s="32">
        <v>38.168073</v>
      </c>
      <c r="Y267" s="32">
        <v>69.846720000000005</v>
      </c>
      <c r="Z267" s="33">
        <v>59.707129999999999</v>
      </c>
      <c r="AA267" s="31">
        <f t="shared" si="32"/>
        <v>0.51525799999999999</v>
      </c>
      <c r="AB267" s="32">
        <v>0.23016700000000001</v>
      </c>
      <c r="AC267" s="33">
        <v>0.80034899999999998</v>
      </c>
      <c r="AD267" s="31">
        <f t="shared" si="33"/>
        <v>0.63159525000000005</v>
      </c>
      <c r="AE267" s="32">
        <v>0.73906700000000003</v>
      </c>
      <c r="AF267" s="32">
        <v>0.41888900000000001</v>
      </c>
      <c r="AG267" s="32">
        <v>0.67665700000000006</v>
      </c>
      <c r="AH267" s="33">
        <v>0.69176800000000005</v>
      </c>
      <c r="AI267" s="31">
        <f t="shared" si="34"/>
        <v>0.88749999999999962</v>
      </c>
      <c r="AJ267" s="32">
        <v>1.2999999999999994</v>
      </c>
      <c r="AK267" s="32">
        <v>0.54000000000000337</v>
      </c>
      <c r="AL267" s="32">
        <v>1.109999999999991</v>
      </c>
      <c r="AM267" s="34">
        <v>0.60000000000000464</v>
      </c>
    </row>
    <row r="268" spans="1:39" x14ac:dyDescent="0.3">
      <c r="A268" s="24" t="s">
        <v>275</v>
      </c>
      <c r="B268" s="25" t="s">
        <v>53</v>
      </c>
      <c r="C268" s="25" t="s">
        <v>54</v>
      </c>
      <c r="D268" s="25" t="s">
        <v>14</v>
      </c>
      <c r="E268" s="26" t="s">
        <v>121</v>
      </c>
      <c r="F268" s="27">
        <v>1</v>
      </c>
      <c r="G268" s="28">
        <f t="shared" si="28"/>
        <v>1</v>
      </c>
      <c r="H268" s="29">
        <v>0</v>
      </c>
      <c r="I268" s="29">
        <v>3</v>
      </c>
      <c r="J268" s="29">
        <v>1</v>
      </c>
      <c r="K268" s="30">
        <v>0</v>
      </c>
      <c r="L268" s="31">
        <f t="shared" si="29"/>
        <v>0.26028000000000001</v>
      </c>
      <c r="M268" s="32">
        <v>0</v>
      </c>
      <c r="N268" s="32">
        <v>0.88612000000000002</v>
      </c>
      <c r="O268" s="32">
        <v>0.155</v>
      </c>
      <c r="P268" s="33">
        <v>0</v>
      </c>
      <c r="Q268" s="31">
        <f t="shared" si="30"/>
        <v>5.3449999999999998E-2</v>
      </c>
      <c r="R268" s="32">
        <v>0</v>
      </c>
      <c r="S268" s="32">
        <v>0.21379999999999999</v>
      </c>
      <c r="T268" s="32">
        <v>0</v>
      </c>
      <c r="U268" s="33">
        <v>0</v>
      </c>
      <c r="V268" s="31">
        <f t="shared" si="31"/>
        <v>0.20683000000000001</v>
      </c>
      <c r="W268" s="32">
        <v>0</v>
      </c>
      <c r="X268" s="32">
        <v>0.67232000000000003</v>
      </c>
      <c r="Y268" s="32">
        <v>0.155</v>
      </c>
      <c r="Z268" s="33">
        <v>0</v>
      </c>
      <c r="AA268" s="31">
        <f t="shared" si="32"/>
        <v>0</v>
      </c>
      <c r="AB268" s="32">
        <v>0</v>
      </c>
      <c r="AC268" s="33">
        <v>0</v>
      </c>
      <c r="AD268" s="31">
        <f t="shared" si="33"/>
        <v>0</v>
      </c>
      <c r="AE268" s="32">
        <v>0</v>
      </c>
      <c r="AF268" s="32">
        <v>0</v>
      </c>
      <c r="AG268" s="32">
        <v>0</v>
      </c>
      <c r="AH268" s="33">
        <v>0</v>
      </c>
      <c r="AI268" s="31">
        <f t="shared" si="34"/>
        <v>0</v>
      </c>
      <c r="AJ268" s="32">
        <v>0</v>
      </c>
      <c r="AK268" s="32">
        <v>0</v>
      </c>
      <c r="AL268" s="32">
        <v>0</v>
      </c>
      <c r="AM268" s="34">
        <v>0</v>
      </c>
    </row>
    <row r="269" spans="1:39" x14ac:dyDescent="0.3">
      <c r="A269" s="36" t="s">
        <v>275</v>
      </c>
      <c r="B269" s="37" t="s">
        <v>53</v>
      </c>
      <c r="C269" s="37" t="s">
        <v>54</v>
      </c>
      <c r="D269" s="37" t="s">
        <v>14</v>
      </c>
      <c r="E269" s="38" t="s">
        <v>241</v>
      </c>
      <c r="F269" s="39">
        <v>1</v>
      </c>
      <c r="G269" s="40">
        <f t="shared" si="28"/>
        <v>1.75</v>
      </c>
      <c r="H269" s="41">
        <v>1</v>
      </c>
      <c r="I269" s="41">
        <v>2</v>
      </c>
      <c r="J269" s="41">
        <v>2</v>
      </c>
      <c r="K269" s="42">
        <v>2</v>
      </c>
      <c r="L269" s="43">
        <f t="shared" si="29"/>
        <v>1.07494</v>
      </c>
      <c r="M269" s="44">
        <v>1.0095499999999999</v>
      </c>
      <c r="N269" s="44">
        <v>0.97923000000000004</v>
      </c>
      <c r="O269" s="44">
        <v>0.88904000000000005</v>
      </c>
      <c r="P269" s="45">
        <v>1.42194</v>
      </c>
      <c r="Q269" s="43">
        <f t="shared" si="30"/>
        <v>0.20373250000000001</v>
      </c>
      <c r="R269" s="44">
        <v>0</v>
      </c>
      <c r="S269" s="44">
        <v>0.81493000000000004</v>
      </c>
      <c r="T269" s="44">
        <v>0</v>
      </c>
      <c r="U269" s="45">
        <v>0</v>
      </c>
      <c r="V269" s="43">
        <f t="shared" si="31"/>
        <v>0.87120749999999991</v>
      </c>
      <c r="W269" s="44">
        <v>1.0095499999999999</v>
      </c>
      <c r="X269" s="44">
        <v>0.1643</v>
      </c>
      <c r="Y269" s="44">
        <v>0.88904000000000005</v>
      </c>
      <c r="Z269" s="45">
        <v>1.42194</v>
      </c>
      <c r="AA269" s="43">
        <f t="shared" si="32"/>
        <v>0</v>
      </c>
      <c r="AB269" s="44">
        <v>0</v>
      </c>
      <c r="AC269" s="45">
        <v>0</v>
      </c>
      <c r="AD269" s="43">
        <f t="shared" si="33"/>
        <v>0</v>
      </c>
      <c r="AE269" s="44">
        <v>0</v>
      </c>
      <c r="AF269" s="44">
        <v>0</v>
      </c>
      <c r="AG269" s="44">
        <v>0</v>
      </c>
      <c r="AH269" s="45">
        <v>0</v>
      </c>
      <c r="AI269" s="43">
        <f t="shared" si="34"/>
        <v>0</v>
      </c>
      <c r="AJ269" s="44">
        <v>0</v>
      </c>
      <c r="AK269" s="44">
        <v>0</v>
      </c>
      <c r="AL269" s="44">
        <v>0</v>
      </c>
      <c r="AM269" s="46">
        <v>0</v>
      </c>
    </row>
    <row r="270" spans="1:39" x14ac:dyDescent="0.3">
      <c r="F270" s="47">
        <f>SUM(F7:F269)</f>
        <v>6473</v>
      </c>
      <c r="G270" s="47">
        <f t="shared" ref="G270:AM270" si="35">SUM(G7:G269)</f>
        <v>4782.5</v>
      </c>
      <c r="H270" s="47">
        <f t="shared" si="35"/>
        <v>4751</v>
      </c>
      <c r="I270" s="47">
        <f t="shared" si="35"/>
        <v>5275</v>
      </c>
      <c r="J270" s="47">
        <f t="shared" si="35"/>
        <v>4458</v>
      </c>
      <c r="K270" s="47">
        <f t="shared" si="35"/>
        <v>4646</v>
      </c>
      <c r="L270" s="47">
        <f t="shared" si="35"/>
        <v>2843.3358992500016</v>
      </c>
      <c r="M270" s="47">
        <f t="shared" si="35"/>
        <v>2585.3348349999992</v>
      </c>
      <c r="N270" s="47">
        <f t="shared" si="35"/>
        <v>3063.4424150000009</v>
      </c>
      <c r="O270" s="47">
        <f t="shared" si="35"/>
        <v>2760.7014049999984</v>
      </c>
      <c r="P270" s="47">
        <f t="shared" si="35"/>
        <v>2490.9112100000002</v>
      </c>
      <c r="Q270" s="47">
        <f t="shared" si="35"/>
        <v>922.44434650000017</v>
      </c>
      <c r="R270" s="47">
        <f t="shared" si="35"/>
        <v>923.53011700000002</v>
      </c>
      <c r="S270" s="47">
        <f t="shared" si="35"/>
        <v>1016.5370069999998</v>
      </c>
      <c r="T270" s="47">
        <f t="shared" si="35"/>
        <v>959.09357200000068</v>
      </c>
      <c r="U270" s="47">
        <f t="shared" si="35"/>
        <v>790.61669000000018</v>
      </c>
      <c r="V270" s="47">
        <f t="shared" si="35"/>
        <v>1215.2249619999998</v>
      </c>
      <c r="W270" s="47">
        <f t="shared" si="35"/>
        <v>1009.7755399999999</v>
      </c>
      <c r="X270" s="47">
        <f t="shared" si="35"/>
        <v>1465.1250039999995</v>
      </c>
      <c r="Y270" s="47">
        <f t="shared" si="35"/>
        <v>1245.7478430000006</v>
      </c>
      <c r="Z270" s="47">
        <f t="shared" si="35"/>
        <v>1140.2514610000003</v>
      </c>
      <c r="AA270" s="47">
        <f t="shared" si="35"/>
        <v>236.476866</v>
      </c>
      <c r="AB270" s="47">
        <f t="shared" si="35"/>
        <v>282.8925910000001</v>
      </c>
      <c r="AC270" s="47">
        <f t="shared" si="35"/>
        <v>190.06114100000002</v>
      </c>
      <c r="AD270" s="47">
        <f t="shared" si="35"/>
        <v>222.36051474999994</v>
      </c>
      <c r="AE270" s="47">
        <f t="shared" si="35"/>
        <v>96.660926999999958</v>
      </c>
      <c r="AF270" s="47">
        <f t="shared" si="35"/>
        <v>151.96810299999993</v>
      </c>
      <c r="AG270" s="47">
        <f t="shared" si="35"/>
        <v>292.47973999999999</v>
      </c>
      <c r="AH270" s="47">
        <f t="shared" si="35"/>
        <v>348.33328899999987</v>
      </c>
      <c r="AI270" s="47">
        <f t="shared" si="35"/>
        <v>246.8292099999999</v>
      </c>
      <c r="AJ270" s="47">
        <f t="shared" si="35"/>
        <v>272.47566</v>
      </c>
      <c r="AK270" s="47">
        <f t="shared" si="35"/>
        <v>239.75115999999997</v>
      </c>
      <c r="AL270" s="47">
        <f t="shared" si="35"/>
        <v>263.38024999999999</v>
      </c>
      <c r="AM270" s="47">
        <f t="shared" si="35"/>
        <v>211.70976999999991</v>
      </c>
    </row>
  </sheetData>
  <mergeCells count="6">
    <mergeCell ref="F5:F6"/>
    <mergeCell ref="A5:A6"/>
    <mergeCell ref="B5:B6"/>
    <mergeCell ref="C5:C6"/>
    <mergeCell ref="D5:D6"/>
    <mergeCell ref="E5:E6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GRM별_지점코드</vt:lpstr>
      <vt:lpstr>상품Data</vt:lpstr>
      <vt:lpstr>백업1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SeongGyu Lee</cp:lastModifiedBy>
  <cp:lastPrinted>2026-03-13T04:36:57Z</cp:lastPrinted>
  <dcterms:created xsi:type="dcterms:W3CDTF">2026-03-12T04:24:48Z</dcterms:created>
  <dcterms:modified xsi:type="dcterms:W3CDTF">2026-04-02T16:07:34Z</dcterms:modified>
</cp:coreProperties>
</file>