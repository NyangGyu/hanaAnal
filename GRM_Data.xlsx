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pTime Cloud\Hana Data Research\RawData\"/>
    </mc:Choice>
  </mc:AlternateContent>
  <xr:revisionPtr revIDLastSave="0" documentId="13_ncr:1_{92F73ED9-045B-4FB9-81D2-009128389D3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RM별_지점코드" sheetId="8" r:id="rId1"/>
    <sheet name="상품Data" sheetId="3" r:id="rId2"/>
    <sheet name="백업1 (2)" sheetId="4" state="hidden" r:id="rId3"/>
  </sheets>
  <calcPr calcId="191029"/>
</workbook>
</file>

<file path=xl/calcChain.xml><?xml version="1.0" encoding="utf-8"?>
<calcChain xmlns="http://schemas.openxmlformats.org/spreadsheetml/2006/main">
  <c r="AM270" i="4" l="1"/>
  <c r="AL270" i="4"/>
  <c r="AK270" i="4"/>
  <c r="AJ270" i="4"/>
  <c r="AH270" i="4"/>
  <c r="AG270" i="4"/>
  <c r="AF270" i="4"/>
  <c r="AE270" i="4"/>
  <c r="AC270" i="4"/>
  <c r="AB270" i="4"/>
  <c r="Z270" i="4"/>
  <c r="Y270" i="4"/>
  <c r="X270" i="4"/>
  <c r="W270" i="4"/>
  <c r="U270" i="4"/>
  <c r="T270" i="4"/>
  <c r="S270" i="4"/>
  <c r="R270" i="4"/>
  <c r="P270" i="4"/>
  <c r="O270" i="4"/>
  <c r="N270" i="4"/>
  <c r="M270" i="4"/>
  <c r="K270" i="4"/>
  <c r="J270" i="4"/>
  <c r="I270" i="4"/>
  <c r="H270" i="4"/>
  <c r="F270" i="4"/>
  <c r="AI269" i="4"/>
  <c r="AD269" i="4"/>
  <c r="AA269" i="4"/>
  <c r="V269" i="4"/>
  <c r="L269" i="4" s="1"/>
  <c r="Q269" i="4"/>
  <c r="G269" i="4"/>
  <c r="AI268" i="4"/>
  <c r="AD268" i="4"/>
  <c r="AA268" i="4"/>
  <c r="V268" i="4"/>
  <c r="Q268" i="4"/>
  <c r="L268" i="4" s="1"/>
  <c r="G268" i="4"/>
  <c r="AI267" i="4"/>
  <c r="AD267" i="4"/>
  <c r="L267" i="4" s="1"/>
  <c r="AA267" i="4"/>
  <c r="V267" i="4"/>
  <c r="Q267" i="4"/>
  <c r="G267" i="4"/>
  <c r="AI266" i="4"/>
  <c r="AD266" i="4"/>
  <c r="AA266" i="4"/>
  <c r="V266" i="4"/>
  <c r="Q266" i="4"/>
  <c r="L266" i="4" s="1"/>
  <c r="G266" i="4"/>
  <c r="AI265" i="4"/>
  <c r="AD265" i="4"/>
  <c r="AA265" i="4"/>
  <c r="V265" i="4"/>
  <c r="Q265" i="4"/>
  <c r="L265" i="4" s="1"/>
  <c r="G265" i="4"/>
  <c r="AI264" i="4"/>
  <c r="AD264" i="4"/>
  <c r="AA264" i="4"/>
  <c r="V264" i="4"/>
  <c r="Q264" i="4"/>
  <c r="L264" i="4" s="1"/>
  <c r="G264" i="4"/>
  <c r="AI263" i="4"/>
  <c r="AD263" i="4"/>
  <c r="AA263" i="4"/>
  <c r="V263" i="4"/>
  <c r="Q263" i="4"/>
  <c r="L263" i="4" s="1"/>
  <c r="G263" i="4"/>
  <c r="AI262" i="4"/>
  <c r="AD262" i="4"/>
  <c r="AA262" i="4"/>
  <c r="V262" i="4"/>
  <c r="Q262" i="4"/>
  <c r="L262" i="4" s="1"/>
  <c r="G262" i="4"/>
  <c r="AI261" i="4"/>
  <c r="AD261" i="4"/>
  <c r="AA261" i="4"/>
  <c r="L261" i="4" s="1"/>
  <c r="V261" i="4"/>
  <c r="Q261" i="4"/>
  <c r="G261" i="4"/>
  <c r="AI260" i="4"/>
  <c r="AD260" i="4"/>
  <c r="AA260" i="4"/>
  <c r="V260" i="4"/>
  <c r="Q260" i="4"/>
  <c r="L260" i="4" s="1"/>
  <c r="G260" i="4"/>
  <c r="AI259" i="4"/>
  <c r="AD259" i="4"/>
  <c r="AA259" i="4"/>
  <c r="V259" i="4"/>
  <c r="Q259" i="4"/>
  <c r="L259" i="4"/>
  <c r="G259" i="4"/>
  <c r="AI258" i="4"/>
  <c r="AD258" i="4"/>
  <c r="AA258" i="4"/>
  <c r="V258" i="4"/>
  <c r="Q258" i="4"/>
  <c r="L258" i="4"/>
  <c r="G258" i="4"/>
  <c r="AI257" i="4"/>
  <c r="AD257" i="4"/>
  <c r="AA257" i="4"/>
  <c r="V257" i="4"/>
  <c r="L257" i="4" s="1"/>
  <c r="Q257" i="4"/>
  <c r="G257" i="4"/>
  <c r="AI256" i="4"/>
  <c r="AD256" i="4"/>
  <c r="AA256" i="4"/>
  <c r="V256" i="4"/>
  <c r="Q256" i="4"/>
  <c r="L256" i="4" s="1"/>
  <c r="G256" i="4"/>
  <c r="AI255" i="4"/>
  <c r="AD255" i="4"/>
  <c r="L255" i="4" s="1"/>
  <c r="AA255" i="4"/>
  <c r="V255" i="4"/>
  <c r="Q255" i="4"/>
  <c r="G255" i="4"/>
  <c r="AI254" i="4"/>
  <c r="AD254" i="4"/>
  <c r="AA254" i="4"/>
  <c r="V254" i="4"/>
  <c r="Q254" i="4"/>
  <c r="L254" i="4" s="1"/>
  <c r="G254" i="4"/>
  <c r="AI253" i="4"/>
  <c r="AD253" i="4"/>
  <c r="AA253" i="4"/>
  <c r="V253" i="4"/>
  <c r="Q253" i="4"/>
  <c r="L253" i="4" s="1"/>
  <c r="G253" i="4"/>
  <c r="AI252" i="4"/>
  <c r="AD252" i="4"/>
  <c r="AA252" i="4"/>
  <c r="V252" i="4"/>
  <c r="Q252" i="4"/>
  <c r="L252" i="4" s="1"/>
  <c r="G252" i="4"/>
  <c r="AI251" i="4"/>
  <c r="AD251" i="4"/>
  <c r="AA251" i="4"/>
  <c r="V251" i="4"/>
  <c r="Q251" i="4"/>
  <c r="L251" i="4" s="1"/>
  <c r="G251" i="4"/>
  <c r="AI250" i="4"/>
  <c r="AD250" i="4"/>
  <c r="AA250" i="4"/>
  <c r="V250" i="4"/>
  <c r="Q250" i="4"/>
  <c r="L250" i="4" s="1"/>
  <c r="G250" i="4"/>
  <c r="AI249" i="4"/>
  <c r="AD249" i="4"/>
  <c r="AA249" i="4"/>
  <c r="L249" i="4" s="1"/>
  <c r="V249" i="4"/>
  <c r="Q249" i="4"/>
  <c r="G249" i="4"/>
  <c r="AI248" i="4"/>
  <c r="AD248" i="4"/>
  <c r="AA248" i="4"/>
  <c r="V248" i="4"/>
  <c r="Q248" i="4"/>
  <c r="L248" i="4" s="1"/>
  <c r="G248" i="4"/>
  <c r="AI247" i="4"/>
  <c r="AD247" i="4"/>
  <c r="AA247" i="4"/>
  <c r="V247" i="4"/>
  <c r="Q247" i="4"/>
  <c r="L247" i="4"/>
  <c r="G247" i="4"/>
  <c r="AI246" i="4"/>
  <c r="AD246" i="4"/>
  <c r="AA246" i="4"/>
  <c r="V246" i="4"/>
  <c r="Q246" i="4"/>
  <c r="L246" i="4"/>
  <c r="G246" i="4"/>
  <c r="AI245" i="4"/>
  <c r="AD245" i="4"/>
  <c r="AA245" i="4"/>
  <c r="V245" i="4"/>
  <c r="L245" i="4" s="1"/>
  <c r="Q245" i="4"/>
  <c r="G245" i="4"/>
  <c r="AI244" i="4"/>
  <c r="AD244" i="4"/>
  <c r="AA244" i="4"/>
  <c r="V244" i="4"/>
  <c r="Q244" i="4"/>
  <c r="L244" i="4" s="1"/>
  <c r="G244" i="4"/>
  <c r="AI243" i="4"/>
  <c r="AD243" i="4"/>
  <c r="L243" i="4" s="1"/>
  <c r="AA243" i="4"/>
  <c r="V243" i="4"/>
  <c r="Q243" i="4"/>
  <c r="G243" i="4"/>
  <c r="AI242" i="4"/>
  <c r="AD242" i="4"/>
  <c r="AA242" i="4"/>
  <c r="V242" i="4"/>
  <c r="Q242" i="4"/>
  <c r="L242" i="4" s="1"/>
  <c r="G242" i="4"/>
  <c r="AI241" i="4"/>
  <c r="AD241" i="4"/>
  <c r="AA241" i="4"/>
  <c r="V241" i="4"/>
  <c r="Q241" i="4"/>
  <c r="L241" i="4" s="1"/>
  <c r="G241" i="4"/>
  <c r="AI240" i="4"/>
  <c r="AD240" i="4"/>
  <c r="AA240" i="4"/>
  <c r="V240" i="4"/>
  <c r="Q240" i="4"/>
  <c r="L240" i="4" s="1"/>
  <c r="G240" i="4"/>
  <c r="AI239" i="4"/>
  <c r="AD239" i="4"/>
  <c r="AA239" i="4"/>
  <c r="V239" i="4"/>
  <c r="Q239" i="4"/>
  <c r="L239" i="4" s="1"/>
  <c r="G239" i="4"/>
  <c r="AI238" i="4"/>
  <c r="AD238" i="4"/>
  <c r="AA238" i="4"/>
  <c r="V238" i="4"/>
  <c r="Q238" i="4"/>
  <c r="L238" i="4" s="1"/>
  <c r="G238" i="4"/>
  <c r="AI237" i="4"/>
  <c r="AD237" i="4"/>
  <c r="AA237" i="4"/>
  <c r="L237" i="4" s="1"/>
  <c r="V237" i="4"/>
  <c r="Q237" i="4"/>
  <c r="G237" i="4"/>
  <c r="AI236" i="4"/>
  <c r="AD236" i="4"/>
  <c r="AA236" i="4"/>
  <c r="V236" i="4"/>
  <c r="Q236" i="4"/>
  <c r="L236" i="4" s="1"/>
  <c r="G236" i="4"/>
  <c r="AI235" i="4"/>
  <c r="AD235" i="4"/>
  <c r="AA235" i="4"/>
  <c r="V235" i="4"/>
  <c r="Q235" i="4"/>
  <c r="L235" i="4"/>
  <c r="G235" i="4"/>
  <c r="AI234" i="4"/>
  <c r="AD234" i="4"/>
  <c r="AA234" i="4"/>
  <c r="V234" i="4"/>
  <c r="Q234" i="4"/>
  <c r="L234" i="4"/>
  <c r="G234" i="4"/>
  <c r="AI233" i="4"/>
  <c r="AD233" i="4"/>
  <c r="AA233" i="4"/>
  <c r="V233" i="4"/>
  <c r="L233" i="4" s="1"/>
  <c r="Q233" i="4"/>
  <c r="G233" i="4"/>
  <c r="AI232" i="4"/>
  <c r="AD232" i="4"/>
  <c r="AA232" i="4"/>
  <c r="V232" i="4"/>
  <c r="Q232" i="4"/>
  <c r="L232" i="4" s="1"/>
  <c r="G232" i="4"/>
  <c r="AI231" i="4"/>
  <c r="AD231" i="4"/>
  <c r="L231" i="4" s="1"/>
  <c r="AA231" i="4"/>
  <c r="V231" i="4"/>
  <c r="Q231" i="4"/>
  <c r="G231" i="4"/>
  <c r="AI230" i="4"/>
  <c r="AD230" i="4"/>
  <c r="AA230" i="4"/>
  <c r="V230" i="4"/>
  <c r="Q230" i="4"/>
  <c r="L230" i="4" s="1"/>
  <c r="G230" i="4"/>
  <c r="AI229" i="4"/>
  <c r="AD229" i="4"/>
  <c r="AA229" i="4"/>
  <c r="V229" i="4"/>
  <c r="Q229" i="4"/>
  <c r="L229" i="4" s="1"/>
  <c r="G229" i="4"/>
  <c r="AI228" i="4"/>
  <c r="AD228" i="4"/>
  <c r="AA228" i="4"/>
  <c r="V228" i="4"/>
  <c r="Q228" i="4"/>
  <c r="L228" i="4" s="1"/>
  <c r="G228" i="4"/>
  <c r="AI227" i="4"/>
  <c r="AD227" i="4"/>
  <c r="AA227" i="4"/>
  <c r="V227" i="4"/>
  <c r="Q227" i="4"/>
  <c r="L227" i="4" s="1"/>
  <c r="G227" i="4"/>
  <c r="AI226" i="4"/>
  <c r="AD226" i="4"/>
  <c r="AA226" i="4"/>
  <c r="V226" i="4"/>
  <c r="Q226" i="4"/>
  <c r="L226" i="4" s="1"/>
  <c r="G226" i="4"/>
  <c r="AI225" i="4"/>
  <c r="AD225" i="4"/>
  <c r="AA225" i="4"/>
  <c r="L225" i="4" s="1"/>
  <c r="V225" i="4"/>
  <c r="Q225" i="4"/>
  <c r="G225" i="4"/>
  <c r="AI224" i="4"/>
  <c r="AD224" i="4"/>
  <c r="AA224" i="4"/>
  <c r="V224" i="4"/>
  <c r="Q224" i="4"/>
  <c r="L224" i="4" s="1"/>
  <c r="G224" i="4"/>
  <c r="AI223" i="4"/>
  <c r="AD223" i="4"/>
  <c r="AA223" i="4"/>
  <c r="V223" i="4"/>
  <c r="Q223" i="4"/>
  <c r="L223" i="4"/>
  <c r="G223" i="4"/>
  <c r="AI222" i="4"/>
  <c r="AD222" i="4"/>
  <c r="AA222" i="4"/>
  <c r="V222" i="4"/>
  <c r="Q222" i="4"/>
  <c r="L222" i="4"/>
  <c r="G222" i="4"/>
  <c r="AI221" i="4"/>
  <c r="AD221" i="4"/>
  <c r="AA221" i="4"/>
  <c r="V221" i="4"/>
  <c r="L221" i="4" s="1"/>
  <c r="Q221" i="4"/>
  <c r="G221" i="4"/>
  <c r="AI220" i="4"/>
  <c r="AD220" i="4"/>
  <c r="AA220" i="4"/>
  <c r="V220" i="4"/>
  <c r="Q220" i="4"/>
  <c r="L220" i="4" s="1"/>
  <c r="G220" i="4"/>
  <c r="AI219" i="4"/>
  <c r="AD219" i="4"/>
  <c r="L219" i="4" s="1"/>
  <c r="AA219" i="4"/>
  <c r="V219" i="4"/>
  <c r="Q219" i="4"/>
  <c r="G219" i="4"/>
  <c r="AI218" i="4"/>
  <c r="AD218" i="4"/>
  <c r="AA218" i="4"/>
  <c r="V218" i="4"/>
  <c r="Q218" i="4"/>
  <c r="L218" i="4" s="1"/>
  <c r="G218" i="4"/>
  <c r="AI217" i="4"/>
  <c r="AD217" i="4"/>
  <c r="AA217" i="4"/>
  <c r="V217" i="4"/>
  <c r="Q217" i="4"/>
  <c r="L217" i="4" s="1"/>
  <c r="G217" i="4"/>
  <c r="AI216" i="4"/>
  <c r="AD216" i="4"/>
  <c r="AA216" i="4"/>
  <c r="V216" i="4"/>
  <c r="Q216" i="4"/>
  <c r="L216" i="4" s="1"/>
  <c r="G216" i="4"/>
  <c r="AI215" i="4"/>
  <c r="AD215" i="4"/>
  <c r="AA215" i="4"/>
  <c r="V215" i="4"/>
  <c r="Q215" i="4"/>
  <c r="L215" i="4" s="1"/>
  <c r="G215" i="4"/>
  <c r="AI214" i="4"/>
  <c r="AD214" i="4"/>
  <c r="AA214" i="4"/>
  <c r="V214" i="4"/>
  <c r="Q214" i="4"/>
  <c r="L214" i="4" s="1"/>
  <c r="G214" i="4"/>
  <c r="AI213" i="4"/>
  <c r="AD213" i="4"/>
  <c r="AA213" i="4"/>
  <c r="L213" i="4" s="1"/>
  <c r="V213" i="4"/>
  <c r="Q213" i="4"/>
  <c r="G213" i="4"/>
  <c r="AI212" i="4"/>
  <c r="AD212" i="4"/>
  <c r="AA212" i="4"/>
  <c r="V212" i="4"/>
  <c r="Q212" i="4"/>
  <c r="L212" i="4" s="1"/>
  <c r="G212" i="4"/>
  <c r="AI211" i="4"/>
  <c r="AD211" i="4"/>
  <c r="AA211" i="4"/>
  <c r="V211" i="4"/>
  <c r="Q211" i="4"/>
  <c r="L211" i="4"/>
  <c r="G211" i="4"/>
  <c r="AI210" i="4"/>
  <c r="AD210" i="4"/>
  <c r="AA210" i="4"/>
  <c r="V210" i="4"/>
  <c r="Q210" i="4"/>
  <c r="L210" i="4"/>
  <c r="G210" i="4"/>
  <c r="AI209" i="4"/>
  <c r="AD209" i="4"/>
  <c r="AA209" i="4"/>
  <c r="V209" i="4"/>
  <c r="L209" i="4" s="1"/>
  <c r="Q209" i="4"/>
  <c r="G209" i="4"/>
  <c r="AI208" i="4"/>
  <c r="AD208" i="4"/>
  <c r="AA208" i="4"/>
  <c r="V208" i="4"/>
  <c r="Q208" i="4"/>
  <c r="L208" i="4" s="1"/>
  <c r="G208" i="4"/>
  <c r="AI207" i="4"/>
  <c r="AD207" i="4"/>
  <c r="L207" i="4" s="1"/>
  <c r="AA207" i="4"/>
  <c r="V207" i="4"/>
  <c r="Q207" i="4"/>
  <c r="G207" i="4"/>
  <c r="AI206" i="4"/>
  <c r="AD206" i="4"/>
  <c r="AA206" i="4"/>
  <c r="V206" i="4"/>
  <c r="Q206" i="4"/>
  <c r="L206" i="4" s="1"/>
  <c r="G206" i="4"/>
  <c r="AI205" i="4"/>
  <c r="AD205" i="4"/>
  <c r="AA205" i="4"/>
  <c r="V205" i="4"/>
  <c r="Q205" i="4"/>
  <c r="L205" i="4" s="1"/>
  <c r="G205" i="4"/>
  <c r="AI204" i="4"/>
  <c r="AD204" i="4"/>
  <c r="AA204" i="4"/>
  <c r="V204" i="4"/>
  <c r="Q204" i="4"/>
  <c r="L204" i="4" s="1"/>
  <c r="G204" i="4"/>
  <c r="AI203" i="4"/>
  <c r="AD203" i="4"/>
  <c r="AA203" i="4"/>
  <c r="V203" i="4"/>
  <c r="Q203" i="4"/>
  <c r="L203" i="4" s="1"/>
  <c r="G203" i="4"/>
  <c r="AI202" i="4"/>
  <c r="AD202" i="4"/>
  <c r="AA202" i="4"/>
  <c r="V202" i="4"/>
  <c r="Q202" i="4"/>
  <c r="L202" i="4" s="1"/>
  <c r="G202" i="4"/>
  <c r="AI201" i="4"/>
  <c r="AD201" i="4"/>
  <c r="AA201" i="4"/>
  <c r="L201" i="4" s="1"/>
  <c r="V201" i="4"/>
  <c r="Q201" i="4"/>
  <c r="G201" i="4"/>
  <c r="AI200" i="4"/>
  <c r="AD200" i="4"/>
  <c r="AA200" i="4"/>
  <c r="V200" i="4"/>
  <c r="Q200" i="4"/>
  <c r="L200" i="4" s="1"/>
  <c r="G200" i="4"/>
  <c r="AI199" i="4"/>
  <c r="AD199" i="4"/>
  <c r="AA199" i="4"/>
  <c r="V199" i="4"/>
  <c r="Q199" i="4"/>
  <c r="L199" i="4"/>
  <c r="G199" i="4"/>
  <c r="AI198" i="4"/>
  <c r="AD198" i="4"/>
  <c r="AA198" i="4"/>
  <c r="V198" i="4"/>
  <c r="Q198" i="4"/>
  <c r="L198" i="4"/>
  <c r="G198" i="4"/>
  <c r="AI197" i="4"/>
  <c r="AD197" i="4"/>
  <c r="AA197" i="4"/>
  <c r="V197" i="4"/>
  <c r="L197" i="4" s="1"/>
  <c r="Q197" i="4"/>
  <c r="G197" i="4"/>
  <c r="AI196" i="4"/>
  <c r="AD196" i="4"/>
  <c r="AA196" i="4"/>
  <c r="V196" i="4"/>
  <c r="Q196" i="4"/>
  <c r="L196" i="4" s="1"/>
  <c r="G196" i="4"/>
  <c r="AI195" i="4"/>
  <c r="AD195" i="4"/>
  <c r="L195" i="4" s="1"/>
  <c r="AA195" i="4"/>
  <c r="V195" i="4"/>
  <c r="Q195" i="4"/>
  <c r="G195" i="4"/>
  <c r="AI194" i="4"/>
  <c r="AD194" i="4"/>
  <c r="AA194" i="4"/>
  <c r="V194" i="4"/>
  <c r="Q194" i="4"/>
  <c r="L194" i="4" s="1"/>
  <c r="G194" i="4"/>
  <c r="AI193" i="4"/>
  <c r="AD193" i="4"/>
  <c r="AA193" i="4"/>
  <c r="V193" i="4"/>
  <c r="Q193" i="4"/>
  <c r="L193" i="4" s="1"/>
  <c r="G193" i="4"/>
  <c r="AI192" i="4"/>
  <c r="AD192" i="4"/>
  <c r="AA192" i="4"/>
  <c r="V192" i="4"/>
  <c r="Q192" i="4"/>
  <c r="L192" i="4" s="1"/>
  <c r="G192" i="4"/>
  <c r="AI191" i="4"/>
  <c r="AD191" i="4"/>
  <c r="AA191" i="4"/>
  <c r="V191" i="4"/>
  <c r="Q191" i="4"/>
  <c r="L191" i="4" s="1"/>
  <c r="G191" i="4"/>
  <c r="AI190" i="4"/>
  <c r="AD190" i="4"/>
  <c r="AA190" i="4"/>
  <c r="V190" i="4"/>
  <c r="Q190" i="4"/>
  <c r="L190" i="4" s="1"/>
  <c r="G190" i="4"/>
  <c r="AI189" i="4"/>
  <c r="AD189" i="4"/>
  <c r="AA189" i="4"/>
  <c r="V189" i="4"/>
  <c r="Q189" i="4"/>
  <c r="L189" i="4"/>
  <c r="G189" i="4"/>
  <c r="AI188" i="4"/>
  <c r="AD188" i="4"/>
  <c r="AA188" i="4"/>
  <c r="V188" i="4"/>
  <c r="Q188" i="4"/>
  <c r="L188" i="4" s="1"/>
  <c r="G188" i="4"/>
  <c r="AI187" i="4"/>
  <c r="AD187" i="4"/>
  <c r="AA187" i="4"/>
  <c r="V187" i="4"/>
  <c r="Q187" i="4"/>
  <c r="L187" i="4"/>
  <c r="G187" i="4"/>
  <c r="AI186" i="4"/>
  <c r="AD186" i="4"/>
  <c r="AA186" i="4"/>
  <c r="V186" i="4"/>
  <c r="Q186" i="4"/>
  <c r="L186" i="4"/>
  <c r="G186" i="4"/>
  <c r="AI185" i="4"/>
  <c r="AD185" i="4"/>
  <c r="AA185" i="4"/>
  <c r="V185" i="4"/>
  <c r="L185" i="4" s="1"/>
  <c r="Q185" i="4"/>
  <c r="G185" i="4"/>
  <c r="AI184" i="4"/>
  <c r="AD184" i="4"/>
  <c r="AA184" i="4"/>
  <c r="V184" i="4"/>
  <c r="Q184" i="4"/>
  <c r="L184" i="4" s="1"/>
  <c r="G184" i="4"/>
  <c r="AI183" i="4"/>
  <c r="AD183" i="4"/>
  <c r="L183" i="4" s="1"/>
  <c r="AA183" i="4"/>
  <c r="V183" i="4"/>
  <c r="Q183" i="4"/>
  <c r="G183" i="4"/>
  <c r="AI182" i="4"/>
  <c r="AD182" i="4"/>
  <c r="AA182" i="4"/>
  <c r="V182" i="4"/>
  <c r="Q182" i="4"/>
  <c r="L182" i="4" s="1"/>
  <c r="G182" i="4"/>
  <c r="AI181" i="4"/>
  <c r="AD181" i="4"/>
  <c r="AA181" i="4"/>
  <c r="V181" i="4"/>
  <c r="Q181" i="4"/>
  <c r="L181" i="4" s="1"/>
  <c r="G181" i="4"/>
  <c r="AI180" i="4"/>
  <c r="AD180" i="4"/>
  <c r="AA180" i="4"/>
  <c r="V180" i="4"/>
  <c r="Q180" i="4"/>
  <c r="L180" i="4" s="1"/>
  <c r="G180" i="4"/>
  <c r="AI179" i="4"/>
  <c r="AD179" i="4"/>
  <c r="AA179" i="4"/>
  <c r="V179" i="4"/>
  <c r="Q179" i="4"/>
  <c r="L179" i="4" s="1"/>
  <c r="G179" i="4"/>
  <c r="AI178" i="4"/>
  <c r="AD178" i="4"/>
  <c r="AA178" i="4"/>
  <c r="V178" i="4"/>
  <c r="Q178" i="4"/>
  <c r="L178" i="4" s="1"/>
  <c r="G178" i="4"/>
  <c r="AI177" i="4"/>
  <c r="AD177" i="4"/>
  <c r="AA177" i="4"/>
  <c r="V177" i="4"/>
  <c r="Q177" i="4"/>
  <c r="L177" i="4"/>
  <c r="G177" i="4"/>
  <c r="AI176" i="4"/>
  <c r="AD176" i="4"/>
  <c r="AA176" i="4"/>
  <c r="V176" i="4"/>
  <c r="Q176" i="4"/>
  <c r="L176" i="4" s="1"/>
  <c r="G176" i="4"/>
  <c r="AI175" i="4"/>
  <c r="AD175" i="4"/>
  <c r="AA175" i="4"/>
  <c r="V175" i="4"/>
  <c r="Q175" i="4"/>
  <c r="L175" i="4"/>
  <c r="G175" i="4"/>
  <c r="AI174" i="4"/>
  <c r="AD174" i="4"/>
  <c r="AA174" i="4"/>
  <c r="V174" i="4"/>
  <c r="Q174" i="4"/>
  <c r="L174" i="4"/>
  <c r="G174" i="4"/>
  <c r="AI173" i="4"/>
  <c r="AD173" i="4"/>
  <c r="AA173" i="4"/>
  <c r="V173" i="4"/>
  <c r="L173" i="4" s="1"/>
  <c r="Q173" i="4"/>
  <c r="G173" i="4"/>
  <c r="AI172" i="4"/>
  <c r="AD172" i="4"/>
  <c r="AA172" i="4"/>
  <c r="V172" i="4"/>
  <c r="Q172" i="4"/>
  <c r="L172" i="4" s="1"/>
  <c r="G172" i="4"/>
  <c r="AI171" i="4"/>
  <c r="AD171" i="4"/>
  <c r="L171" i="4" s="1"/>
  <c r="AA171" i="4"/>
  <c r="V171" i="4"/>
  <c r="Q171" i="4"/>
  <c r="G171" i="4"/>
  <c r="AI170" i="4"/>
  <c r="AD170" i="4"/>
  <c r="AA170" i="4"/>
  <c r="V170" i="4"/>
  <c r="Q170" i="4"/>
  <c r="L170" i="4" s="1"/>
  <c r="G170" i="4"/>
  <c r="AI169" i="4"/>
  <c r="AD169" i="4"/>
  <c r="AA169" i="4"/>
  <c r="V169" i="4"/>
  <c r="Q169" i="4"/>
  <c r="L169" i="4" s="1"/>
  <c r="G169" i="4"/>
  <c r="AI168" i="4"/>
  <c r="AD168" i="4"/>
  <c r="AA168" i="4"/>
  <c r="V168" i="4"/>
  <c r="Q168" i="4"/>
  <c r="L168" i="4" s="1"/>
  <c r="G168" i="4"/>
  <c r="AI167" i="4"/>
  <c r="AD167" i="4"/>
  <c r="AA167" i="4"/>
  <c r="V167" i="4"/>
  <c r="Q167" i="4"/>
  <c r="L167" i="4" s="1"/>
  <c r="G167" i="4"/>
  <c r="AI166" i="4"/>
  <c r="AD166" i="4"/>
  <c r="AA166" i="4"/>
  <c r="V166" i="4"/>
  <c r="Q166" i="4"/>
  <c r="L166" i="4" s="1"/>
  <c r="G166" i="4"/>
  <c r="AI165" i="4"/>
  <c r="AD165" i="4"/>
  <c r="AA165" i="4"/>
  <c r="V165" i="4"/>
  <c r="Q165" i="4"/>
  <c r="L165" i="4"/>
  <c r="G165" i="4"/>
  <c r="AI164" i="4"/>
  <c r="AD164" i="4"/>
  <c r="AA164" i="4"/>
  <c r="V164" i="4"/>
  <c r="Q164" i="4"/>
  <c r="L164" i="4" s="1"/>
  <c r="G164" i="4"/>
  <c r="AI163" i="4"/>
  <c r="AD163" i="4"/>
  <c r="AA163" i="4"/>
  <c r="V163" i="4"/>
  <c r="Q163" i="4"/>
  <c r="L163" i="4"/>
  <c r="G163" i="4"/>
  <c r="AI162" i="4"/>
  <c r="AD162" i="4"/>
  <c r="AA162" i="4"/>
  <c r="V162" i="4"/>
  <c r="Q162" i="4"/>
  <c r="L162" i="4"/>
  <c r="G162" i="4"/>
  <c r="AI161" i="4"/>
  <c r="AD161" i="4"/>
  <c r="AA161" i="4"/>
  <c r="V161" i="4"/>
  <c r="L161" i="4" s="1"/>
  <c r="Q161" i="4"/>
  <c r="G161" i="4"/>
  <c r="AI160" i="4"/>
  <c r="AD160" i="4"/>
  <c r="AA160" i="4"/>
  <c r="V160" i="4"/>
  <c r="Q160" i="4"/>
  <c r="L160" i="4" s="1"/>
  <c r="G160" i="4"/>
  <c r="AI159" i="4"/>
  <c r="AD159" i="4"/>
  <c r="L159" i="4" s="1"/>
  <c r="AA159" i="4"/>
  <c r="V159" i="4"/>
  <c r="Q159" i="4"/>
  <c r="G159" i="4"/>
  <c r="AI158" i="4"/>
  <c r="AD158" i="4"/>
  <c r="AA158" i="4"/>
  <c r="V158" i="4"/>
  <c r="Q158" i="4"/>
  <c r="L158" i="4" s="1"/>
  <c r="G158" i="4"/>
  <c r="AI157" i="4"/>
  <c r="AD157" i="4"/>
  <c r="AA157" i="4"/>
  <c r="V157" i="4"/>
  <c r="Q157" i="4"/>
  <c r="L157" i="4" s="1"/>
  <c r="G157" i="4"/>
  <c r="AI156" i="4"/>
  <c r="AD156" i="4"/>
  <c r="AA156" i="4"/>
  <c r="V156" i="4"/>
  <c r="Q156" i="4"/>
  <c r="L156" i="4" s="1"/>
  <c r="G156" i="4"/>
  <c r="AI155" i="4"/>
  <c r="AD155" i="4"/>
  <c r="AA155" i="4"/>
  <c r="V155" i="4"/>
  <c r="Q155" i="4"/>
  <c r="L155" i="4" s="1"/>
  <c r="G155" i="4"/>
  <c r="AI154" i="4"/>
  <c r="AD154" i="4"/>
  <c r="AA154" i="4"/>
  <c r="V154" i="4"/>
  <c r="Q154" i="4"/>
  <c r="L154" i="4" s="1"/>
  <c r="G154" i="4"/>
  <c r="AI153" i="4"/>
  <c r="AD153" i="4"/>
  <c r="AA153" i="4"/>
  <c r="V153" i="4"/>
  <c r="Q153" i="4"/>
  <c r="L153" i="4"/>
  <c r="G153" i="4"/>
  <c r="AI152" i="4"/>
  <c r="AD152" i="4"/>
  <c r="AA152" i="4"/>
  <c r="V152" i="4"/>
  <c r="Q152" i="4"/>
  <c r="L152" i="4" s="1"/>
  <c r="G152" i="4"/>
  <c r="AI151" i="4"/>
  <c r="AD151" i="4"/>
  <c r="AA151" i="4"/>
  <c r="V151" i="4"/>
  <c r="Q151" i="4"/>
  <c r="L151" i="4"/>
  <c r="G151" i="4"/>
  <c r="AI150" i="4"/>
  <c r="AD150" i="4"/>
  <c r="AA150" i="4"/>
  <c r="V150" i="4"/>
  <c r="Q150" i="4"/>
  <c r="L150" i="4"/>
  <c r="G150" i="4"/>
  <c r="AI149" i="4"/>
  <c r="AD149" i="4"/>
  <c r="AA149" i="4"/>
  <c r="V149" i="4"/>
  <c r="L149" i="4" s="1"/>
  <c r="Q149" i="4"/>
  <c r="G149" i="4"/>
  <c r="AI148" i="4"/>
  <c r="AD148" i="4"/>
  <c r="AA148" i="4"/>
  <c r="V148" i="4"/>
  <c r="Q148" i="4"/>
  <c r="L148" i="4" s="1"/>
  <c r="G148" i="4"/>
  <c r="AI147" i="4"/>
  <c r="AD147" i="4"/>
  <c r="L147" i="4" s="1"/>
  <c r="AA147" i="4"/>
  <c r="V147" i="4"/>
  <c r="Q147" i="4"/>
  <c r="G147" i="4"/>
  <c r="AI146" i="4"/>
  <c r="AD146" i="4"/>
  <c r="AA146" i="4"/>
  <c r="V146" i="4"/>
  <c r="Q146" i="4"/>
  <c r="L146" i="4" s="1"/>
  <c r="G146" i="4"/>
  <c r="AI145" i="4"/>
  <c r="AD145" i="4"/>
  <c r="AA145" i="4"/>
  <c r="V145" i="4"/>
  <c r="Q145" i="4"/>
  <c r="L145" i="4" s="1"/>
  <c r="G145" i="4"/>
  <c r="AI144" i="4"/>
  <c r="AD144" i="4"/>
  <c r="AA144" i="4"/>
  <c r="V144" i="4"/>
  <c r="Q144" i="4"/>
  <c r="L144" i="4" s="1"/>
  <c r="G144" i="4"/>
  <c r="AI143" i="4"/>
  <c r="AD143" i="4"/>
  <c r="AA143" i="4"/>
  <c r="V143" i="4"/>
  <c r="Q143" i="4"/>
  <c r="L143" i="4" s="1"/>
  <c r="G143" i="4"/>
  <c r="AI142" i="4"/>
  <c r="AD142" i="4"/>
  <c r="AA142" i="4"/>
  <c r="V142" i="4"/>
  <c r="Q142" i="4"/>
  <c r="L142" i="4" s="1"/>
  <c r="G142" i="4"/>
  <c r="AI141" i="4"/>
  <c r="AD141" i="4"/>
  <c r="AA141" i="4"/>
  <c r="V141" i="4"/>
  <c r="Q141" i="4"/>
  <c r="L141" i="4"/>
  <c r="G141" i="4"/>
  <c r="AI140" i="4"/>
  <c r="AD140" i="4"/>
  <c r="AA140" i="4"/>
  <c r="V140" i="4"/>
  <c r="Q140" i="4"/>
  <c r="L140" i="4" s="1"/>
  <c r="G140" i="4"/>
  <c r="AI139" i="4"/>
  <c r="AD139" i="4"/>
  <c r="AA139" i="4"/>
  <c r="V139" i="4"/>
  <c r="Q139" i="4"/>
  <c r="L139" i="4"/>
  <c r="G139" i="4"/>
  <c r="AI138" i="4"/>
  <c r="AD138" i="4"/>
  <c r="AA138" i="4"/>
  <c r="V138" i="4"/>
  <c r="Q138" i="4"/>
  <c r="L138" i="4"/>
  <c r="G138" i="4"/>
  <c r="AI137" i="4"/>
  <c r="AD137" i="4"/>
  <c r="AA137" i="4"/>
  <c r="V137" i="4"/>
  <c r="L137" i="4" s="1"/>
  <c r="Q137" i="4"/>
  <c r="G137" i="4"/>
  <c r="AI136" i="4"/>
  <c r="AD136" i="4"/>
  <c r="AA136" i="4"/>
  <c r="V136" i="4"/>
  <c r="Q136" i="4"/>
  <c r="L136" i="4" s="1"/>
  <c r="G136" i="4"/>
  <c r="AI135" i="4"/>
  <c r="AD135" i="4"/>
  <c r="L135" i="4" s="1"/>
  <c r="AA135" i="4"/>
  <c r="V135" i="4"/>
  <c r="Q135" i="4"/>
  <c r="G135" i="4"/>
  <c r="AI134" i="4"/>
  <c r="AD134" i="4"/>
  <c r="AA134" i="4"/>
  <c r="V134" i="4"/>
  <c r="Q134" i="4"/>
  <c r="L134" i="4" s="1"/>
  <c r="G134" i="4"/>
  <c r="AI133" i="4"/>
  <c r="AD133" i="4"/>
  <c r="AA133" i="4"/>
  <c r="V133" i="4"/>
  <c r="Q133" i="4"/>
  <c r="L133" i="4" s="1"/>
  <c r="G133" i="4"/>
  <c r="AI132" i="4"/>
  <c r="AD132" i="4"/>
  <c r="AA132" i="4"/>
  <c r="V132" i="4"/>
  <c r="Q132" i="4"/>
  <c r="L132" i="4" s="1"/>
  <c r="G132" i="4"/>
  <c r="AI131" i="4"/>
  <c r="AD131" i="4"/>
  <c r="AA131" i="4"/>
  <c r="V131" i="4"/>
  <c r="Q131" i="4"/>
  <c r="L131" i="4" s="1"/>
  <c r="G131" i="4"/>
  <c r="AI130" i="4"/>
  <c r="AD130" i="4"/>
  <c r="AA130" i="4"/>
  <c r="V130" i="4"/>
  <c r="Q130" i="4"/>
  <c r="L130" i="4" s="1"/>
  <c r="G130" i="4"/>
  <c r="AI129" i="4"/>
  <c r="AD129" i="4"/>
  <c r="AA129" i="4"/>
  <c r="V129" i="4"/>
  <c r="Q129" i="4"/>
  <c r="L129" i="4"/>
  <c r="G129" i="4"/>
  <c r="AI128" i="4"/>
  <c r="AD128" i="4"/>
  <c r="AA128" i="4"/>
  <c r="V128" i="4"/>
  <c r="Q128" i="4"/>
  <c r="L128" i="4" s="1"/>
  <c r="G128" i="4"/>
  <c r="AI127" i="4"/>
  <c r="AD127" i="4"/>
  <c r="AA127" i="4"/>
  <c r="V127" i="4"/>
  <c r="Q127" i="4"/>
  <c r="L127" i="4"/>
  <c r="G127" i="4"/>
  <c r="AI126" i="4"/>
  <c r="AD126" i="4"/>
  <c r="AA126" i="4"/>
  <c r="V126" i="4"/>
  <c r="Q126" i="4"/>
  <c r="L126" i="4"/>
  <c r="G126" i="4"/>
  <c r="AI125" i="4"/>
  <c r="AD125" i="4"/>
  <c r="AA125" i="4"/>
  <c r="V125" i="4"/>
  <c r="L125" i="4" s="1"/>
  <c r="Q125" i="4"/>
  <c r="G125" i="4"/>
  <c r="AI124" i="4"/>
  <c r="AD124" i="4"/>
  <c r="AA124" i="4"/>
  <c r="V124" i="4"/>
  <c r="Q124" i="4"/>
  <c r="L124" i="4" s="1"/>
  <c r="G124" i="4"/>
  <c r="AI123" i="4"/>
  <c r="AD123" i="4"/>
  <c r="L123" i="4" s="1"/>
  <c r="AA123" i="4"/>
  <c r="V123" i="4"/>
  <c r="Q123" i="4"/>
  <c r="G123" i="4"/>
  <c r="AI122" i="4"/>
  <c r="AD122" i="4"/>
  <c r="AA122" i="4"/>
  <c r="V122" i="4"/>
  <c r="Q122" i="4"/>
  <c r="L122" i="4" s="1"/>
  <c r="G122" i="4"/>
  <c r="AI121" i="4"/>
  <c r="AD121" i="4"/>
  <c r="AA121" i="4"/>
  <c r="V121" i="4"/>
  <c r="Q121" i="4"/>
  <c r="L121" i="4" s="1"/>
  <c r="G121" i="4"/>
  <c r="AI120" i="4"/>
  <c r="AD120" i="4"/>
  <c r="AA120" i="4"/>
  <c r="V120" i="4"/>
  <c r="Q120" i="4"/>
  <c r="L120" i="4" s="1"/>
  <c r="G120" i="4"/>
  <c r="AI119" i="4"/>
  <c r="AD119" i="4"/>
  <c r="AA119" i="4"/>
  <c r="V119" i="4"/>
  <c r="Q119" i="4"/>
  <c r="L119" i="4" s="1"/>
  <c r="G119" i="4"/>
  <c r="AI118" i="4"/>
  <c r="AD118" i="4"/>
  <c r="AA118" i="4"/>
  <c r="V118" i="4"/>
  <c r="Q118" i="4"/>
  <c r="L118" i="4" s="1"/>
  <c r="G118" i="4"/>
  <c r="AI117" i="4"/>
  <c r="AD117" i="4"/>
  <c r="AA117" i="4"/>
  <c r="V117" i="4"/>
  <c r="Q117" i="4"/>
  <c r="L117" i="4"/>
  <c r="G117" i="4"/>
  <c r="AI116" i="4"/>
  <c r="AD116" i="4"/>
  <c r="AA116" i="4"/>
  <c r="V116" i="4"/>
  <c r="Q116" i="4"/>
  <c r="L116" i="4" s="1"/>
  <c r="G116" i="4"/>
  <c r="AI115" i="4"/>
  <c r="AD115" i="4"/>
  <c r="AA115" i="4"/>
  <c r="V115" i="4"/>
  <c r="Q115" i="4"/>
  <c r="L115" i="4"/>
  <c r="G115" i="4"/>
  <c r="AI114" i="4"/>
  <c r="AD114" i="4"/>
  <c r="AA114" i="4"/>
  <c r="V114" i="4"/>
  <c r="Q114" i="4"/>
  <c r="L114" i="4"/>
  <c r="G114" i="4"/>
  <c r="AI113" i="4"/>
  <c r="AD113" i="4"/>
  <c r="AA113" i="4"/>
  <c r="V113" i="4"/>
  <c r="L113" i="4" s="1"/>
  <c r="Q113" i="4"/>
  <c r="G113" i="4"/>
  <c r="AI112" i="4"/>
  <c r="AD112" i="4"/>
  <c r="AA112" i="4"/>
  <c r="V112" i="4"/>
  <c r="Q112" i="4"/>
  <c r="L112" i="4" s="1"/>
  <c r="G112" i="4"/>
  <c r="AI111" i="4"/>
  <c r="AD111" i="4"/>
  <c r="L111" i="4" s="1"/>
  <c r="AA111" i="4"/>
  <c r="V111" i="4"/>
  <c r="Q111" i="4"/>
  <c r="G111" i="4"/>
  <c r="AI110" i="4"/>
  <c r="AD110" i="4"/>
  <c r="AA110" i="4"/>
  <c r="V110" i="4"/>
  <c r="Q110" i="4"/>
  <c r="L110" i="4" s="1"/>
  <c r="G110" i="4"/>
  <c r="AI109" i="4"/>
  <c r="AD109" i="4"/>
  <c r="AA109" i="4"/>
  <c r="V109" i="4"/>
  <c r="Q109" i="4"/>
  <c r="L109" i="4" s="1"/>
  <c r="G109" i="4"/>
  <c r="AI108" i="4"/>
  <c r="AD108" i="4"/>
  <c r="AA108" i="4"/>
  <c r="V108" i="4"/>
  <c r="Q108" i="4"/>
  <c r="L108" i="4" s="1"/>
  <c r="G108" i="4"/>
  <c r="AI107" i="4"/>
  <c r="AD107" i="4"/>
  <c r="AA107" i="4"/>
  <c r="V107" i="4"/>
  <c r="Q107" i="4"/>
  <c r="L107" i="4" s="1"/>
  <c r="G107" i="4"/>
  <c r="AI106" i="4"/>
  <c r="AD106" i="4"/>
  <c r="AA106" i="4"/>
  <c r="V106" i="4"/>
  <c r="Q106" i="4"/>
  <c r="L106" i="4" s="1"/>
  <c r="G106" i="4"/>
  <c r="AI105" i="4"/>
  <c r="AD105" i="4"/>
  <c r="AA105" i="4"/>
  <c r="V105" i="4"/>
  <c r="Q105" i="4"/>
  <c r="L105" i="4"/>
  <c r="G105" i="4"/>
  <c r="AI104" i="4"/>
  <c r="AD104" i="4"/>
  <c r="AA104" i="4"/>
  <c r="V104" i="4"/>
  <c r="Q104" i="4"/>
  <c r="L104" i="4" s="1"/>
  <c r="G104" i="4"/>
  <c r="AI103" i="4"/>
  <c r="AD103" i="4"/>
  <c r="AA103" i="4"/>
  <c r="V103" i="4"/>
  <c r="Q103" i="4"/>
  <c r="L103" i="4"/>
  <c r="G103" i="4"/>
  <c r="AI102" i="4"/>
  <c r="AD102" i="4"/>
  <c r="AA102" i="4"/>
  <c r="V102" i="4"/>
  <c r="Q102" i="4"/>
  <c r="L102" i="4"/>
  <c r="G102" i="4"/>
  <c r="AI101" i="4"/>
  <c r="AD101" i="4"/>
  <c r="AA101" i="4"/>
  <c r="V101" i="4"/>
  <c r="L101" i="4" s="1"/>
  <c r="Q101" i="4"/>
  <c r="G101" i="4"/>
  <c r="AI100" i="4"/>
  <c r="AD100" i="4"/>
  <c r="AA100" i="4"/>
  <c r="V100" i="4"/>
  <c r="Q100" i="4"/>
  <c r="L100" i="4" s="1"/>
  <c r="G100" i="4"/>
  <c r="AI99" i="4"/>
  <c r="AD99" i="4"/>
  <c r="L99" i="4" s="1"/>
  <c r="AA99" i="4"/>
  <c r="V99" i="4"/>
  <c r="Q99" i="4"/>
  <c r="G99" i="4"/>
  <c r="AI98" i="4"/>
  <c r="AD98" i="4"/>
  <c r="AA98" i="4"/>
  <c r="V98" i="4"/>
  <c r="Q98" i="4"/>
  <c r="L98" i="4" s="1"/>
  <c r="G98" i="4"/>
  <c r="AI97" i="4"/>
  <c r="AD97" i="4"/>
  <c r="AA97" i="4"/>
  <c r="V97" i="4"/>
  <c r="Q97" i="4"/>
  <c r="L97" i="4" s="1"/>
  <c r="G97" i="4"/>
  <c r="AI96" i="4"/>
  <c r="AD96" i="4"/>
  <c r="AA96" i="4"/>
  <c r="V96" i="4"/>
  <c r="Q96" i="4"/>
  <c r="L96" i="4" s="1"/>
  <c r="G96" i="4"/>
  <c r="AI95" i="4"/>
  <c r="AD95" i="4"/>
  <c r="AA95" i="4"/>
  <c r="V95" i="4"/>
  <c r="Q95" i="4"/>
  <c r="L95" i="4" s="1"/>
  <c r="G95" i="4"/>
  <c r="AI94" i="4"/>
  <c r="AD94" i="4"/>
  <c r="AA94" i="4"/>
  <c r="V94" i="4"/>
  <c r="Q94" i="4"/>
  <c r="L94" i="4" s="1"/>
  <c r="G94" i="4"/>
  <c r="AI93" i="4"/>
  <c r="AD93" i="4"/>
  <c r="AA93" i="4"/>
  <c r="V93" i="4"/>
  <c r="Q93" i="4"/>
  <c r="L93" i="4"/>
  <c r="G93" i="4"/>
  <c r="AI92" i="4"/>
  <c r="AD92" i="4"/>
  <c r="AA92" i="4"/>
  <c r="V92" i="4"/>
  <c r="Q92" i="4"/>
  <c r="L92" i="4" s="1"/>
  <c r="G92" i="4"/>
  <c r="AI91" i="4"/>
  <c r="AD91" i="4"/>
  <c r="AA91" i="4"/>
  <c r="V91" i="4"/>
  <c r="Q91" i="4"/>
  <c r="L91" i="4"/>
  <c r="G91" i="4"/>
  <c r="AI90" i="4"/>
  <c r="AD90" i="4"/>
  <c r="AA90" i="4"/>
  <c r="V90" i="4"/>
  <c r="Q90" i="4"/>
  <c r="L90" i="4"/>
  <c r="G90" i="4"/>
  <c r="AI89" i="4"/>
  <c r="AD89" i="4"/>
  <c r="AA89" i="4"/>
  <c r="V89" i="4"/>
  <c r="L89" i="4" s="1"/>
  <c r="Q89" i="4"/>
  <c r="G89" i="4"/>
  <c r="AI88" i="4"/>
  <c r="AD88" i="4"/>
  <c r="AA88" i="4"/>
  <c r="V88" i="4"/>
  <c r="Q88" i="4"/>
  <c r="L88" i="4" s="1"/>
  <c r="G88" i="4"/>
  <c r="AI87" i="4"/>
  <c r="AD87" i="4"/>
  <c r="L87" i="4" s="1"/>
  <c r="AA87" i="4"/>
  <c r="V87" i="4"/>
  <c r="Q87" i="4"/>
  <c r="G87" i="4"/>
  <c r="AI86" i="4"/>
  <c r="AD86" i="4"/>
  <c r="AA86" i="4"/>
  <c r="V86" i="4"/>
  <c r="Q86" i="4"/>
  <c r="L86" i="4" s="1"/>
  <c r="G86" i="4"/>
  <c r="AI85" i="4"/>
  <c r="AD85" i="4"/>
  <c r="AA85" i="4"/>
  <c r="V85" i="4"/>
  <c r="Q85" i="4"/>
  <c r="L85" i="4" s="1"/>
  <c r="G85" i="4"/>
  <c r="AI84" i="4"/>
  <c r="AD84" i="4"/>
  <c r="AA84" i="4"/>
  <c r="V84" i="4"/>
  <c r="Q84" i="4"/>
  <c r="L84" i="4" s="1"/>
  <c r="G84" i="4"/>
  <c r="AI83" i="4"/>
  <c r="AD83" i="4"/>
  <c r="AA83" i="4"/>
  <c r="V83" i="4"/>
  <c r="Q83" i="4"/>
  <c r="L83" i="4" s="1"/>
  <c r="G83" i="4"/>
  <c r="AI82" i="4"/>
  <c r="AD82" i="4"/>
  <c r="AA82" i="4"/>
  <c r="V82" i="4"/>
  <c r="Q82" i="4"/>
  <c r="L82" i="4" s="1"/>
  <c r="G82" i="4"/>
  <c r="AI81" i="4"/>
  <c r="AD81" i="4"/>
  <c r="AA81" i="4"/>
  <c r="V81" i="4"/>
  <c r="Q81" i="4"/>
  <c r="L81" i="4"/>
  <c r="G81" i="4"/>
  <c r="AI80" i="4"/>
  <c r="AD80" i="4"/>
  <c r="AA80" i="4"/>
  <c r="V80" i="4"/>
  <c r="Q80" i="4"/>
  <c r="L80" i="4" s="1"/>
  <c r="G80" i="4"/>
  <c r="AI79" i="4"/>
  <c r="AD79" i="4"/>
  <c r="AA79" i="4"/>
  <c r="V79" i="4"/>
  <c r="Q79" i="4"/>
  <c r="L79" i="4"/>
  <c r="G79" i="4"/>
  <c r="AI78" i="4"/>
  <c r="AD78" i="4"/>
  <c r="AA78" i="4"/>
  <c r="V78" i="4"/>
  <c r="Q78" i="4"/>
  <c r="L78" i="4"/>
  <c r="G78" i="4"/>
  <c r="AI77" i="4"/>
  <c r="AD77" i="4"/>
  <c r="AA77" i="4"/>
  <c r="V77" i="4"/>
  <c r="L77" i="4" s="1"/>
  <c r="Q77" i="4"/>
  <c r="G77" i="4"/>
  <c r="AI76" i="4"/>
  <c r="AD76" i="4"/>
  <c r="AA76" i="4"/>
  <c r="V76" i="4"/>
  <c r="Q76" i="4"/>
  <c r="L76" i="4" s="1"/>
  <c r="G76" i="4"/>
  <c r="AI75" i="4"/>
  <c r="AD75" i="4"/>
  <c r="L75" i="4" s="1"/>
  <c r="AA75" i="4"/>
  <c r="V75" i="4"/>
  <c r="Q75" i="4"/>
  <c r="G75" i="4"/>
  <c r="AI74" i="4"/>
  <c r="AD74" i="4"/>
  <c r="AA74" i="4"/>
  <c r="V74" i="4"/>
  <c r="Q74" i="4"/>
  <c r="L74" i="4" s="1"/>
  <c r="G74" i="4"/>
  <c r="AI73" i="4"/>
  <c r="AD73" i="4"/>
  <c r="AA73" i="4"/>
  <c r="V73" i="4"/>
  <c r="Q73" i="4"/>
  <c r="L73" i="4" s="1"/>
  <c r="G73" i="4"/>
  <c r="AI72" i="4"/>
  <c r="AD72" i="4"/>
  <c r="AA72" i="4"/>
  <c r="V72" i="4"/>
  <c r="Q72" i="4"/>
  <c r="L72" i="4" s="1"/>
  <c r="G72" i="4"/>
  <c r="AI71" i="4"/>
  <c r="AD71" i="4"/>
  <c r="AA71" i="4"/>
  <c r="V71" i="4"/>
  <c r="Q71" i="4"/>
  <c r="L71" i="4" s="1"/>
  <c r="G71" i="4"/>
  <c r="AI70" i="4"/>
  <c r="AD70" i="4"/>
  <c r="AA70" i="4"/>
  <c r="V70" i="4"/>
  <c r="Q70" i="4"/>
  <c r="L70" i="4" s="1"/>
  <c r="G70" i="4"/>
  <c r="AI69" i="4"/>
  <c r="AD69" i="4"/>
  <c r="AA69" i="4"/>
  <c r="V69" i="4"/>
  <c r="Q69" i="4"/>
  <c r="L69" i="4"/>
  <c r="G69" i="4"/>
  <c r="AI68" i="4"/>
  <c r="AD68" i="4"/>
  <c r="AA68" i="4"/>
  <c r="V68" i="4"/>
  <c r="Q68" i="4"/>
  <c r="L68" i="4" s="1"/>
  <c r="G68" i="4"/>
  <c r="AI67" i="4"/>
  <c r="AD67" i="4"/>
  <c r="AA67" i="4"/>
  <c r="V67" i="4"/>
  <c r="Q67" i="4"/>
  <c r="L67" i="4"/>
  <c r="G67" i="4"/>
  <c r="AI66" i="4"/>
  <c r="AD66" i="4"/>
  <c r="AA66" i="4"/>
  <c r="V66" i="4"/>
  <c r="Q66" i="4"/>
  <c r="L66" i="4"/>
  <c r="G66" i="4"/>
  <c r="AI65" i="4"/>
  <c r="AD65" i="4"/>
  <c r="AA65" i="4"/>
  <c r="V65" i="4"/>
  <c r="Q65" i="4"/>
  <c r="L65" i="4" s="1"/>
  <c r="G65" i="4"/>
  <c r="AI64" i="4"/>
  <c r="AD64" i="4"/>
  <c r="AA64" i="4"/>
  <c r="V64" i="4"/>
  <c r="Q64" i="4"/>
  <c r="L64" i="4" s="1"/>
  <c r="G64" i="4"/>
  <c r="AI63" i="4"/>
  <c r="AD63" i="4"/>
  <c r="L63" i="4" s="1"/>
  <c r="AA63" i="4"/>
  <c r="V63" i="4"/>
  <c r="Q63" i="4"/>
  <c r="G63" i="4"/>
  <c r="AI62" i="4"/>
  <c r="AD62" i="4"/>
  <c r="AA62" i="4"/>
  <c r="V62" i="4"/>
  <c r="Q62" i="4"/>
  <c r="L62" i="4" s="1"/>
  <c r="G62" i="4"/>
  <c r="AI61" i="4"/>
  <c r="AD61" i="4"/>
  <c r="AA61" i="4"/>
  <c r="V61" i="4"/>
  <c r="Q61" i="4"/>
  <c r="L61" i="4" s="1"/>
  <c r="G61" i="4"/>
  <c r="AI60" i="4"/>
  <c r="AD60" i="4"/>
  <c r="AA60" i="4"/>
  <c r="V60" i="4"/>
  <c r="Q60" i="4"/>
  <c r="L60" i="4" s="1"/>
  <c r="G60" i="4"/>
  <c r="AI59" i="4"/>
  <c r="AD59" i="4"/>
  <c r="AA59" i="4"/>
  <c r="V59" i="4"/>
  <c r="Q59" i="4"/>
  <c r="L59" i="4" s="1"/>
  <c r="G59" i="4"/>
  <c r="AI58" i="4"/>
  <c r="AD58" i="4"/>
  <c r="AA58" i="4"/>
  <c r="V58" i="4"/>
  <c r="Q58" i="4"/>
  <c r="L58" i="4" s="1"/>
  <c r="G58" i="4"/>
  <c r="AI57" i="4"/>
  <c r="AD57" i="4"/>
  <c r="AA57" i="4"/>
  <c r="V57" i="4"/>
  <c r="Q57" i="4"/>
  <c r="L57" i="4"/>
  <c r="G57" i="4"/>
  <c r="AI56" i="4"/>
  <c r="AD56" i="4"/>
  <c r="AA56" i="4"/>
  <c r="V56" i="4"/>
  <c r="Q56" i="4"/>
  <c r="L56" i="4" s="1"/>
  <c r="G56" i="4"/>
  <c r="AI55" i="4"/>
  <c r="AD55" i="4"/>
  <c r="AA55" i="4"/>
  <c r="V55" i="4"/>
  <c r="Q55" i="4"/>
  <c r="L55" i="4"/>
  <c r="G55" i="4"/>
  <c r="AI54" i="4"/>
  <c r="AD54" i="4"/>
  <c r="AA54" i="4"/>
  <c r="V54" i="4"/>
  <c r="Q54" i="4"/>
  <c r="L54" i="4"/>
  <c r="G54" i="4"/>
  <c r="AI53" i="4"/>
  <c r="AD53" i="4"/>
  <c r="AA53" i="4"/>
  <c r="V53" i="4"/>
  <c r="Q53" i="4"/>
  <c r="L53" i="4" s="1"/>
  <c r="G53" i="4"/>
  <c r="AI52" i="4"/>
  <c r="AD52" i="4"/>
  <c r="AA52" i="4"/>
  <c r="V52" i="4"/>
  <c r="Q52" i="4"/>
  <c r="L52" i="4" s="1"/>
  <c r="G52" i="4"/>
  <c r="AI51" i="4"/>
  <c r="AD51" i="4"/>
  <c r="L51" i="4" s="1"/>
  <c r="AA51" i="4"/>
  <c r="V51" i="4"/>
  <c r="Q51" i="4"/>
  <c r="G51" i="4"/>
  <c r="AI50" i="4"/>
  <c r="AD50" i="4"/>
  <c r="AA50" i="4"/>
  <c r="V50" i="4"/>
  <c r="Q50" i="4"/>
  <c r="L50" i="4" s="1"/>
  <c r="G50" i="4"/>
  <c r="AI49" i="4"/>
  <c r="AD49" i="4"/>
  <c r="AA49" i="4"/>
  <c r="V49" i="4"/>
  <c r="Q49" i="4"/>
  <c r="L49" i="4" s="1"/>
  <c r="G49" i="4"/>
  <c r="AI48" i="4"/>
  <c r="AD48" i="4"/>
  <c r="AA48" i="4"/>
  <c r="V48" i="4"/>
  <c r="Q48" i="4"/>
  <c r="L48" i="4" s="1"/>
  <c r="G48" i="4"/>
  <c r="AI47" i="4"/>
  <c r="AD47" i="4"/>
  <c r="AA47" i="4"/>
  <c r="V47" i="4"/>
  <c r="Q47" i="4"/>
  <c r="L47" i="4" s="1"/>
  <c r="G47" i="4"/>
  <c r="AI46" i="4"/>
  <c r="AD46" i="4"/>
  <c r="AA46" i="4"/>
  <c r="V46" i="4"/>
  <c r="Q46" i="4"/>
  <c r="L46" i="4" s="1"/>
  <c r="G46" i="4"/>
  <c r="AI45" i="4"/>
  <c r="AD45" i="4"/>
  <c r="AA45" i="4"/>
  <c r="V45" i="4"/>
  <c r="Q45" i="4"/>
  <c r="L45" i="4"/>
  <c r="G45" i="4"/>
  <c r="AI44" i="4"/>
  <c r="AD44" i="4"/>
  <c r="AA44" i="4"/>
  <c r="V44" i="4"/>
  <c r="Q44" i="4"/>
  <c r="L44" i="4" s="1"/>
  <c r="G44" i="4"/>
  <c r="AI43" i="4"/>
  <c r="AD43" i="4"/>
  <c r="AA43" i="4"/>
  <c r="V43" i="4"/>
  <c r="Q43" i="4"/>
  <c r="L43" i="4"/>
  <c r="G43" i="4"/>
  <c r="AI42" i="4"/>
  <c r="AD42" i="4"/>
  <c r="AA42" i="4"/>
  <c r="V42" i="4"/>
  <c r="Q42" i="4"/>
  <c r="L42" i="4"/>
  <c r="G42" i="4"/>
  <c r="AI41" i="4"/>
  <c r="AD41" i="4"/>
  <c r="AA41" i="4"/>
  <c r="V41" i="4"/>
  <c r="Q41" i="4"/>
  <c r="L41" i="4" s="1"/>
  <c r="G41" i="4"/>
  <c r="AI40" i="4"/>
  <c r="AD40" i="4"/>
  <c r="AA40" i="4"/>
  <c r="V40" i="4"/>
  <c r="Q40" i="4"/>
  <c r="L40" i="4" s="1"/>
  <c r="G40" i="4"/>
  <c r="AI39" i="4"/>
  <c r="AD39" i="4"/>
  <c r="L39" i="4" s="1"/>
  <c r="AA39" i="4"/>
  <c r="V39" i="4"/>
  <c r="Q39" i="4"/>
  <c r="G39" i="4"/>
  <c r="AI38" i="4"/>
  <c r="AD38" i="4"/>
  <c r="AA38" i="4"/>
  <c r="V38" i="4"/>
  <c r="Q38" i="4"/>
  <c r="L38" i="4" s="1"/>
  <c r="G38" i="4"/>
  <c r="AI37" i="4"/>
  <c r="AD37" i="4"/>
  <c r="AA37" i="4"/>
  <c r="V37" i="4"/>
  <c r="Q37" i="4"/>
  <c r="L37" i="4" s="1"/>
  <c r="G37" i="4"/>
  <c r="AI36" i="4"/>
  <c r="AD36" i="4"/>
  <c r="AA36" i="4"/>
  <c r="V36" i="4"/>
  <c r="Q36" i="4"/>
  <c r="L36" i="4" s="1"/>
  <c r="G36" i="4"/>
  <c r="AI35" i="4"/>
  <c r="AD35" i="4"/>
  <c r="AA35" i="4"/>
  <c r="V35" i="4"/>
  <c r="Q35" i="4"/>
  <c r="L35" i="4"/>
  <c r="G35" i="4"/>
  <c r="AI34" i="4"/>
  <c r="AD34" i="4"/>
  <c r="AA34" i="4"/>
  <c r="V34" i="4"/>
  <c r="Q34" i="4"/>
  <c r="L34" i="4" s="1"/>
  <c r="G34" i="4"/>
  <c r="AI33" i="4"/>
  <c r="AD33" i="4"/>
  <c r="AA33" i="4"/>
  <c r="V33" i="4"/>
  <c r="Q33" i="4"/>
  <c r="L33" i="4"/>
  <c r="G33" i="4"/>
  <c r="AI32" i="4"/>
  <c r="AD32" i="4"/>
  <c r="AA32" i="4"/>
  <c r="V32" i="4"/>
  <c r="Q32" i="4"/>
  <c r="L32" i="4" s="1"/>
  <c r="G32" i="4"/>
  <c r="AI31" i="4"/>
  <c r="AD31" i="4"/>
  <c r="AA31" i="4"/>
  <c r="V31" i="4"/>
  <c r="Q31" i="4"/>
  <c r="L31" i="4"/>
  <c r="G31" i="4"/>
  <c r="AI30" i="4"/>
  <c r="AD30" i="4"/>
  <c r="AA30" i="4"/>
  <c r="V30" i="4"/>
  <c r="Q30" i="4"/>
  <c r="L30" i="4"/>
  <c r="G30" i="4"/>
  <c r="AI29" i="4"/>
  <c r="AD29" i="4"/>
  <c r="AA29" i="4"/>
  <c r="V29" i="4"/>
  <c r="Q29" i="4"/>
  <c r="L29" i="4" s="1"/>
  <c r="G29" i="4"/>
  <c r="AI28" i="4"/>
  <c r="AD28" i="4"/>
  <c r="AA28" i="4"/>
  <c r="V28" i="4"/>
  <c r="Q28" i="4"/>
  <c r="L28" i="4" s="1"/>
  <c r="G28" i="4"/>
  <c r="AI27" i="4"/>
  <c r="AD27" i="4"/>
  <c r="L27" i="4" s="1"/>
  <c r="AA27" i="4"/>
  <c r="V27" i="4"/>
  <c r="Q27" i="4"/>
  <c r="G27" i="4"/>
  <c r="AI26" i="4"/>
  <c r="AD26" i="4"/>
  <c r="AA26" i="4"/>
  <c r="V26" i="4"/>
  <c r="Q26" i="4"/>
  <c r="L26" i="4" s="1"/>
  <c r="G26" i="4"/>
  <c r="AI25" i="4"/>
  <c r="AD25" i="4"/>
  <c r="AA25" i="4"/>
  <c r="V25" i="4"/>
  <c r="Q25" i="4"/>
  <c r="L25" i="4" s="1"/>
  <c r="G25" i="4"/>
  <c r="AI24" i="4"/>
  <c r="AD24" i="4"/>
  <c r="AA24" i="4"/>
  <c r="V24" i="4"/>
  <c r="Q24" i="4"/>
  <c r="L24" i="4" s="1"/>
  <c r="G24" i="4"/>
  <c r="AI23" i="4"/>
  <c r="AD23" i="4"/>
  <c r="AA23" i="4"/>
  <c r="V23" i="4"/>
  <c r="Q23" i="4"/>
  <c r="L23" i="4"/>
  <c r="G23" i="4"/>
  <c r="AI22" i="4"/>
  <c r="AD22" i="4"/>
  <c r="AA22" i="4"/>
  <c r="V22" i="4"/>
  <c r="Q22" i="4"/>
  <c r="L22" i="4" s="1"/>
  <c r="G22" i="4"/>
  <c r="AI21" i="4"/>
  <c r="AD21" i="4"/>
  <c r="AA21" i="4"/>
  <c r="V21" i="4"/>
  <c r="Q21" i="4"/>
  <c r="L21" i="4"/>
  <c r="G21" i="4"/>
  <c r="AI20" i="4"/>
  <c r="AD20" i="4"/>
  <c r="AA20" i="4"/>
  <c r="V20" i="4"/>
  <c r="Q20" i="4"/>
  <c r="L20" i="4" s="1"/>
  <c r="G20" i="4"/>
  <c r="AI19" i="4"/>
  <c r="AD19" i="4"/>
  <c r="AA19" i="4"/>
  <c r="V19" i="4"/>
  <c r="Q19" i="4"/>
  <c r="L19" i="4"/>
  <c r="G19" i="4"/>
  <c r="AI18" i="4"/>
  <c r="AD18" i="4"/>
  <c r="AA18" i="4"/>
  <c r="V18" i="4"/>
  <c r="Q18" i="4"/>
  <c r="L18" i="4"/>
  <c r="G18" i="4"/>
  <c r="AI17" i="4"/>
  <c r="AD17" i="4"/>
  <c r="AA17" i="4"/>
  <c r="V17" i="4"/>
  <c r="Q17" i="4"/>
  <c r="L17" i="4" s="1"/>
  <c r="G17" i="4"/>
  <c r="AI16" i="4"/>
  <c r="AD16" i="4"/>
  <c r="AA16" i="4"/>
  <c r="V16" i="4"/>
  <c r="Q16" i="4"/>
  <c r="L16" i="4" s="1"/>
  <c r="G16" i="4"/>
  <c r="AI15" i="4"/>
  <c r="AD15" i="4"/>
  <c r="L15" i="4" s="1"/>
  <c r="AA15" i="4"/>
  <c r="V15" i="4"/>
  <c r="Q15" i="4"/>
  <c r="G15" i="4"/>
  <c r="AI14" i="4"/>
  <c r="AD14" i="4"/>
  <c r="AA14" i="4"/>
  <c r="V14" i="4"/>
  <c r="Q14" i="4"/>
  <c r="L14" i="4" s="1"/>
  <c r="G14" i="4"/>
  <c r="AI13" i="4"/>
  <c r="AD13" i="4"/>
  <c r="AA13" i="4"/>
  <c r="V13" i="4"/>
  <c r="Q13" i="4"/>
  <c r="L13" i="4" s="1"/>
  <c r="G13" i="4"/>
  <c r="AI12" i="4"/>
  <c r="AD12" i="4"/>
  <c r="AA12" i="4"/>
  <c r="V12" i="4"/>
  <c r="Q12" i="4"/>
  <c r="L12" i="4" s="1"/>
  <c r="G12" i="4"/>
  <c r="AI11" i="4"/>
  <c r="AD11" i="4"/>
  <c r="AA11" i="4"/>
  <c r="V11" i="4"/>
  <c r="Q11" i="4"/>
  <c r="L11" i="4"/>
  <c r="G11" i="4"/>
  <c r="AI10" i="4"/>
  <c r="AD10" i="4"/>
  <c r="AA10" i="4"/>
  <c r="V10" i="4"/>
  <c r="Q10" i="4"/>
  <c r="L10" i="4" s="1"/>
  <c r="G10" i="4"/>
  <c r="AI9" i="4"/>
  <c r="AD9" i="4"/>
  <c r="AA9" i="4"/>
  <c r="V9" i="4"/>
  <c r="Q9" i="4"/>
  <c r="L9" i="4"/>
  <c r="G9" i="4"/>
  <c r="AI8" i="4"/>
  <c r="AD8" i="4"/>
  <c r="AA8" i="4"/>
  <c r="V8" i="4"/>
  <c r="Q8" i="4"/>
  <c r="L8" i="4" s="1"/>
  <c r="G8" i="4"/>
  <c r="AI7" i="4"/>
  <c r="AI270" i="4" s="1"/>
  <c r="AD7" i="4"/>
  <c r="AD270" i="4" s="1"/>
  <c r="AA7" i="4"/>
  <c r="AA270" i="4" s="1"/>
  <c r="V7" i="4"/>
  <c r="V270" i="4" s="1"/>
  <c r="Q7" i="4"/>
  <c r="Q270" i="4" s="1"/>
  <c r="L7" i="4"/>
  <c r="G7" i="4"/>
  <c r="G270" i="4" s="1"/>
  <c r="L270" i="4" l="1"/>
</calcChain>
</file>

<file path=xl/sharedStrings.xml><?xml version="1.0" encoding="utf-8"?>
<sst xmlns="http://schemas.openxmlformats.org/spreadsheetml/2006/main" count="8399" uniqueCount="7306">
  <si>
    <t>G7212773</t>
  </si>
  <si>
    <t>박진</t>
  </si>
  <si>
    <t>G7189653</t>
  </si>
  <si>
    <t>신미지</t>
  </si>
  <si>
    <t>G7141795</t>
  </si>
  <si>
    <t>박상민</t>
  </si>
  <si>
    <t>G7103506</t>
  </si>
  <si>
    <t>김신규</t>
  </si>
  <si>
    <t>G7247403</t>
  </si>
  <si>
    <t>G7163900</t>
  </si>
  <si>
    <t>이성규</t>
  </si>
  <si>
    <t>G7206072</t>
  </si>
  <si>
    <t>유기범</t>
  </si>
  <si>
    <t>G7145808</t>
  </si>
  <si>
    <t>조수연</t>
  </si>
  <si>
    <t>G7177195</t>
  </si>
  <si>
    <t>장윤정</t>
  </si>
  <si>
    <t>G7187025</t>
  </si>
  <si>
    <t>남민화</t>
  </si>
  <si>
    <t>G7229974</t>
  </si>
  <si>
    <t>김정운</t>
  </si>
  <si>
    <t>G7209117</t>
  </si>
  <si>
    <t>이란</t>
  </si>
  <si>
    <t>충청신규2</t>
  </si>
  <si>
    <t>G7212774</t>
  </si>
  <si>
    <t>박자영</t>
  </si>
  <si>
    <t>G7186099</t>
  </si>
  <si>
    <t>채정석</t>
  </si>
  <si>
    <t>G7247396</t>
  </si>
  <si>
    <t>G7141839</t>
  </si>
  <si>
    <t>이정화</t>
  </si>
  <si>
    <t>G7209116</t>
  </si>
  <si>
    <t>유재목</t>
  </si>
  <si>
    <t>G7166134</t>
  </si>
  <si>
    <t>박정민</t>
  </si>
  <si>
    <t>G7174515</t>
  </si>
  <si>
    <t>이호성</t>
  </si>
  <si>
    <t>G7247402</t>
  </si>
  <si>
    <t>G7212772</t>
  </si>
  <si>
    <t>최정민</t>
  </si>
  <si>
    <t>3단신규1</t>
  </si>
  <si>
    <t>충청신규1</t>
  </si>
  <si>
    <t>G7113274/G7113292/G7141793</t>
  </si>
  <si>
    <t>[1사업단] - 김신규</t>
  </si>
  <si>
    <t>[1사업단] - 이정화</t>
  </si>
  <si>
    <t>[1사업단] - 장윤정</t>
  </si>
  <si>
    <t>[1사업단] - 채정석</t>
  </si>
  <si>
    <t>[2사업단] - 박상민</t>
  </si>
  <si>
    <t>[2사업단] - 박정민</t>
  </si>
  <si>
    <t>[2사업단] - 박진</t>
  </si>
  <si>
    <t>[2사업단] - 신미지</t>
  </si>
  <si>
    <t>[2사업단] - 오영주</t>
  </si>
  <si>
    <t>[2사업단] - 정지혜</t>
  </si>
  <si>
    <t>[3사업단] - 유재목</t>
  </si>
  <si>
    <t>[3사업단] - 이호성</t>
  </si>
  <si>
    <t>[3사업단] - 이선미</t>
  </si>
  <si>
    <t>[3사업단] - 조현주</t>
  </si>
  <si>
    <t>[4사업단] - 조수연</t>
  </si>
  <si>
    <t>[4사업단] - 김정운</t>
  </si>
  <si>
    <t>[4사업단] - 남민화</t>
  </si>
  <si>
    <t>[직할사업단] - 전혜정/이호준/김민준</t>
  </si>
  <si>
    <t>상품명</t>
  </si>
  <si>
    <t>상품군</t>
  </si>
  <si>
    <t>(무)하나뿐인 변액연금보험_적립형</t>
  </si>
  <si>
    <t>변액</t>
  </si>
  <si>
    <t>(무)THE 든든한 연금보험(일반심사형, 100세보증 종신연금형)</t>
  </si>
  <si>
    <t>연금</t>
  </si>
  <si>
    <t>(무)THE 든든한 연금보험(일반심사형, 100세 확정연금형)</t>
  </si>
  <si>
    <t>(무)THE 든든한 연금보험(간편심사형, 100세 확정연금형)</t>
  </si>
  <si>
    <t>(무)하나로 100UP 종신보험(일반심사형, 해약환급금 일부지급형, 보장형 계약)</t>
  </si>
  <si>
    <t>종신</t>
  </si>
  <si>
    <t>(무)하나로 100UP 종신보험(간편심사형, 해약환급금 일부지급형, 보장형 계약)</t>
  </si>
  <si>
    <t>(무)하나로 THE 연결된 종신보험(일반심사형, 해약환급금 일부지급형, 보장형 계약)</t>
  </si>
  <si>
    <t>(무)하나로 THE 연결된 종신보험(간편심사형, 해약환급금 일부지급형, 보장형 계약)</t>
  </si>
  <si>
    <t>(무)하나로누리는건강보험(갱신형, 일반심사형, 최초계약)</t>
  </si>
  <si>
    <t>건강</t>
  </si>
  <si>
    <t>(무)하나로누리는건강보험(갱신형, 305 간편심사형, 최초계약)</t>
  </si>
  <si>
    <t>(무)하나로누리는건강보험(갱신형, 335 간편심사형, 최초계약)</t>
  </si>
  <si>
    <t>(무)하나로누리는건강보험(갱신형, 355 간편심사형, 최초계약)</t>
  </si>
  <si>
    <t>(무)하나로라이트3.10.5간편건강보험(갱신형, 최초계약)</t>
  </si>
  <si>
    <t>(무)하나로누리는건강보험(해약환급금 미지급형, 일반심사형)</t>
  </si>
  <si>
    <t>(무)하나로누리는건강보험(일반형, 일반심사형)</t>
  </si>
  <si>
    <t>(무)하나로누리는건강보험(해약환급금 미지급형, 305 간편심사형)</t>
  </si>
  <si>
    <t>(무)하나로누리는건강보험(일반형, 305 간편심사형)</t>
  </si>
  <si>
    <t>(무)하나로누리는건강보험(해약환급금 미지급형, 335 간편심사형)</t>
  </si>
  <si>
    <t>(무)하나로누리는건강보험(일반형, 335 간편심사형)</t>
  </si>
  <si>
    <t>(무)하나로누리는건강보험(해약환급금 미지급형, 355 간편심사형)</t>
  </si>
  <si>
    <t>(무)하나로누리는건강보험(일반형, 355 간편심사형)</t>
  </si>
  <si>
    <t>(무)하나로라이트3.10.5 간편건강보험(해약환급금 미지급형)</t>
  </si>
  <si>
    <t>(무)하나로라이트3.10.5 간편건강보험(일반형)</t>
  </si>
  <si>
    <t>사업단</t>
  </si>
  <si>
    <t>GRM코드</t>
  </si>
  <si>
    <t>GRM명</t>
  </si>
  <si>
    <t>지역</t>
  </si>
  <si>
    <t>활동권역</t>
  </si>
  <si>
    <t>지사수</t>
  </si>
  <si>
    <t>가동인원</t>
  </si>
  <si>
    <t>총 MCP(백만)</t>
  </si>
  <si>
    <t>단기납종신 MCP(백만)</t>
  </si>
  <si>
    <t>장기납종신 MCP(백만)</t>
  </si>
  <si>
    <t>치매 MCP(백만)</t>
  </si>
  <si>
    <t>통합 MCP(백만)</t>
  </si>
  <si>
    <t>연금(변액) MCP(백만)</t>
  </si>
  <si>
    <t>4개월 평균</t>
  </si>
  <si>
    <t>2개월 평균</t>
  </si>
  <si>
    <t>1단</t>
  </si>
  <si>
    <t>경기</t>
  </si>
  <si>
    <t>경기/광명</t>
  </si>
  <si>
    <t>경기/안산</t>
  </si>
  <si>
    <t>경기/안양</t>
  </si>
  <si>
    <t>서울</t>
  </si>
  <si>
    <t>서울/강남구</t>
  </si>
  <si>
    <t>서울/서초구</t>
  </si>
  <si>
    <t>경기/과천</t>
  </si>
  <si>
    <t>서울/강동구</t>
  </si>
  <si>
    <t>경기/성남</t>
  </si>
  <si>
    <t>강원</t>
  </si>
  <si>
    <t>강원/강릉</t>
  </si>
  <si>
    <t>강원/고성</t>
  </si>
  <si>
    <t>강원/동해</t>
  </si>
  <si>
    <t>강원/삼척</t>
  </si>
  <si>
    <t>강원/속초</t>
  </si>
  <si>
    <t>강원/양구</t>
  </si>
  <si>
    <t>강원/양양</t>
  </si>
  <si>
    <t>강원/영월</t>
  </si>
  <si>
    <t>강원/원주</t>
  </si>
  <si>
    <t>강원/인제</t>
  </si>
  <si>
    <t>강원/정선</t>
  </si>
  <si>
    <t>강원/철원</t>
  </si>
  <si>
    <t>강원/춘천</t>
  </si>
  <si>
    <t>강원/태백</t>
  </si>
  <si>
    <t>강원/평창</t>
  </si>
  <si>
    <t>강원/홍천</t>
  </si>
  <si>
    <t>강원/횡성</t>
  </si>
  <si>
    <t>서울/강북구</t>
  </si>
  <si>
    <t>서울/노원구</t>
  </si>
  <si>
    <t>서울/도봉구</t>
  </si>
  <si>
    <t>경기/동두천</t>
  </si>
  <si>
    <t>경기/양주</t>
  </si>
  <si>
    <t>경기/연천</t>
  </si>
  <si>
    <t>경기/의정부</t>
  </si>
  <si>
    <t>경기/포천</t>
  </si>
  <si>
    <t>2단</t>
  </si>
  <si>
    <t>인천</t>
  </si>
  <si>
    <t>인천/강화군</t>
  </si>
  <si>
    <t>인천/계양구</t>
  </si>
  <si>
    <t>인천/남동구</t>
  </si>
  <si>
    <t>인천/동구</t>
  </si>
  <si>
    <t>인천/미추홀구</t>
  </si>
  <si>
    <t>인천/부평구</t>
  </si>
  <si>
    <t>인천/서구</t>
  </si>
  <si>
    <t>인천/연수구</t>
  </si>
  <si>
    <t>인천/중구</t>
  </si>
  <si>
    <t>서울/양천구</t>
  </si>
  <si>
    <t>서울/영등포구</t>
  </si>
  <si>
    <t>서울/마포구</t>
  </si>
  <si>
    <t>서울/서대문구</t>
  </si>
  <si>
    <t>서울/은평구</t>
  </si>
  <si>
    <t>경기/고양</t>
  </si>
  <si>
    <t>경기/김포</t>
  </si>
  <si>
    <t>경기/파주</t>
  </si>
  <si>
    <t>서울/광진구</t>
  </si>
  <si>
    <t>서울/성동구</t>
  </si>
  <si>
    <t>경기/가평</t>
  </si>
  <si>
    <t>경기/구리</t>
  </si>
  <si>
    <t>경기/남양주</t>
  </si>
  <si>
    <t>경기/양평</t>
  </si>
  <si>
    <t>경기/하남</t>
  </si>
  <si>
    <t>2단신규1</t>
  </si>
  <si>
    <t>경기/부천</t>
  </si>
  <si>
    <t>2단신규2</t>
  </si>
  <si>
    <t>서울/강서구</t>
  </si>
  <si>
    <t>서울/금천구</t>
  </si>
  <si>
    <t>서울/성북구</t>
  </si>
  <si>
    <t>서울/송파구</t>
  </si>
  <si>
    <t>경기/수원</t>
  </si>
  <si>
    <t>경기/용인</t>
  </si>
  <si>
    <t>경기/화성</t>
  </si>
  <si>
    <t>부산</t>
  </si>
  <si>
    <t>부산/동구</t>
  </si>
  <si>
    <t>부산/해운대구</t>
  </si>
  <si>
    <t>경남</t>
  </si>
  <si>
    <t>경남/창원</t>
  </si>
  <si>
    <t>3단</t>
  </si>
  <si>
    <t>서울/종로구</t>
  </si>
  <si>
    <t>서울/구로구</t>
  </si>
  <si>
    <t>경기/군포</t>
  </si>
  <si>
    <t>경기/시흥</t>
  </si>
  <si>
    <t>경기/의왕</t>
  </si>
  <si>
    <t>경기/광주</t>
  </si>
  <si>
    <t>경기/여주</t>
  </si>
  <si>
    <t>경기/이천</t>
  </si>
  <si>
    <t>경기/안성</t>
  </si>
  <si>
    <t>경기/오산</t>
  </si>
  <si>
    <t>경기/평택</t>
  </si>
  <si>
    <t>서울/동대문구</t>
  </si>
  <si>
    <t>서울/중구</t>
  </si>
  <si>
    <t>서울/중랑구</t>
  </si>
  <si>
    <t>3단신규2</t>
  </si>
  <si>
    <t>서울/관악구</t>
  </si>
  <si>
    <t>서울/동작구</t>
  </si>
  <si>
    <t>서울/용산구</t>
  </si>
  <si>
    <t>4단</t>
  </si>
  <si>
    <t>대구</t>
  </si>
  <si>
    <t>대구/남구</t>
  </si>
  <si>
    <t>대구/달서구</t>
  </si>
  <si>
    <t>대구/달성군</t>
  </si>
  <si>
    <t>대구/동구</t>
  </si>
  <si>
    <t>대구/북구</t>
  </si>
  <si>
    <t>대구/서구</t>
  </si>
  <si>
    <t>대구/수성구</t>
  </si>
  <si>
    <t>대구/중구</t>
  </si>
  <si>
    <t>경북</t>
  </si>
  <si>
    <t>경북/경산</t>
  </si>
  <si>
    <t>경북/경주</t>
  </si>
  <si>
    <t>경북/구미</t>
  </si>
  <si>
    <t>경북/김천</t>
  </si>
  <si>
    <t>경북/문경</t>
  </si>
  <si>
    <t>경북/상주</t>
  </si>
  <si>
    <t>경북/성주</t>
  </si>
  <si>
    <t>경북/안동</t>
  </si>
  <si>
    <t>경북/영주</t>
  </si>
  <si>
    <t>경북/영천</t>
  </si>
  <si>
    <t>경북/예천</t>
  </si>
  <si>
    <t>경북/울진</t>
  </si>
  <si>
    <t>경북/의성</t>
  </si>
  <si>
    <t>경북/청도</t>
  </si>
  <si>
    <t>경북/칠곡</t>
  </si>
  <si>
    <t>경북/포항</t>
  </si>
  <si>
    <t>부산/기장군</t>
  </si>
  <si>
    <t>부산/부산진구</t>
  </si>
  <si>
    <t>부산/북구</t>
  </si>
  <si>
    <t>부산/사상구</t>
  </si>
  <si>
    <t>부산/수영구</t>
  </si>
  <si>
    <t>부산/중구</t>
  </si>
  <si>
    <t>울산</t>
  </si>
  <si>
    <t>울산/남구</t>
  </si>
  <si>
    <t>울산/동구</t>
  </si>
  <si>
    <t>울산/북구</t>
  </si>
  <si>
    <t>울산/울주군</t>
  </si>
  <si>
    <t>울산/중구</t>
  </si>
  <si>
    <t>경남/거제</t>
  </si>
  <si>
    <t>경남/고성</t>
  </si>
  <si>
    <t>경남/김해</t>
  </si>
  <si>
    <t>경남/양산</t>
  </si>
  <si>
    <t>경남/통영</t>
  </si>
  <si>
    <t>부산/강서구</t>
  </si>
  <si>
    <t>부산/금정구</t>
  </si>
  <si>
    <t>부산/남구</t>
  </si>
  <si>
    <t>부산/동래구</t>
  </si>
  <si>
    <t>부산/사하구</t>
  </si>
  <si>
    <t>부산/연제구</t>
  </si>
  <si>
    <t>경남/거창</t>
  </si>
  <si>
    <t>경남/남해</t>
  </si>
  <si>
    <t>경남/밀양</t>
  </si>
  <si>
    <t>경남/사천</t>
  </si>
  <si>
    <t>경남/산청</t>
  </si>
  <si>
    <t>경남/진주</t>
  </si>
  <si>
    <t>경남/창녕</t>
  </si>
  <si>
    <t>경남/하동</t>
  </si>
  <si>
    <t>경남/함안</t>
  </si>
  <si>
    <t>경남/함양</t>
  </si>
  <si>
    <t>경남/합천</t>
  </si>
  <si>
    <t>전북</t>
  </si>
  <si>
    <t>전북/고창</t>
  </si>
  <si>
    <t>전북/군산</t>
  </si>
  <si>
    <t>전북/김제</t>
  </si>
  <si>
    <t>전북/남원</t>
  </si>
  <si>
    <t>전북/부안</t>
  </si>
  <si>
    <t>전북/순창</t>
  </si>
  <si>
    <t>전북/완주</t>
  </si>
  <si>
    <t>전북/익산</t>
  </si>
  <si>
    <t>전북/전주</t>
  </si>
  <si>
    <t>전북/정읍</t>
  </si>
  <si>
    <t>전북/진안</t>
  </si>
  <si>
    <t>전남</t>
  </si>
  <si>
    <t>전남/목포</t>
  </si>
  <si>
    <t>광주</t>
  </si>
  <si>
    <t>광주/광산구</t>
  </si>
  <si>
    <t>광주/동구</t>
  </si>
  <si>
    <t>광주/서구</t>
  </si>
  <si>
    <t>전남/강진</t>
  </si>
  <si>
    <t>전남/나주</t>
  </si>
  <si>
    <t>전남/무안</t>
  </si>
  <si>
    <t>전남/영광</t>
  </si>
  <si>
    <t>전남/영암</t>
  </si>
  <si>
    <t>전남/완도</t>
  </si>
  <si>
    <t>전남/장흥</t>
  </si>
  <si>
    <t>전남/진도</t>
  </si>
  <si>
    <t>전남/함평</t>
  </si>
  <si>
    <t>전남/해남</t>
  </si>
  <si>
    <t>제주</t>
  </si>
  <si>
    <t>제주/서귀포</t>
  </si>
  <si>
    <t>제주/제주</t>
  </si>
  <si>
    <t>광주/남구</t>
  </si>
  <si>
    <t>광주/북구</t>
  </si>
  <si>
    <t>전남/고흥</t>
  </si>
  <si>
    <t>전남/곡성</t>
  </si>
  <si>
    <t>전남/광양</t>
  </si>
  <si>
    <t>전남/구례</t>
  </si>
  <si>
    <t>전남/담양</t>
  </si>
  <si>
    <t>전남/순천</t>
  </si>
  <si>
    <t>전남/여수</t>
  </si>
  <si>
    <t>전남/화순</t>
  </si>
  <si>
    <t>대전</t>
  </si>
  <si>
    <t>대전/대덕구</t>
  </si>
  <si>
    <t>대전/동구</t>
  </si>
  <si>
    <t>대전/서구</t>
  </si>
  <si>
    <t>대전/유성구</t>
  </si>
  <si>
    <t>대전/중구</t>
  </si>
  <si>
    <t>충남</t>
  </si>
  <si>
    <t>충남/계룡</t>
  </si>
  <si>
    <t>충남/공주</t>
  </si>
  <si>
    <t>충남/금산</t>
  </si>
  <si>
    <t>충남/논산</t>
  </si>
  <si>
    <t>충남/당진</t>
  </si>
  <si>
    <t>충남/보령</t>
  </si>
  <si>
    <t>충남/부여</t>
  </si>
  <si>
    <t>충남/서산</t>
  </si>
  <si>
    <t>충남/서천</t>
  </si>
  <si>
    <t>충남/아산</t>
  </si>
  <si>
    <t>충남/예산</t>
  </si>
  <si>
    <t>충남/청양</t>
  </si>
  <si>
    <t>충남/태안</t>
  </si>
  <si>
    <t>충남/홍성</t>
  </si>
  <si>
    <t>세종</t>
  </si>
  <si>
    <t>세종/세종시</t>
  </si>
  <si>
    <t>충남/천안</t>
  </si>
  <si>
    <t>충북</t>
  </si>
  <si>
    <t>충북/괴산</t>
  </si>
  <si>
    <t>충북/보은</t>
  </si>
  <si>
    <t>충북/영동</t>
  </si>
  <si>
    <t>충북/옥천</t>
  </si>
  <si>
    <t>충북/음성</t>
  </si>
  <si>
    <t>충북/제천</t>
  </si>
  <si>
    <t>충북/증평</t>
  </si>
  <si>
    <t>충북/진천</t>
  </si>
  <si>
    <t>충북/청주</t>
  </si>
  <si>
    <t>충북/충주</t>
  </si>
  <si>
    <t>직할단</t>
  </si>
  <si>
    <t>전혜정/이호준/김민준</t>
  </si>
  <si>
    <t>G7247404</t>
  </si>
  <si>
    <t>G7247400</t>
  </si>
  <si>
    <t>[3사업단] - 송치홍</t>
  </si>
  <si>
    <t>[4사업단] - 유기범</t>
  </si>
  <si>
    <t>[4사업단] - 이란</t>
  </si>
  <si>
    <t>[4사업단] - 박자영</t>
  </si>
  <si>
    <t>954055</t>
  </si>
  <si>
    <t>988994</t>
  </si>
  <si>
    <t>979002</t>
  </si>
  <si>
    <t>989261</t>
  </si>
  <si>
    <t>975174</t>
  </si>
  <si>
    <t>993117</t>
  </si>
  <si>
    <t>980135</t>
  </si>
  <si>
    <t>955168</t>
  </si>
  <si>
    <t>955103</t>
  </si>
  <si>
    <t>995121</t>
  </si>
  <si>
    <t>971084</t>
  </si>
  <si>
    <t>970001</t>
  </si>
  <si>
    <t>991038</t>
  </si>
  <si>
    <t>955021</t>
  </si>
  <si>
    <t>988964</t>
  </si>
  <si>
    <t>955032</t>
  </si>
  <si>
    <t>988186</t>
  </si>
  <si>
    <t>986451</t>
  </si>
  <si>
    <t>988932</t>
  </si>
  <si>
    <t>975047</t>
  </si>
  <si>
    <t>955098</t>
  </si>
  <si>
    <t>986464</t>
  </si>
  <si>
    <t>986454</t>
  </si>
  <si>
    <t>993064</t>
  </si>
  <si>
    <t>998196</t>
  </si>
  <si>
    <t>954074</t>
  </si>
  <si>
    <t>995083</t>
  </si>
  <si>
    <t>979047</t>
  </si>
  <si>
    <t>998140</t>
  </si>
  <si>
    <t>982257</t>
  </si>
  <si>
    <t>967037</t>
  </si>
  <si>
    <t>980178</t>
  </si>
  <si>
    <t>992244</t>
  </si>
  <si>
    <t>955027</t>
  </si>
  <si>
    <t>976011</t>
  </si>
  <si>
    <t>971099</t>
  </si>
  <si>
    <t>960057</t>
  </si>
  <si>
    <t>967030</t>
  </si>
  <si>
    <t>955020</t>
  </si>
  <si>
    <t>995309</t>
  </si>
  <si>
    <t>955029</t>
  </si>
  <si>
    <t>995076</t>
  </si>
  <si>
    <t>988986</t>
  </si>
  <si>
    <t>989312</t>
  </si>
  <si>
    <t>940055</t>
  </si>
  <si>
    <t>992168</t>
  </si>
  <si>
    <t>966066</t>
  </si>
  <si>
    <t>986582</t>
  </si>
  <si>
    <t>966154</t>
  </si>
  <si>
    <t>983048</t>
  </si>
  <si>
    <t>954106</t>
  </si>
  <si>
    <t>989088</t>
  </si>
  <si>
    <t>998080</t>
  </si>
  <si>
    <t>975147</t>
  </si>
  <si>
    <t>993081</t>
  </si>
  <si>
    <t>976027</t>
  </si>
  <si>
    <t>976052</t>
  </si>
  <si>
    <t>954118</t>
  </si>
  <si>
    <t>996050</t>
  </si>
  <si>
    <t>958014</t>
  </si>
  <si>
    <t>989326</t>
  </si>
  <si>
    <t>995290</t>
  </si>
  <si>
    <t>986142</t>
  </si>
  <si>
    <t>955022</t>
  </si>
  <si>
    <t>978057</t>
  </si>
  <si>
    <t>955006</t>
  </si>
  <si>
    <t>993065</t>
  </si>
  <si>
    <t>986525</t>
  </si>
  <si>
    <t>996390</t>
  </si>
  <si>
    <t>940101</t>
  </si>
  <si>
    <t>982082</t>
  </si>
  <si>
    <t>955065</t>
  </si>
  <si>
    <t>995279</t>
  </si>
  <si>
    <t>992176</t>
  </si>
  <si>
    <t>998148</t>
  </si>
  <si>
    <t>954109</t>
  </si>
  <si>
    <t>972001</t>
  </si>
  <si>
    <t>973001</t>
  </si>
  <si>
    <t>982227</t>
  </si>
  <si>
    <t>993082</t>
  </si>
  <si>
    <t>977036</t>
  </si>
  <si>
    <t>955196</t>
  </si>
  <si>
    <t>954135</t>
  </si>
  <si>
    <t>975171</t>
  </si>
  <si>
    <t>980202</t>
  </si>
  <si>
    <t>956022</t>
  </si>
  <si>
    <t>962002</t>
  </si>
  <si>
    <t>985045</t>
  </si>
  <si>
    <t>955217</t>
  </si>
  <si>
    <t>978058</t>
  </si>
  <si>
    <t>992373</t>
  </si>
  <si>
    <t>988138</t>
  </si>
  <si>
    <t>995301</t>
  </si>
  <si>
    <t>993102</t>
  </si>
  <si>
    <t>984110</t>
  </si>
  <si>
    <t>989315</t>
  </si>
  <si>
    <t>940103</t>
  </si>
  <si>
    <t>986600</t>
  </si>
  <si>
    <t>975118</t>
  </si>
  <si>
    <t>983049</t>
  </si>
  <si>
    <t>954112</t>
  </si>
  <si>
    <t>972075</t>
  </si>
  <si>
    <t>973002</t>
  </si>
  <si>
    <t>975063</t>
  </si>
  <si>
    <t>992652</t>
  </si>
  <si>
    <t>977046</t>
  </si>
  <si>
    <t>995115</t>
  </si>
  <si>
    <t>986302</t>
  </si>
  <si>
    <t>954078</t>
  </si>
  <si>
    <t>992455</t>
  </si>
  <si>
    <t>975140</t>
  </si>
  <si>
    <t>976007</t>
  </si>
  <si>
    <t>980209</t>
  </si>
  <si>
    <t>955025</t>
  </si>
  <si>
    <t>980086</t>
  </si>
  <si>
    <t>975109</t>
  </si>
  <si>
    <t>988164</t>
  </si>
  <si>
    <t>967023</t>
  </si>
  <si>
    <t>992453</t>
  </si>
  <si>
    <t>989318</t>
  </si>
  <si>
    <t>984095</t>
  </si>
  <si>
    <t>986475</t>
  </si>
  <si>
    <t>982247</t>
  </si>
  <si>
    <t>994051</t>
  </si>
  <si>
    <t>983104</t>
  </si>
  <si>
    <t>954134</t>
  </si>
  <si>
    <t>978053</t>
  </si>
  <si>
    <t>992606</t>
  </si>
  <si>
    <t>990069</t>
  </si>
  <si>
    <t>992780</t>
  </si>
  <si>
    <t>991106</t>
  </si>
  <si>
    <t>975139</t>
  </si>
  <si>
    <t>990035</t>
  </si>
  <si>
    <t>986212</t>
  </si>
  <si>
    <t>980170</t>
  </si>
  <si>
    <t>980204</t>
  </si>
  <si>
    <t>991145</t>
  </si>
  <si>
    <t>992597</t>
  </si>
  <si>
    <t>992777</t>
  </si>
  <si>
    <t>986081</t>
  </si>
  <si>
    <t>996042</t>
  </si>
  <si>
    <t>988183</t>
  </si>
  <si>
    <t>992620</t>
  </si>
  <si>
    <t>996214</t>
  </si>
  <si>
    <t>979016</t>
  </si>
  <si>
    <t>954179</t>
  </si>
  <si>
    <t>988517</t>
  </si>
  <si>
    <t>976089</t>
  </si>
  <si>
    <t>954180</t>
  </si>
  <si>
    <t>998172</t>
  </si>
  <si>
    <t>954147</t>
  </si>
  <si>
    <t>982005</t>
  </si>
  <si>
    <t>989089</t>
  </si>
  <si>
    <t>986067</t>
  </si>
  <si>
    <t>996403</t>
  </si>
  <si>
    <t>998188</t>
  </si>
  <si>
    <t>975172</t>
  </si>
  <si>
    <t>992742</t>
  </si>
  <si>
    <t>986122</t>
  </si>
  <si>
    <t>986027</t>
  </si>
  <si>
    <t>982091</t>
  </si>
  <si>
    <t>988985</t>
  </si>
  <si>
    <t>982106</t>
  </si>
  <si>
    <t>986279</t>
  </si>
  <si>
    <t>955113</t>
  </si>
  <si>
    <t>996051</t>
  </si>
  <si>
    <t>988910</t>
  </si>
  <si>
    <t>995187</t>
  </si>
  <si>
    <t>996215</t>
  </si>
  <si>
    <t>986328</t>
  </si>
  <si>
    <t>988874</t>
  </si>
  <si>
    <t>988520</t>
  </si>
  <si>
    <t>976090</t>
  </si>
  <si>
    <t>986383</t>
  </si>
  <si>
    <t>998005</t>
  </si>
  <si>
    <t>954164</t>
  </si>
  <si>
    <t>955073</t>
  </si>
  <si>
    <t>993105</t>
  </si>
  <si>
    <t>988115</t>
  </si>
  <si>
    <t>995306</t>
  </si>
  <si>
    <t>955090</t>
  </si>
  <si>
    <t>976010</t>
  </si>
  <si>
    <t>995278</t>
  </si>
  <si>
    <t>978069</t>
  </si>
  <si>
    <t>986028</t>
  </si>
  <si>
    <t>982255</t>
  </si>
  <si>
    <t>988998</t>
  </si>
  <si>
    <t>988951</t>
  </si>
  <si>
    <t>954254</t>
  </si>
  <si>
    <t>955209</t>
  </si>
  <si>
    <t>960008</t>
  </si>
  <si>
    <t>954163</t>
  </si>
  <si>
    <t>996277</t>
  </si>
  <si>
    <t>996216</t>
  </si>
  <si>
    <t>984076</t>
  </si>
  <si>
    <t>981059</t>
  </si>
  <si>
    <t>986471</t>
  </si>
  <si>
    <t>982027</t>
  </si>
  <si>
    <t>998162</t>
  </si>
  <si>
    <t>998096</t>
  </si>
  <si>
    <t>954174</t>
  </si>
  <si>
    <t>988952</t>
  </si>
  <si>
    <t>940001</t>
  </si>
  <si>
    <t>995069</t>
  </si>
  <si>
    <t>956001</t>
  </si>
  <si>
    <t>955026</t>
  </si>
  <si>
    <t>986573</t>
  </si>
  <si>
    <t>955093</t>
  </si>
  <si>
    <t>976001</t>
  </si>
  <si>
    <t>940060</t>
  </si>
  <si>
    <t>988469</t>
  </si>
  <si>
    <t>958013</t>
  </si>
  <si>
    <t>975084</t>
  </si>
  <si>
    <t>986293</t>
  </si>
  <si>
    <t>990025</t>
  </si>
  <si>
    <t>960025</t>
  </si>
  <si>
    <t>989303</t>
  </si>
  <si>
    <t>955115</t>
  </si>
  <si>
    <t>996220</t>
  </si>
  <si>
    <t>992775</t>
  </si>
  <si>
    <t>992558</t>
  </si>
  <si>
    <t>989185</t>
  </si>
  <si>
    <t>992120</t>
  </si>
  <si>
    <t>978038</t>
  </si>
  <si>
    <t>998097</t>
  </si>
  <si>
    <t>954208</t>
  </si>
  <si>
    <t>972034</t>
  </si>
  <si>
    <t>994041</t>
  </si>
  <si>
    <t>994034</t>
  </si>
  <si>
    <t>982032</t>
  </si>
  <si>
    <t>993089</t>
  </si>
  <si>
    <t>992273</t>
  </si>
  <si>
    <t>955122</t>
  </si>
  <si>
    <t>995280</t>
  </si>
  <si>
    <t>988958</t>
  </si>
  <si>
    <t>989072</t>
  </si>
  <si>
    <t>940041</t>
  </si>
  <si>
    <t>976025</t>
  </si>
  <si>
    <t>995267</t>
  </si>
  <si>
    <t>998185</t>
  </si>
  <si>
    <t>995077</t>
  </si>
  <si>
    <t>988187</t>
  </si>
  <si>
    <t>992057</t>
  </si>
  <si>
    <t>988621</t>
  </si>
  <si>
    <t>986332</t>
  </si>
  <si>
    <t>986331</t>
  </si>
  <si>
    <t>994036</t>
  </si>
  <si>
    <t>984102</t>
  </si>
  <si>
    <t>998144</t>
  </si>
  <si>
    <t>954217</t>
  </si>
  <si>
    <t>972016</t>
  </si>
  <si>
    <t>989332</t>
  </si>
  <si>
    <t>954239</t>
  </si>
  <si>
    <t>992553</t>
  </si>
  <si>
    <t>998028</t>
  </si>
  <si>
    <t>977044</t>
  </si>
  <si>
    <t>955167</t>
  </si>
  <si>
    <t>961001</t>
  </si>
  <si>
    <t>988989</t>
  </si>
  <si>
    <t>954175</t>
  </si>
  <si>
    <t>976071</t>
  </si>
  <si>
    <t>980152</t>
  </si>
  <si>
    <t>988405</t>
  </si>
  <si>
    <t>992564</t>
  </si>
  <si>
    <t>988081</t>
  </si>
  <si>
    <t>986539</t>
  </si>
  <si>
    <t>988781</t>
  </si>
  <si>
    <t>994004</t>
  </si>
  <si>
    <t>992395</t>
  </si>
  <si>
    <t>986336</t>
  </si>
  <si>
    <t>989179</t>
  </si>
  <si>
    <t>976088</t>
  </si>
  <si>
    <t>986408</t>
  </si>
  <si>
    <t>998149</t>
  </si>
  <si>
    <t>954226</t>
  </si>
  <si>
    <t>995248</t>
  </si>
  <si>
    <t>968001</t>
  </si>
  <si>
    <t>992495</t>
  </si>
  <si>
    <t>972051</t>
  </si>
  <si>
    <t>976038</t>
  </si>
  <si>
    <t>992004</t>
  </si>
  <si>
    <t>975158</t>
  </si>
  <si>
    <t>992266</t>
  </si>
  <si>
    <t>998094</t>
  </si>
  <si>
    <t>992019</t>
  </si>
  <si>
    <t>991157</t>
  </si>
  <si>
    <t>984088</t>
  </si>
  <si>
    <t>982097</t>
  </si>
  <si>
    <t>988367</t>
  </si>
  <si>
    <t>992194</t>
  </si>
  <si>
    <t>988721</t>
  </si>
  <si>
    <t>982233</t>
  </si>
  <si>
    <t>992382</t>
  </si>
  <si>
    <t>989037</t>
  </si>
  <si>
    <t>980120</t>
  </si>
  <si>
    <t>980026</t>
  </si>
  <si>
    <t>993113</t>
  </si>
  <si>
    <t>986427</t>
  </si>
  <si>
    <t>983047</t>
  </si>
  <si>
    <t>954232</t>
  </si>
  <si>
    <t>979003</t>
  </si>
  <si>
    <t>968002</t>
  </si>
  <si>
    <t>996274</t>
  </si>
  <si>
    <t>988931</t>
  </si>
  <si>
    <t>940038</t>
  </si>
  <si>
    <t>981078</t>
  </si>
  <si>
    <t>992639</t>
  </si>
  <si>
    <t>976035</t>
  </si>
  <si>
    <t>958005</t>
  </si>
  <si>
    <t>982015</t>
  </si>
  <si>
    <t>955212</t>
  </si>
  <si>
    <t>992766</t>
  </si>
  <si>
    <t>981031</t>
  </si>
  <si>
    <t>995006</t>
  </si>
  <si>
    <t>995227</t>
  </si>
  <si>
    <t>991058</t>
  </si>
  <si>
    <t>985008</t>
  </si>
  <si>
    <t>985018</t>
  </si>
  <si>
    <t>984052</t>
  </si>
  <si>
    <t>988939</t>
  </si>
  <si>
    <t>986484</t>
  </si>
  <si>
    <t>993119</t>
  </si>
  <si>
    <t>982021</t>
  </si>
  <si>
    <t>998195</t>
  </si>
  <si>
    <t>954285</t>
  </si>
  <si>
    <t>995194</t>
  </si>
  <si>
    <t>988417</t>
  </si>
  <si>
    <t>992247</t>
  </si>
  <si>
    <t>994046</t>
  </si>
  <si>
    <t>993093</t>
  </si>
  <si>
    <t>981030</t>
  </si>
  <si>
    <t>986086</t>
  </si>
  <si>
    <t>976036</t>
  </si>
  <si>
    <t>996409</t>
  </si>
  <si>
    <t>986241</t>
  </si>
  <si>
    <t>986092</t>
  </si>
  <si>
    <t>986018</t>
  </si>
  <si>
    <t>960031</t>
  </si>
  <si>
    <t>988022</t>
  </si>
  <si>
    <t>954015</t>
  </si>
  <si>
    <t>976087</t>
  </si>
  <si>
    <t>989350</t>
  </si>
  <si>
    <t>992608</t>
  </si>
  <si>
    <t>976086</t>
  </si>
  <si>
    <t>968008</t>
  </si>
  <si>
    <t>986457</t>
  </si>
  <si>
    <t>994073</t>
  </si>
  <si>
    <t>976057</t>
  </si>
  <si>
    <t>998010</t>
  </si>
  <si>
    <t>955067</t>
  </si>
  <si>
    <t>996039</t>
  </si>
  <si>
    <t>976085</t>
  </si>
  <si>
    <t>995266</t>
  </si>
  <si>
    <t>996285</t>
  </si>
  <si>
    <t>958028</t>
  </si>
  <si>
    <t>981072</t>
  </si>
  <si>
    <t>996211</t>
  </si>
  <si>
    <t>989293</t>
  </si>
  <si>
    <t>984107</t>
  </si>
  <si>
    <t>986269</t>
  </si>
  <si>
    <t>989073</t>
  </si>
  <si>
    <t>995075</t>
  </si>
  <si>
    <t>990066</t>
  </si>
  <si>
    <t>988482</t>
  </si>
  <si>
    <t>954038</t>
  </si>
  <si>
    <t>971088</t>
  </si>
  <si>
    <t>992469</t>
  </si>
  <si>
    <t>954009</t>
  </si>
  <si>
    <t>981080</t>
  </si>
  <si>
    <t>992770</t>
  </si>
  <si>
    <t>988189</t>
  </si>
  <si>
    <t>989068</t>
  </si>
  <si>
    <t>989331</t>
  </si>
  <si>
    <t>998047</t>
  </si>
  <si>
    <t>955072</t>
  </si>
  <si>
    <t>996070</t>
  </si>
  <si>
    <t>978042</t>
  </si>
  <si>
    <t>981058</t>
  </si>
  <si>
    <t>975114</t>
  </si>
  <si>
    <t>982105</t>
  </si>
  <si>
    <t>960027</t>
  </si>
  <si>
    <t>954139</t>
  </si>
  <si>
    <t>982250</t>
  </si>
  <si>
    <t>955124</t>
  </si>
  <si>
    <t>982253</t>
  </si>
  <si>
    <t>989266</t>
  </si>
  <si>
    <t>986148</t>
  </si>
  <si>
    <t>992061</t>
  </si>
  <si>
    <t>996175</t>
  </si>
  <si>
    <t>996058</t>
  </si>
  <si>
    <t>985055</t>
  </si>
  <si>
    <t>982189</t>
  </si>
  <si>
    <t>954219</t>
  </si>
  <si>
    <t>978047</t>
  </si>
  <si>
    <t>978044</t>
  </si>
  <si>
    <t>989190</t>
  </si>
  <si>
    <t>988196</t>
  </si>
  <si>
    <t>955200</t>
  </si>
  <si>
    <t>998198</t>
  </si>
  <si>
    <t>955107</t>
  </si>
  <si>
    <t>980003</t>
  </si>
  <si>
    <t>998184</t>
  </si>
  <si>
    <t>992155</t>
  </si>
  <si>
    <t>979057</t>
  </si>
  <si>
    <t>982104</t>
  </si>
  <si>
    <t>975165</t>
  </si>
  <si>
    <t>986084</t>
  </si>
  <si>
    <t>995310</t>
  </si>
  <si>
    <t>988955</t>
  </si>
  <si>
    <t>978059</t>
  </si>
  <si>
    <t>989316</t>
  </si>
  <si>
    <t>992555</t>
  </si>
  <si>
    <t>992671</t>
  </si>
  <si>
    <t>996182</t>
  </si>
  <si>
    <t>988060</t>
  </si>
  <si>
    <t>955219</t>
  </si>
  <si>
    <t>996136</t>
  </si>
  <si>
    <t>992600</t>
  </si>
  <si>
    <t>986340</t>
  </si>
  <si>
    <t>989269</t>
  </si>
  <si>
    <t>966090</t>
  </si>
  <si>
    <t>996379</t>
  </si>
  <si>
    <t>977007</t>
  </si>
  <si>
    <t>998193</t>
  </si>
  <si>
    <t>958004</t>
  </si>
  <si>
    <t>991112</t>
  </si>
  <si>
    <t>955069</t>
  </si>
  <si>
    <t>988453</t>
  </si>
  <si>
    <t>982033</t>
  </si>
  <si>
    <t>984118</t>
  </si>
  <si>
    <t>996287</t>
  </si>
  <si>
    <t>986087</t>
  </si>
  <si>
    <t>993128</t>
  </si>
  <si>
    <t>955226</t>
  </si>
  <si>
    <t>988987</t>
  </si>
  <si>
    <t>976004</t>
  </si>
  <si>
    <t>986117</t>
  </si>
  <si>
    <t>969001</t>
  </si>
  <si>
    <t>996168</t>
  </si>
  <si>
    <t>995206</t>
  </si>
  <si>
    <t>955056</t>
  </si>
  <si>
    <t>991118</t>
  </si>
  <si>
    <t>971056</t>
  </si>
  <si>
    <t>986342</t>
  </si>
  <si>
    <t>992688</t>
  </si>
  <si>
    <t>986470</t>
  </si>
  <si>
    <t>988541</t>
  </si>
  <si>
    <t>940042</t>
  </si>
  <si>
    <t>998186</t>
  </si>
  <si>
    <t>958020</t>
  </si>
  <si>
    <t>993054</t>
  </si>
  <si>
    <t>955079</t>
  </si>
  <si>
    <t>982019</t>
  </si>
  <si>
    <t>982090</t>
  </si>
  <si>
    <t>992727</t>
  </si>
  <si>
    <t>986595</t>
  </si>
  <si>
    <t>993038</t>
  </si>
  <si>
    <t>976084</t>
  </si>
  <si>
    <t>955190</t>
  </si>
  <si>
    <t>972079</t>
  </si>
  <si>
    <t>996389</t>
  </si>
  <si>
    <t>991071</t>
  </si>
  <si>
    <t>991147</t>
  </si>
  <si>
    <t>954194</t>
  </si>
  <si>
    <t>995207</t>
  </si>
  <si>
    <t>955164</t>
  </si>
  <si>
    <t>992767</t>
  </si>
  <si>
    <t>972043</t>
  </si>
  <si>
    <t>986592</t>
  </si>
  <si>
    <t>989271</t>
  </si>
  <si>
    <t>986481</t>
  </si>
  <si>
    <t>988561</t>
  </si>
  <si>
    <t>986415</t>
  </si>
  <si>
    <t>998088</t>
  </si>
  <si>
    <t>959005</t>
  </si>
  <si>
    <t>996074</t>
  </si>
  <si>
    <t>982004</t>
  </si>
  <si>
    <t>996047</t>
  </si>
  <si>
    <t>993041</t>
  </si>
  <si>
    <t>998016</t>
  </si>
  <si>
    <t>978050</t>
  </si>
  <si>
    <t>992145</t>
  </si>
  <si>
    <t>989297</t>
  </si>
  <si>
    <t>962004</t>
  </si>
  <si>
    <t>996054</t>
  </si>
  <si>
    <t>972017</t>
  </si>
  <si>
    <t>992389</t>
  </si>
  <si>
    <t>955132</t>
  </si>
  <si>
    <t>980004</t>
  </si>
  <si>
    <t>962001</t>
  </si>
  <si>
    <t>955008</t>
  </si>
  <si>
    <t>993111</t>
  </si>
  <si>
    <t>974011</t>
  </si>
  <si>
    <t>992130</t>
  </si>
  <si>
    <t>978040</t>
  </si>
  <si>
    <t>996162</t>
  </si>
  <si>
    <t>988799</t>
  </si>
  <si>
    <t>986047</t>
  </si>
  <si>
    <t>998131</t>
  </si>
  <si>
    <t>959026</t>
  </si>
  <si>
    <t>954115</t>
  </si>
  <si>
    <t>978032</t>
  </si>
  <si>
    <t>954033</t>
  </si>
  <si>
    <t>982267</t>
  </si>
  <si>
    <t>955003</t>
  </si>
  <si>
    <t>986058</t>
  </si>
  <si>
    <t>995143</t>
  </si>
  <si>
    <t>988995</t>
  </si>
  <si>
    <t>988949</t>
  </si>
  <si>
    <t>996059</t>
  </si>
  <si>
    <t>976099</t>
  </si>
  <si>
    <t>998160</t>
  </si>
  <si>
    <t>990053</t>
  </si>
  <si>
    <t>988014</t>
  </si>
  <si>
    <t>963001</t>
  </si>
  <si>
    <t>955205</t>
  </si>
  <si>
    <t>992217</t>
  </si>
  <si>
    <t>985050</t>
  </si>
  <si>
    <t>992715</t>
  </si>
  <si>
    <t>958019</t>
  </si>
  <si>
    <t>988420</t>
  </si>
  <si>
    <t>984048</t>
  </si>
  <si>
    <t>988538</t>
  </si>
  <si>
    <t>983043</t>
  </si>
  <si>
    <t>959044</t>
  </si>
  <si>
    <t>995193</t>
  </si>
  <si>
    <t>978033</t>
  </si>
  <si>
    <t>986253</t>
  </si>
  <si>
    <t>960002</t>
  </si>
  <si>
    <t>967038</t>
  </si>
  <si>
    <t>954167</t>
  </si>
  <si>
    <t>996091</t>
  </si>
  <si>
    <t>980110</t>
  </si>
  <si>
    <t>984093</t>
  </si>
  <si>
    <t>995195</t>
  </si>
  <si>
    <t>972015</t>
  </si>
  <si>
    <t>955169</t>
  </si>
  <si>
    <t>960016</t>
  </si>
  <si>
    <t>988365</t>
  </si>
  <si>
    <t>966188</t>
  </si>
  <si>
    <t>976072</t>
  </si>
  <si>
    <t>971081</t>
  </si>
  <si>
    <t>940018</t>
  </si>
  <si>
    <t>993110</t>
  </si>
  <si>
    <t>962005</t>
  </si>
  <si>
    <t>982043</t>
  </si>
  <si>
    <t>988543</t>
  </si>
  <si>
    <t>980196</t>
  </si>
  <si>
    <t>983044</t>
  </si>
  <si>
    <t>960010</t>
  </si>
  <si>
    <t>988106</t>
  </si>
  <si>
    <t>976039</t>
  </si>
  <si>
    <t>986254</t>
  </si>
  <si>
    <t>986224</t>
  </si>
  <si>
    <t>982259</t>
  </si>
  <si>
    <t>975142</t>
  </si>
  <si>
    <t>988122</t>
  </si>
  <si>
    <t>955002</t>
  </si>
  <si>
    <t>955106</t>
  </si>
  <si>
    <t>988095</t>
  </si>
  <si>
    <t>972023</t>
  </si>
  <si>
    <t>955091</t>
  </si>
  <si>
    <t>976012</t>
  </si>
  <si>
    <t>960004</t>
  </si>
  <si>
    <t>969006</t>
  </si>
  <si>
    <t>955054</t>
  </si>
  <si>
    <t>958021</t>
  </si>
  <si>
    <t>989296</t>
  </si>
  <si>
    <t>992147</t>
  </si>
  <si>
    <t>982249</t>
  </si>
  <si>
    <t>996187</t>
  </si>
  <si>
    <t>988542</t>
  </si>
  <si>
    <t>995269</t>
  </si>
  <si>
    <t>983045</t>
  </si>
  <si>
    <t>960014</t>
  </si>
  <si>
    <t>996386</t>
  </si>
  <si>
    <t>976040</t>
  </si>
  <si>
    <t>995224</t>
  </si>
  <si>
    <t>986235</t>
  </si>
  <si>
    <t>990015</t>
  </si>
  <si>
    <t>986064</t>
  </si>
  <si>
    <t>988460</t>
  </si>
  <si>
    <t>954113</t>
  </si>
  <si>
    <t>955175</t>
  </si>
  <si>
    <t>995221</t>
  </si>
  <si>
    <t>972005</t>
  </si>
  <si>
    <t>955114</t>
  </si>
  <si>
    <t>976049</t>
  </si>
  <si>
    <t>996282</t>
  </si>
  <si>
    <t>975143</t>
  </si>
  <si>
    <t>955051</t>
  </si>
  <si>
    <t>982193</t>
  </si>
  <si>
    <t>992720</t>
  </si>
  <si>
    <t>984087</t>
  </si>
  <si>
    <t>982260</t>
  </si>
  <si>
    <t>986010</t>
  </si>
  <si>
    <t>994103</t>
  </si>
  <si>
    <t>986005</t>
  </si>
  <si>
    <t>983046</t>
  </si>
  <si>
    <t>960043</t>
  </si>
  <si>
    <t>954045</t>
  </si>
  <si>
    <t>976046</t>
  </si>
  <si>
    <t>992102</t>
  </si>
  <si>
    <t>995070</t>
  </si>
  <si>
    <t>991002</t>
  </si>
  <si>
    <t>996208</t>
  </si>
  <si>
    <t>986581</t>
  </si>
  <si>
    <t>955206</t>
  </si>
  <si>
    <t>988988</t>
  </si>
  <si>
    <t>991020</t>
  </si>
  <si>
    <t>998118</t>
  </si>
  <si>
    <t>955178</t>
  </si>
  <si>
    <t>986194</t>
  </si>
  <si>
    <t>982266</t>
  </si>
  <si>
    <t>955140</t>
  </si>
  <si>
    <t>982219</t>
  </si>
  <si>
    <t>993077</t>
  </si>
  <si>
    <t>986341</t>
  </si>
  <si>
    <t>989273</t>
  </si>
  <si>
    <t>980014</t>
  </si>
  <si>
    <t>994076</t>
  </si>
  <si>
    <t>966114</t>
  </si>
  <si>
    <t>983091</t>
  </si>
  <si>
    <t>960058</t>
  </si>
  <si>
    <t>988093</t>
  </si>
  <si>
    <t>958009</t>
  </si>
  <si>
    <t>986201</t>
  </si>
  <si>
    <t>988035</t>
  </si>
  <si>
    <t>995299</t>
  </si>
  <si>
    <t>996209</t>
  </si>
  <si>
    <t>992073</t>
  </si>
  <si>
    <t>955037</t>
  </si>
  <si>
    <t>985054</t>
  </si>
  <si>
    <t>940069</t>
  </si>
  <si>
    <t>954146</t>
  </si>
  <si>
    <t>955163</t>
  </si>
  <si>
    <t>995264</t>
  </si>
  <si>
    <t>996003</t>
  </si>
  <si>
    <t>984058</t>
  </si>
  <si>
    <t>955012</t>
  </si>
  <si>
    <t>940053</t>
  </si>
  <si>
    <t>963002</t>
  </si>
  <si>
    <t>955151</t>
  </si>
  <si>
    <t>992111</t>
  </si>
  <si>
    <t>989164</t>
  </si>
  <si>
    <t>994010</t>
  </si>
  <si>
    <t>982030</t>
  </si>
  <si>
    <t>983101</t>
  </si>
  <si>
    <t>966040</t>
  </si>
  <si>
    <t>983094</t>
  </si>
  <si>
    <t>960001</t>
  </si>
  <si>
    <t>960056</t>
  </si>
  <si>
    <t>982035</t>
  </si>
  <si>
    <t>992545</t>
  </si>
  <si>
    <t>992323</t>
  </si>
  <si>
    <t>995292</t>
  </si>
  <si>
    <t>940026</t>
  </si>
  <si>
    <t>955070</t>
  </si>
  <si>
    <t>988981</t>
  </si>
  <si>
    <t>991017</t>
  </si>
  <si>
    <t>969008</t>
  </si>
  <si>
    <t>996034</t>
  </si>
  <si>
    <t>996006</t>
  </si>
  <si>
    <t>940034</t>
  </si>
  <si>
    <t>976080</t>
  </si>
  <si>
    <t>995308</t>
  </si>
  <si>
    <t>976030</t>
  </si>
  <si>
    <t>955153</t>
  </si>
  <si>
    <t>995085</t>
  </si>
  <si>
    <t>988783</t>
  </si>
  <si>
    <t>960054</t>
  </si>
  <si>
    <t>982026</t>
  </si>
  <si>
    <t>983111</t>
  </si>
  <si>
    <t>966041</t>
  </si>
  <si>
    <t>988097</t>
  </si>
  <si>
    <t>976092</t>
  </si>
  <si>
    <t>986572</t>
  </si>
  <si>
    <t>992119</t>
  </si>
  <si>
    <t>985057</t>
  </si>
  <si>
    <t>996204</t>
  </si>
  <si>
    <t>955121</t>
  </si>
  <si>
    <t>976031</t>
  </si>
  <si>
    <t>986570</t>
  </si>
  <si>
    <t>996073</t>
  </si>
  <si>
    <t>988092</t>
  </si>
  <si>
    <t>966192</t>
  </si>
  <si>
    <t>980032</t>
  </si>
  <si>
    <t>980059</t>
  </si>
  <si>
    <t>976081</t>
  </si>
  <si>
    <t>982071</t>
  </si>
  <si>
    <t>998146</t>
  </si>
  <si>
    <t>955208</t>
  </si>
  <si>
    <t>986327</t>
  </si>
  <si>
    <t>995275</t>
  </si>
  <si>
    <t>988887</t>
  </si>
  <si>
    <t>954122</t>
  </si>
  <si>
    <t>988235</t>
  </si>
  <si>
    <t>983052</t>
  </si>
  <si>
    <t>966069</t>
  </si>
  <si>
    <t>988105</t>
  </si>
  <si>
    <t>977048</t>
  </si>
  <si>
    <t>955156</t>
  </si>
  <si>
    <t>992534</t>
  </si>
  <si>
    <t>992763</t>
  </si>
  <si>
    <t>996207</t>
  </si>
  <si>
    <t>989057</t>
  </si>
  <si>
    <t>995117</t>
  </si>
  <si>
    <t>995297</t>
  </si>
  <si>
    <t>984047</t>
  </si>
  <si>
    <t>988461</t>
  </si>
  <si>
    <t>989000</t>
  </si>
  <si>
    <t>980031</t>
  </si>
  <si>
    <t>982074</t>
  </si>
  <si>
    <t>980160</t>
  </si>
  <si>
    <t>992282</t>
  </si>
  <si>
    <t>993084</t>
  </si>
  <si>
    <t>980169</t>
  </si>
  <si>
    <t>989097</t>
  </si>
  <si>
    <t>955039</t>
  </si>
  <si>
    <t>983064</t>
  </si>
  <si>
    <t>994069</t>
  </si>
  <si>
    <t>995147</t>
  </si>
  <si>
    <t>998020</t>
  </si>
  <si>
    <t>966214</t>
  </si>
  <si>
    <t>995258</t>
  </si>
  <si>
    <t>981083</t>
  </si>
  <si>
    <t>986272</t>
  </si>
  <si>
    <t>966150</t>
  </si>
  <si>
    <t>972028</t>
  </si>
  <si>
    <t>996203</t>
  </si>
  <si>
    <t>955074</t>
  </si>
  <si>
    <t>979051</t>
  </si>
  <si>
    <t>958012</t>
  </si>
  <si>
    <t>989118</t>
  </si>
  <si>
    <t>988505</t>
  </si>
  <si>
    <t>976008</t>
  </si>
  <si>
    <t>980064</t>
  </si>
  <si>
    <t>988370</t>
  </si>
  <si>
    <t>989333</t>
  </si>
  <si>
    <t>991137</t>
  </si>
  <si>
    <t>976020</t>
  </si>
  <si>
    <t>978016</t>
  </si>
  <si>
    <t>992366</t>
  </si>
  <si>
    <t>978029</t>
  </si>
  <si>
    <t>982042</t>
  </si>
  <si>
    <t>954051</t>
  </si>
  <si>
    <t>966026</t>
  </si>
  <si>
    <t>983105</t>
  </si>
  <si>
    <t>967029</t>
  </si>
  <si>
    <t>986119</t>
  </si>
  <si>
    <t>984096</t>
  </si>
  <si>
    <t>998192</t>
  </si>
  <si>
    <t>992118</t>
  </si>
  <si>
    <t>972019</t>
  </si>
  <si>
    <t>960029</t>
  </si>
  <si>
    <t>981082</t>
  </si>
  <si>
    <t>976063</t>
  </si>
  <si>
    <t>992418</t>
  </si>
  <si>
    <t>982013</t>
  </si>
  <si>
    <t>980168</t>
  </si>
  <si>
    <t>967034</t>
  </si>
  <si>
    <t>980105</t>
  </si>
  <si>
    <t>986065</t>
  </si>
  <si>
    <t>976048</t>
  </si>
  <si>
    <t>975159</t>
  </si>
  <si>
    <t>992276</t>
  </si>
  <si>
    <t>992740</t>
  </si>
  <si>
    <t>992417</t>
  </si>
  <si>
    <t>993112</t>
  </si>
  <si>
    <t>988768</t>
  </si>
  <si>
    <t>993145</t>
  </si>
  <si>
    <t>988807</t>
  </si>
  <si>
    <t>998098</t>
  </si>
  <si>
    <t>967032</t>
  </si>
  <si>
    <t>986120</t>
  </si>
  <si>
    <t>986001</t>
  </si>
  <si>
    <t>985042</t>
  </si>
  <si>
    <t>986233</t>
  </si>
  <si>
    <t>995033</t>
  </si>
  <si>
    <t>991029</t>
  </si>
  <si>
    <t>967031</t>
  </si>
  <si>
    <t>979050</t>
  </si>
  <si>
    <t>972065</t>
  </si>
  <si>
    <t>984025</t>
  </si>
  <si>
    <t>988089</t>
  </si>
  <si>
    <t>995298</t>
  </si>
  <si>
    <t>980113</t>
  </si>
  <si>
    <t>986140</t>
  </si>
  <si>
    <t>960048</t>
  </si>
  <si>
    <t>993030</t>
  </si>
  <si>
    <t>998055</t>
  </si>
  <si>
    <t>992433</t>
  </si>
  <si>
    <t>986322</t>
  </si>
  <si>
    <t>976005</t>
  </si>
  <si>
    <t>966042</t>
  </si>
  <si>
    <t>991164</t>
  </si>
  <si>
    <t>982024</t>
  </si>
  <si>
    <t>998130</t>
  </si>
  <si>
    <t>967033</t>
  </si>
  <si>
    <t>996384</t>
  </si>
  <si>
    <t>992745</t>
  </si>
  <si>
    <t>992789</t>
  </si>
  <si>
    <t>982001</t>
  </si>
  <si>
    <t>975020</t>
  </si>
  <si>
    <t>988023</t>
  </si>
  <si>
    <t>992743</t>
  </si>
  <si>
    <t>966193</t>
  </si>
  <si>
    <t>992758</t>
  </si>
  <si>
    <t>984055</t>
  </si>
  <si>
    <t>975053</t>
  </si>
  <si>
    <t>955148</t>
  </si>
  <si>
    <t>980174</t>
  </si>
  <si>
    <t>986141</t>
  </si>
  <si>
    <t>992759</t>
  </si>
  <si>
    <t>986601</t>
  </si>
  <si>
    <t>975023</t>
  </si>
  <si>
    <t>989255</t>
  </si>
  <si>
    <t>988866</t>
  </si>
  <si>
    <t>982081</t>
  </si>
  <si>
    <t>979011</t>
  </si>
  <si>
    <t>988575</t>
  </si>
  <si>
    <t>988587</t>
  </si>
  <si>
    <t>983050</t>
  </si>
  <si>
    <t>968015</t>
  </si>
  <si>
    <t>996044</t>
  </si>
  <si>
    <t>972066</t>
  </si>
  <si>
    <t>992730</t>
  </si>
  <si>
    <t>991078</t>
  </si>
  <si>
    <t>981071</t>
  </si>
  <si>
    <t>988015</t>
  </si>
  <si>
    <t>955139</t>
  </si>
  <si>
    <t>992680</t>
  </si>
  <si>
    <t>990040</t>
  </si>
  <si>
    <t>980154</t>
  </si>
  <si>
    <t>988437</t>
  </si>
  <si>
    <t>986189</t>
  </si>
  <si>
    <t>992156</t>
  </si>
  <si>
    <t>991161</t>
  </si>
  <si>
    <t>976060</t>
  </si>
  <si>
    <t>976068</t>
  </si>
  <si>
    <t>986517</t>
  </si>
  <si>
    <t>966070</t>
  </si>
  <si>
    <t>988687</t>
  </si>
  <si>
    <t>984070</t>
  </si>
  <si>
    <t>996298</t>
  </si>
  <si>
    <t>975120</t>
  </si>
  <si>
    <t>991103</t>
  </si>
  <si>
    <t>983102</t>
  </si>
  <si>
    <t>972010</t>
  </si>
  <si>
    <t>996169</t>
  </si>
  <si>
    <t>998174</t>
  </si>
  <si>
    <t>998175</t>
  </si>
  <si>
    <t>996281</t>
  </si>
  <si>
    <t>991138</t>
  </si>
  <si>
    <t>991041</t>
  </si>
  <si>
    <t>975155</t>
  </si>
  <si>
    <t>975156</t>
  </si>
  <si>
    <t>976043</t>
  </si>
  <si>
    <t>992516</t>
  </si>
  <si>
    <t>992692</t>
  </si>
  <si>
    <t>955119</t>
  </si>
  <si>
    <t>982173</t>
  </si>
  <si>
    <t>992634</t>
  </si>
  <si>
    <t>976082</t>
  </si>
  <si>
    <t>991154</t>
  </si>
  <si>
    <t>992518</t>
  </si>
  <si>
    <t>988903</t>
  </si>
  <si>
    <t>988693</t>
  </si>
  <si>
    <t>989275</t>
  </si>
  <si>
    <t>989163</t>
  </si>
  <si>
    <t>976064</t>
  </si>
  <si>
    <t>986412</t>
  </si>
  <si>
    <t>998106</t>
  </si>
  <si>
    <t>972018</t>
  </si>
  <si>
    <t>986121</t>
  </si>
  <si>
    <t>955035</t>
  </si>
  <si>
    <t>969004</t>
  </si>
  <si>
    <t>956002</t>
  </si>
  <si>
    <t>996383</t>
  </si>
  <si>
    <t>988010</t>
  </si>
  <si>
    <t>966207</t>
  </si>
  <si>
    <t>956020</t>
  </si>
  <si>
    <t>978062</t>
  </si>
  <si>
    <t>992336</t>
  </si>
  <si>
    <t>975029</t>
  </si>
  <si>
    <t>980207</t>
  </si>
  <si>
    <t>989024</t>
  </si>
  <si>
    <t>954089</t>
  </si>
  <si>
    <t>980200</t>
  </si>
  <si>
    <t>992279</t>
  </si>
  <si>
    <t>992278</t>
  </si>
  <si>
    <t>991032</t>
  </si>
  <si>
    <t>992173</t>
  </si>
  <si>
    <t>986046</t>
  </si>
  <si>
    <t>995086</t>
  </si>
  <si>
    <t>996300</t>
  </si>
  <si>
    <t>966103</t>
  </si>
  <si>
    <t>998108</t>
  </si>
  <si>
    <t>972073</t>
  </si>
  <si>
    <t>998201</t>
  </si>
  <si>
    <t>992696</t>
  </si>
  <si>
    <t>976075</t>
  </si>
  <si>
    <t>995326</t>
  </si>
  <si>
    <t>988072</t>
  </si>
  <si>
    <t>996017</t>
  </si>
  <si>
    <t>992468</t>
  </si>
  <si>
    <t>966001</t>
  </si>
  <si>
    <t>989292</t>
  </si>
  <si>
    <t>991060</t>
  </si>
  <si>
    <t>960047</t>
  </si>
  <si>
    <t>986561</t>
  </si>
  <si>
    <t>986271</t>
  </si>
  <si>
    <t>988366</t>
  </si>
  <si>
    <t>982265</t>
  </si>
  <si>
    <t>955159</t>
  </si>
  <si>
    <t>954283</t>
  </si>
  <si>
    <t>982066</t>
  </si>
  <si>
    <t>990050</t>
  </si>
  <si>
    <t>988858</t>
  </si>
  <si>
    <t>998187</t>
  </si>
  <si>
    <t>966081</t>
  </si>
  <si>
    <t>954050</t>
  </si>
  <si>
    <t>983100</t>
  </si>
  <si>
    <t>974005</t>
  </si>
  <si>
    <t>992410</t>
  </si>
  <si>
    <t>998001</t>
  </si>
  <si>
    <t>980054</t>
  </si>
  <si>
    <t>996043</t>
  </si>
  <si>
    <t>988110</t>
  </si>
  <si>
    <t>996029</t>
  </si>
  <si>
    <t>998191</t>
  </si>
  <si>
    <t>976079</t>
  </si>
  <si>
    <t>984106</t>
  </si>
  <si>
    <t>975110</t>
  </si>
  <si>
    <t>991068</t>
  </si>
  <si>
    <t>993104</t>
  </si>
  <si>
    <t>954184</t>
  </si>
  <si>
    <t>992096</t>
  </si>
  <si>
    <t>992326</t>
  </si>
  <si>
    <t>986569</t>
  </si>
  <si>
    <t>988162</t>
  </si>
  <si>
    <t>995053</t>
  </si>
  <si>
    <t>988665</t>
  </si>
  <si>
    <t>975083</t>
  </si>
  <si>
    <t>980150</t>
  </si>
  <si>
    <t>982235</t>
  </si>
  <si>
    <t>988226</t>
  </si>
  <si>
    <t>983099</t>
  </si>
  <si>
    <t>975048</t>
  </si>
  <si>
    <t>986178</t>
  </si>
  <si>
    <t>993048</t>
  </si>
  <si>
    <t>988967</t>
  </si>
  <si>
    <t>982034</t>
  </si>
  <si>
    <t>954006</t>
  </si>
  <si>
    <t>986043</t>
  </si>
  <si>
    <t>955138</t>
  </si>
  <si>
    <t>979053</t>
  </si>
  <si>
    <t>972067</t>
  </si>
  <si>
    <t>995064</t>
  </si>
  <si>
    <t>993001</t>
  </si>
  <si>
    <t>977030</t>
  </si>
  <si>
    <t>986262</t>
  </si>
  <si>
    <t>996018</t>
  </si>
  <si>
    <t>975153</t>
  </si>
  <si>
    <t>987016</t>
  </si>
  <si>
    <t>977004</t>
  </si>
  <si>
    <t>988291</t>
  </si>
  <si>
    <t>975187</t>
  </si>
  <si>
    <t>989240</t>
  </si>
  <si>
    <t>977040</t>
  </si>
  <si>
    <t>988200</t>
  </si>
  <si>
    <t>986386</t>
  </si>
  <si>
    <t>998065</t>
  </si>
  <si>
    <t>975070</t>
  </si>
  <si>
    <t>988077</t>
  </si>
  <si>
    <t>976017</t>
  </si>
  <si>
    <t>993107</t>
  </si>
  <si>
    <t>940048</t>
  </si>
  <si>
    <t>954255</t>
  </si>
  <si>
    <t>995039</t>
  </si>
  <si>
    <t>978061</t>
  </si>
  <si>
    <t>991076</t>
  </si>
  <si>
    <t>992016</t>
  </si>
  <si>
    <t>940085</t>
  </si>
  <si>
    <t>994009</t>
  </si>
  <si>
    <t>983117</t>
  </si>
  <si>
    <t>988377</t>
  </si>
  <si>
    <t>992239</t>
  </si>
  <si>
    <t>976009</t>
  </si>
  <si>
    <t>955055</t>
  </si>
  <si>
    <t>993022</t>
  </si>
  <si>
    <t>988268</t>
  </si>
  <si>
    <t>988861</t>
  </si>
  <si>
    <t>986319</t>
  </si>
  <si>
    <t>978066</t>
  </si>
  <si>
    <t>995031</t>
  </si>
  <si>
    <t>988228</t>
  </si>
  <si>
    <t>983051</t>
  </si>
  <si>
    <t>975113</t>
  </si>
  <si>
    <t>972059</t>
  </si>
  <si>
    <t>991133</t>
  </si>
  <si>
    <t>995155</t>
  </si>
  <si>
    <t>972080</t>
  </si>
  <si>
    <t>954244</t>
  </si>
  <si>
    <t>993068</t>
  </si>
  <si>
    <t>995285</t>
  </si>
  <si>
    <t>976041</t>
  </si>
  <si>
    <t>992751</t>
  </si>
  <si>
    <t>990043</t>
  </si>
  <si>
    <t>988388</t>
  </si>
  <si>
    <t>986574</t>
  </si>
  <si>
    <t>988466</t>
  </si>
  <si>
    <t>992189</t>
  </si>
  <si>
    <t>958025</t>
  </si>
  <si>
    <t>979060</t>
  </si>
  <si>
    <t>988787</t>
  </si>
  <si>
    <t>975176</t>
  </si>
  <si>
    <t>966096</t>
  </si>
  <si>
    <t>986303</t>
  </si>
  <si>
    <t>995303</t>
  </si>
  <si>
    <t>992787</t>
  </si>
  <si>
    <t>988381</t>
  </si>
  <si>
    <t>998171</t>
  </si>
  <si>
    <t>975145</t>
  </si>
  <si>
    <t>967046</t>
  </si>
  <si>
    <t>964001</t>
  </si>
  <si>
    <t>995246</t>
  </si>
  <si>
    <t>986562</t>
  </si>
  <si>
    <t>983060</t>
  </si>
  <si>
    <t>954168</t>
  </si>
  <si>
    <t>986211</t>
  </si>
  <si>
    <t>976093</t>
  </si>
  <si>
    <t>981034</t>
  </si>
  <si>
    <t>992445</t>
  </si>
  <si>
    <t>982036</t>
  </si>
  <si>
    <t>986578</t>
  </si>
  <si>
    <t>998003</t>
  </si>
  <si>
    <t>980071</t>
  </si>
  <si>
    <t>975137</t>
  </si>
  <si>
    <t>993106</t>
  </si>
  <si>
    <t>984059</t>
  </si>
  <si>
    <t>975188</t>
  </si>
  <si>
    <t>985001</t>
  </si>
  <si>
    <t>980098</t>
  </si>
  <si>
    <t>986447</t>
  </si>
  <si>
    <t>983107</t>
  </si>
  <si>
    <t>988556</t>
  </si>
  <si>
    <t>998155</t>
  </si>
  <si>
    <t>975167</t>
  </si>
  <si>
    <t>986177</t>
  </si>
  <si>
    <t>964002</t>
  </si>
  <si>
    <t>986006</t>
  </si>
  <si>
    <t>965001</t>
  </si>
  <si>
    <t>991083</t>
  </si>
  <si>
    <t>975116</t>
  </si>
  <si>
    <t>996395</t>
  </si>
  <si>
    <t>988996</t>
  </si>
  <si>
    <t>992793</t>
  </si>
  <si>
    <t>998180</t>
  </si>
  <si>
    <t>986160</t>
  </si>
  <si>
    <t>987015</t>
  </si>
  <si>
    <t>998176</t>
  </si>
  <si>
    <t>972007</t>
  </si>
  <si>
    <t>992682</t>
  </si>
  <si>
    <t>982244</t>
  </si>
  <si>
    <t>993033</t>
  </si>
  <si>
    <t>954271</t>
  </si>
  <si>
    <t>993056</t>
  </si>
  <si>
    <t>954096</t>
  </si>
  <si>
    <t>989328</t>
  </si>
  <si>
    <t>991150</t>
  </si>
  <si>
    <t>986409</t>
  </si>
  <si>
    <t>998113</t>
  </si>
  <si>
    <t>976077</t>
  </si>
  <si>
    <t>982225</t>
  </si>
  <si>
    <t>981032</t>
  </si>
  <si>
    <t>982229</t>
  </si>
  <si>
    <t>965002</t>
  </si>
  <si>
    <t>988071</t>
  </si>
  <si>
    <t>989161</t>
  </si>
  <si>
    <t>976015</t>
  </si>
  <si>
    <t>955036</t>
  </si>
  <si>
    <t>998165</t>
  </si>
  <si>
    <t>979021</t>
  </si>
  <si>
    <t>988108</t>
  </si>
  <si>
    <t>982109</t>
  </si>
  <si>
    <t>998053</t>
  </si>
  <si>
    <t>996027</t>
  </si>
  <si>
    <t>966205</t>
  </si>
  <si>
    <t>984091</t>
  </si>
  <si>
    <t>992589</t>
  </si>
  <si>
    <t>988260</t>
  </si>
  <si>
    <t>995311</t>
  </si>
  <si>
    <t>980193</t>
  </si>
  <si>
    <t>972048</t>
  </si>
  <si>
    <t>982020</t>
  </si>
  <si>
    <t>966113</t>
  </si>
  <si>
    <t>998009</t>
  </si>
  <si>
    <t>976014</t>
  </si>
  <si>
    <t>998039</t>
  </si>
  <si>
    <t>967001</t>
  </si>
  <si>
    <t>955176</t>
  </si>
  <si>
    <t>991023</t>
  </si>
  <si>
    <t>988425</t>
  </si>
  <si>
    <t>989224</t>
  </si>
  <si>
    <t>976016</t>
  </si>
  <si>
    <t>978041</t>
  </si>
  <si>
    <t>978034</t>
  </si>
  <si>
    <t>995105</t>
  </si>
  <si>
    <t>975183</t>
  </si>
  <si>
    <t>986229</t>
  </si>
  <si>
    <t>980047</t>
  </si>
  <si>
    <t>998100</t>
  </si>
  <si>
    <t>992591</t>
  </si>
  <si>
    <t>976073</t>
  </si>
  <si>
    <t>979039</t>
  </si>
  <si>
    <t>988596</t>
  </si>
  <si>
    <t>978001</t>
  </si>
  <si>
    <t>988706</t>
  </si>
  <si>
    <t>954276</t>
  </si>
  <si>
    <t>976006</t>
  </si>
  <si>
    <t>966119</t>
  </si>
  <si>
    <t>983075</t>
  </si>
  <si>
    <t>976076</t>
  </si>
  <si>
    <t>955108</t>
  </si>
  <si>
    <t>991125</t>
  </si>
  <si>
    <t>988992</t>
  </si>
  <si>
    <t>991048</t>
  </si>
  <si>
    <t>988062</t>
  </si>
  <si>
    <t>954206</t>
  </si>
  <si>
    <t>976003</t>
  </si>
  <si>
    <t>986127</t>
  </si>
  <si>
    <t>986146</t>
  </si>
  <si>
    <t>986080</t>
  </si>
  <si>
    <t>986268</t>
  </si>
  <si>
    <t>992385</t>
  </si>
  <si>
    <t>998136</t>
  </si>
  <si>
    <t>955174</t>
  </si>
  <si>
    <t>992215</t>
  </si>
  <si>
    <t>988962</t>
  </si>
  <si>
    <t>975106</t>
  </si>
  <si>
    <t>995058</t>
  </si>
  <si>
    <t>978022</t>
  </si>
  <si>
    <t>988707</t>
  </si>
  <si>
    <t>975009</t>
  </si>
  <si>
    <t>988990</t>
  </si>
  <si>
    <t>966127</t>
  </si>
  <si>
    <t>998173</t>
  </si>
  <si>
    <t>976091</t>
  </si>
  <si>
    <t>955162</t>
  </si>
  <si>
    <t>993098</t>
  </si>
  <si>
    <t>982239</t>
  </si>
  <si>
    <t>984108</t>
  </si>
  <si>
    <t>955063</t>
  </si>
  <si>
    <t>991096</t>
  </si>
  <si>
    <t>995282</t>
  </si>
  <si>
    <t>955004</t>
  </si>
  <si>
    <t>995126</t>
  </si>
  <si>
    <t>988058</t>
  </si>
  <si>
    <t>996066</t>
  </si>
  <si>
    <t>991095</t>
  </si>
  <si>
    <t>997002</t>
  </si>
  <si>
    <t>959001</t>
  </si>
  <si>
    <t>988399</t>
  </si>
  <si>
    <t>984089</t>
  </si>
  <si>
    <t>995048</t>
  </si>
  <si>
    <t>980101</t>
  </si>
  <si>
    <t>978024</t>
  </si>
  <si>
    <t>986320</t>
  </si>
  <si>
    <t>994052</t>
  </si>
  <si>
    <t>955094</t>
  </si>
  <si>
    <t>966144</t>
  </si>
  <si>
    <t>983079</t>
  </si>
  <si>
    <t>977045</t>
  </si>
  <si>
    <t>966201</t>
  </si>
  <si>
    <t>985041</t>
  </si>
  <si>
    <t>976024</t>
  </si>
  <si>
    <t>995098</t>
  </si>
  <si>
    <t>991089</t>
  </si>
  <si>
    <t>955096</t>
  </si>
  <si>
    <t>986185</t>
  </si>
  <si>
    <t>966095</t>
  </si>
  <si>
    <t>990072</t>
  </si>
  <si>
    <t>990048</t>
  </si>
  <si>
    <t>982107</t>
  </si>
  <si>
    <t>985066</t>
  </si>
  <si>
    <t>979049</t>
  </si>
  <si>
    <t>992183</t>
  </si>
  <si>
    <t>993047</t>
  </si>
  <si>
    <t>988180</t>
  </si>
  <si>
    <t>988252</t>
  </si>
  <si>
    <t>985002</t>
  </si>
  <si>
    <t>988320</t>
  </si>
  <si>
    <t>994058</t>
  </si>
  <si>
    <t>988212</t>
  </si>
  <si>
    <t>995243</t>
  </si>
  <si>
    <t>983013</t>
  </si>
  <si>
    <t>978035</t>
  </si>
  <si>
    <t>991172</t>
  </si>
  <si>
    <t>966202</t>
  </si>
  <si>
    <t>992017</t>
  </si>
  <si>
    <t>993092</t>
  </si>
  <si>
    <t>982103</t>
  </si>
  <si>
    <t>975131</t>
  </si>
  <si>
    <t>995296</t>
  </si>
  <si>
    <t>958003</t>
  </si>
  <si>
    <t>985032</t>
  </si>
  <si>
    <t>988465</t>
  </si>
  <si>
    <t>980088</t>
  </si>
  <si>
    <t>991169</t>
  </si>
  <si>
    <t>992391</t>
  </si>
  <si>
    <t>981003</t>
  </si>
  <si>
    <t>992406</t>
  </si>
  <si>
    <t>993028</t>
  </si>
  <si>
    <t>975071</t>
  </si>
  <si>
    <t>978018</t>
  </si>
  <si>
    <t>985003</t>
  </si>
  <si>
    <t>988337</t>
  </si>
  <si>
    <t>994072</t>
  </si>
  <si>
    <t>988552</t>
  </si>
  <si>
    <t>992224</t>
  </si>
  <si>
    <t>983010</t>
  </si>
  <si>
    <t>978036</t>
  </si>
  <si>
    <t>992106</t>
  </si>
  <si>
    <t>972038</t>
  </si>
  <si>
    <t>982228</t>
  </si>
  <si>
    <t>993100</t>
  </si>
  <si>
    <t>989256</t>
  </si>
  <si>
    <t>989206</t>
  </si>
  <si>
    <t>955131</t>
  </si>
  <si>
    <t>954001</t>
  </si>
  <si>
    <t>985065</t>
  </si>
  <si>
    <t>986260</t>
  </si>
  <si>
    <t>995032</t>
  </si>
  <si>
    <t>995065</t>
  </si>
  <si>
    <t>988472</t>
  </si>
  <si>
    <t>981025</t>
  </si>
  <si>
    <t>989087</t>
  </si>
  <si>
    <t>989304</t>
  </si>
  <si>
    <t>988177</t>
  </si>
  <si>
    <t>995130</t>
  </si>
  <si>
    <t>985004</t>
  </si>
  <si>
    <t>988650</t>
  </si>
  <si>
    <t>989320</t>
  </si>
  <si>
    <t>992646</t>
  </si>
  <si>
    <t>993066</t>
  </si>
  <si>
    <t>983018</t>
  </si>
  <si>
    <t>978072</t>
  </si>
  <si>
    <t>977047</t>
  </si>
  <si>
    <t>977022</t>
  </si>
  <si>
    <t>992420</t>
  </si>
  <si>
    <t>992675</t>
  </si>
  <si>
    <t>995216</t>
  </si>
  <si>
    <t>996150</t>
  </si>
  <si>
    <t>986199</t>
  </si>
  <si>
    <t>974010</t>
  </si>
  <si>
    <t>993074</t>
  </si>
  <si>
    <t>954262</t>
  </si>
  <si>
    <t>995129</t>
  </si>
  <si>
    <t>991070</t>
  </si>
  <si>
    <t>997001</t>
  </si>
  <si>
    <t>981048</t>
  </si>
  <si>
    <t>991021</t>
  </si>
  <si>
    <t>993122</t>
  </si>
  <si>
    <t>992399</t>
  </si>
  <si>
    <t>992427</t>
  </si>
  <si>
    <t>985005</t>
  </si>
  <si>
    <t>988651</t>
  </si>
  <si>
    <t>955201</t>
  </si>
  <si>
    <t>979045</t>
  </si>
  <si>
    <t>986448</t>
  </si>
  <si>
    <t>983078</t>
  </si>
  <si>
    <t>978075</t>
  </si>
  <si>
    <t>992621</t>
  </si>
  <si>
    <t>982003</t>
  </si>
  <si>
    <t>996399</t>
  </si>
  <si>
    <t>980094</t>
  </si>
  <si>
    <t>967043</t>
  </si>
  <si>
    <t>996154</t>
  </si>
  <si>
    <t>955127</t>
  </si>
  <si>
    <t>982254</t>
  </si>
  <si>
    <t>998017</t>
  </si>
  <si>
    <t>988075</t>
  </si>
  <si>
    <t>986074</t>
  </si>
  <si>
    <t>960032</t>
  </si>
  <si>
    <t>960028</t>
  </si>
  <si>
    <t>981089</t>
  </si>
  <si>
    <t>989198</t>
  </si>
  <si>
    <t>998060</t>
  </si>
  <si>
    <t>966131</t>
  </si>
  <si>
    <t>956025</t>
  </si>
  <si>
    <t>986330</t>
  </si>
  <si>
    <t>988652</t>
  </si>
  <si>
    <t>985075</t>
  </si>
  <si>
    <t>956019</t>
  </si>
  <si>
    <t>990016</t>
  </si>
  <si>
    <t>983096</t>
  </si>
  <si>
    <t>979015</t>
  </si>
  <si>
    <t>985044</t>
  </si>
  <si>
    <t>988423</t>
  </si>
  <si>
    <t>975170</t>
  </si>
  <si>
    <t>986007</t>
  </si>
  <si>
    <t>988927</t>
  </si>
  <si>
    <t>986024</t>
  </si>
  <si>
    <t>940023</t>
  </si>
  <si>
    <t>996400</t>
  </si>
  <si>
    <t>954035</t>
  </si>
  <si>
    <t>982012</t>
  </si>
  <si>
    <t>986195</t>
  </si>
  <si>
    <t>986227</t>
  </si>
  <si>
    <t>989025</t>
  </si>
  <si>
    <t>983115</t>
  </si>
  <si>
    <t>992181</t>
  </si>
  <si>
    <t>958027</t>
  </si>
  <si>
    <t>982190</t>
  </si>
  <si>
    <t>986351</t>
  </si>
  <si>
    <t>986338</t>
  </si>
  <si>
    <t>988656</t>
  </si>
  <si>
    <t>992539</t>
  </si>
  <si>
    <t>988210</t>
  </si>
  <si>
    <t>988539</t>
  </si>
  <si>
    <t>983103</t>
  </si>
  <si>
    <t>979030</t>
  </si>
  <si>
    <t>992781</t>
  </si>
  <si>
    <t>988736</t>
  </si>
  <si>
    <t>992450</t>
  </si>
  <si>
    <t>988449</t>
  </si>
  <si>
    <t>990020</t>
  </si>
  <si>
    <t>986181</t>
  </si>
  <si>
    <t>986276</t>
  </si>
  <si>
    <t>955005</t>
  </si>
  <si>
    <t>988503</t>
  </si>
  <si>
    <t>965005</t>
  </si>
  <si>
    <t>988358</t>
  </si>
  <si>
    <t>984039</t>
  </si>
  <si>
    <t>959060</t>
  </si>
  <si>
    <t>957001</t>
  </si>
  <si>
    <t>954237</t>
  </si>
  <si>
    <t>981015</t>
  </si>
  <si>
    <t>992587</t>
  </si>
  <si>
    <t>986371</t>
  </si>
  <si>
    <t>988327</t>
  </si>
  <si>
    <t>988660</t>
  </si>
  <si>
    <t>996291</t>
  </si>
  <si>
    <t>988431</t>
  </si>
  <si>
    <t>995087</t>
  </si>
  <si>
    <t>983119</t>
  </si>
  <si>
    <t>980022</t>
  </si>
  <si>
    <t>955112</t>
  </si>
  <si>
    <t>990003</t>
  </si>
  <si>
    <t>982125</t>
  </si>
  <si>
    <t>989177</t>
  </si>
  <si>
    <t>980144</t>
  </si>
  <si>
    <t>996030</t>
  </si>
  <si>
    <t>992444</t>
  </si>
  <si>
    <t>955213</t>
  </si>
  <si>
    <t>989036</t>
  </si>
  <si>
    <t>989160</t>
  </si>
  <si>
    <t>995189</t>
  </si>
  <si>
    <t>995330</t>
  </si>
  <si>
    <t>991004</t>
  </si>
  <si>
    <t>960052</t>
  </si>
  <si>
    <t>984029</t>
  </si>
  <si>
    <t>989079</t>
  </si>
  <si>
    <t>996200</t>
  </si>
  <si>
    <t>994101</t>
  </si>
  <si>
    <t>988661</t>
  </si>
  <si>
    <t>982046</t>
  </si>
  <si>
    <t>988192</t>
  </si>
  <si>
    <t>989069</t>
  </si>
  <si>
    <t>998013</t>
  </si>
  <si>
    <t>980053</t>
  </si>
  <si>
    <t>955192</t>
  </si>
  <si>
    <t>990004</t>
  </si>
  <si>
    <t>986281</t>
  </si>
  <si>
    <t>954142</t>
  </si>
  <si>
    <t>995231</t>
  </si>
  <si>
    <t>996164</t>
  </si>
  <si>
    <t>975042</t>
  </si>
  <si>
    <t>955015</t>
  </si>
  <si>
    <t>988402</t>
  </si>
  <si>
    <t>954229</t>
  </si>
  <si>
    <t>989203</t>
  </si>
  <si>
    <t>982112</t>
  </si>
  <si>
    <t>992823</t>
  </si>
  <si>
    <t>992771</t>
  </si>
  <si>
    <t>989246</t>
  </si>
  <si>
    <t>988512</t>
  </si>
  <si>
    <t>980030</t>
  </si>
  <si>
    <t>954187</t>
  </si>
  <si>
    <t>992249</t>
  </si>
  <si>
    <t>988664</t>
  </si>
  <si>
    <t>988524</t>
  </si>
  <si>
    <t>988249</t>
  </si>
  <si>
    <t>992331</t>
  </si>
  <si>
    <t>998015</t>
  </si>
  <si>
    <t>980111</t>
  </si>
  <si>
    <t>955218</t>
  </si>
  <si>
    <t>992370</t>
  </si>
  <si>
    <t>992196</t>
  </si>
  <si>
    <t>991001</t>
  </si>
  <si>
    <t>988109</t>
  </si>
  <si>
    <t>995235</t>
  </si>
  <si>
    <t>986198</t>
  </si>
  <si>
    <t>955016</t>
  </si>
  <si>
    <t>991026</t>
  </si>
  <si>
    <t>995222</t>
  </si>
  <si>
    <t>992026</t>
  </si>
  <si>
    <t>995099</t>
  </si>
  <si>
    <t>955214</t>
  </si>
  <si>
    <t>989342</t>
  </si>
  <si>
    <t>954068</t>
  </si>
  <si>
    <t>980039</t>
  </si>
  <si>
    <t>988618</t>
  </si>
  <si>
    <t>992394</t>
  </si>
  <si>
    <t>988677</t>
  </si>
  <si>
    <t>955204</t>
  </si>
  <si>
    <t>988246</t>
  </si>
  <si>
    <t>966102</t>
  </si>
  <si>
    <t>998019</t>
  </si>
  <si>
    <t>980114</t>
  </si>
  <si>
    <t>991018</t>
  </si>
  <si>
    <t>992613</t>
  </si>
  <si>
    <t>986209</t>
  </si>
  <si>
    <t>991025</t>
  </si>
  <si>
    <t>954095</t>
  </si>
  <si>
    <t>988033</t>
  </si>
  <si>
    <t>988458</t>
  </si>
  <si>
    <t>955028</t>
  </si>
  <si>
    <t>988383</t>
  </si>
  <si>
    <t>989049</t>
  </si>
  <si>
    <t>986259</t>
  </si>
  <si>
    <t>986568</t>
  </si>
  <si>
    <t>955018</t>
  </si>
  <si>
    <t>992237</t>
  </si>
  <si>
    <t>992072</t>
  </si>
  <si>
    <t>980130</t>
  </si>
  <si>
    <t>992416</t>
  </si>
  <si>
    <t>988678</t>
  </si>
  <si>
    <t>982273</t>
  </si>
  <si>
    <t>988251</t>
  </si>
  <si>
    <t>982025</t>
  </si>
  <si>
    <t>998035</t>
  </si>
  <si>
    <t>980116</t>
  </si>
  <si>
    <t>991148</t>
  </si>
  <si>
    <t>991092</t>
  </si>
  <si>
    <t>992576</t>
  </si>
  <si>
    <t>991027</t>
  </si>
  <si>
    <t>986102</t>
  </si>
  <si>
    <t>983054</t>
  </si>
  <si>
    <t>989340</t>
  </si>
  <si>
    <t>966186</t>
  </si>
  <si>
    <t>995108</t>
  </si>
  <si>
    <t>988898</t>
  </si>
  <si>
    <t>988385</t>
  </si>
  <si>
    <t>982110</t>
  </si>
  <si>
    <t>955019</t>
  </si>
  <si>
    <t>988605</t>
  </si>
  <si>
    <t>988185</t>
  </si>
  <si>
    <t>975069</t>
  </si>
  <si>
    <t>989046</t>
  </si>
  <si>
    <t>992218</t>
  </si>
  <si>
    <t>988679</t>
  </si>
  <si>
    <t>988797</t>
  </si>
  <si>
    <t>956010</t>
  </si>
  <si>
    <t>988806</t>
  </si>
  <si>
    <t>998036</t>
  </si>
  <si>
    <t>980159</t>
  </si>
  <si>
    <t>986571</t>
  </si>
  <si>
    <t>992612</t>
  </si>
  <si>
    <t>986192</t>
  </si>
  <si>
    <t>991113</t>
  </si>
  <si>
    <t>992211</t>
  </si>
  <si>
    <t>995137</t>
  </si>
  <si>
    <t>995014</t>
  </si>
  <si>
    <t>981091</t>
  </si>
  <si>
    <t>992038</t>
  </si>
  <si>
    <t>992511</t>
  </si>
  <si>
    <t>986118</t>
  </si>
  <si>
    <t>991054</t>
  </si>
  <si>
    <t>960019</t>
  </si>
  <si>
    <t>988935</t>
  </si>
  <si>
    <t>988154</t>
  </si>
  <si>
    <t>992104</t>
  </si>
  <si>
    <t>995030</t>
  </si>
  <si>
    <t>982084</t>
  </si>
  <si>
    <t>988692</t>
  </si>
  <si>
    <t>996292</t>
  </si>
  <si>
    <t>988204</t>
  </si>
  <si>
    <t>988544</t>
  </si>
  <si>
    <t>998054</t>
  </si>
  <si>
    <t>980171</t>
  </si>
  <si>
    <t>982092</t>
  </si>
  <si>
    <t>977027</t>
  </si>
  <si>
    <t>996106</t>
  </si>
  <si>
    <t>992354</t>
  </si>
  <si>
    <t>976066</t>
  </si>
  <si>
    <t>996205</t>
  </si>
  <si>
    <t>992187</t>
  </si>
  <si>
    <t>966174</t>
  </si>
  <si>
    <t>988495</t>
  </si>
  <si>
    <t>954246</t>
  </si>
  <si>
    <t>986108</t>
  </si>
  <si>
    <t>986213</t>
  </si>
  <si>
    <t>980050</t>
  </si>
  <si>
    <t>960042</t>
  </si>
  <si>
    <t>986527</t>
  </si>
  <si>
    <t>988174</t>
  </si>
  <si>
    <t>979062</t>
  </si>
  <si>
    <t>988653</t>
  </si>
  <si>
    <t>988694</t>
  </si>
  <si>
    <t>988142</t>
  </si>
  <si>
    <t>988214</t>
  </si>
  <si>
    <t>971097</t>
  </si>
  <si>
    <t>998061</t>
  </si>
  <si>
    <t>981087</t>
  </si>
  <si>
    <t>986599</t>
  </si>
  <si>
    <t>980063</t>
  </si>
  <si>
    <t>996283</t>
  </si>
  <si>
    <t>986073</t>
  </si>
  <si>
    <t>998045</t>
  </si>
  <si>
    <t>996206</t>
  </si>
  <si>
    <t>986161</t>
  </si>
  <si>
    <t>989001</t>
  </si>
  <si>
    <t>989208</t>
  </si>
  <si>
    <t>940049</t>
  </si>
  <si>
    <t>995135</t>
  </si>
  <si>
    <t>984049</t>
  </si>
  <si>
    <t>996398</t>
  </si>
  <si>
    <t>960049</t>
  </si>
  <si>
    <t>994082</t>
  </si>
  <si>
    <t>954183</t>
  </si>
  <si>
    <t>988286</t>
  </si>
  <si>
    <t>988925</t>
  </si>
  <si>
    <t>988695</t>
  </si>
  <si>
    <t>988546</t>
  </si>
  <si>
    <t>988227</t>
  </si>
  <si>
    <t>993144</t>
  </si>
  <si>
    <t>998084</t>
  </si>
  <si>
    <t>982009</t>
  </si>
  <si>
    <t>992750</t>
  </si>
  <si>
    <t>986077</t>
  </si>
  <si>
    <t>996284</t>
  </si>
  <si>
    <t>982096</t>
  </si>
  <si>
    <t>998031</t>
  </si>
  <si>
    <t>996210</t>
  </si>
  <si>
    <t>988909</t>
  </si>
  <si>
    <t>995274</t>
  </si>
  <si>
    <t>984064</t>
  </si>
  <si>
    <t>984030</t>
  </si>
  <si>
    <t>972042</t>
  </si>
  <si>
    <t>982269</t>
  </si>
  <si>
    <t>976002</t>
  </si>
  <si>
    <t>982045</t>
  </si>
  <si>
    <t>986124</t>
  </si>
  <si>
    <t>975102</t>
  </si>
  <si>
    <t>988835</t>
  </si>
  <si>
    <t>994006</t>
  </si>
  <si>
    <t>988855</t>
  </si>
  <si>
    <t>995245</t>
  </si>
  <si>
    <t>988242</t>
  </si>
  <si>
    <t>986417</t>
  </si>
  <si>
    <t>983014</t>
  </si>
  <si>
    <t>982010</t>
  </si>
  <si>
    <t>991117</t>
  </si>
  <si>
    <t>993010</t>
  </si>
  <si>
    <t>992067</t>
  </si>
  <si>
    <t>995029</t>
  </si>
  <si>
    <t>991034</t>
  </si>
  <si>
    <t>988044</t>
  </si>
  <si>
    <t>989032</t>
  </si>
  <si>
    <t>995092</t>
  </si>
  <si>
    <t>989077</t>
  </si>
  <si>
    <t>994039</t>
  </si>
  <si>
    <t>992778</t>
  </si>
  <si>
    <t>992312</t>
  </si>
  <si>
    <t>976062</t>
  </si>
  <si>
    <t>989247</t>
  </si>
  <si>
    <t>988144</t>
  </si>
  <si>
    <t>989212</t>
  </si>
  <si>
    <t>986352</t>
  </si>
  <si>
    <t>988690</t>
  </si>
  <si>
    <t>988856</t>
  </si>
  <si>
    <t>996109</t>
  </si>
  <si>
    <t>988245</t>
  </si>
  <si>
    <t>955089</t>
  </si>
  <si>
    <t>983015</t>
  </si>
  <si>
    <t>982011</t>
  </si>
  <si>
    <t>981014</t>
  </si>
  <si>
    <t>954240</t>
  </si>
  <si>
    <t>986277</t>
  </si>
  <si>
    <t>956035</t>
  </si>
  <si>
    <t>995119</t>
  </si>
  <si>
    <t>996004</t>
  </si>
  <si>
    <t>985038</t>
  </si>
  <si>
    <t>966078</t>
  </si>
  <si>
    <t>986249</t>
  </si>
  <si>
    <t>989004</t>
  </si>
  <si>
    <t>986575</t>
  </si>
  <si>
    <t>988527</t>
  </si>
  <si>
    <t>967039</t>
  </si>
  <si>
    <t>994028</t>
  </si>
  <si>
    <t>988777</t>
  </si>
  <si>
    <t>990039</t>
  </si>
  <si>
    <t>980122</t>
  </si>
  <si>
    <t>994003</t>
  </si>
  <si>
    <t>940079</t>
  </si>
  <si>
    <t>980100</t>
  </si>
  <si>
    <t>988247</t>
  </si>
  <si>
    <t>955183</t>
  </si>
  <si>
    <t>983016</t>
  </si>
  <si>
    <t>982060</t>
  </si>
  <si>
    <t>988392</t>
  </si>
  <si>
    <t>990005</t>
  </si>
  <si>
    <t>988125</t>
  </si>
  <si>
    <t>988025</t>
  </si>
  <si>
    <t>992132</t>
  </si>
  <si>
    <t>980106</t>
  </si>
  <si>
    <t>995051</t>
  </si>
  <si>
    <t>972022</t>
  </si>
  <si>
    <t>988401</t>
  </si>
  <si>
    <t>982014</t>
  </si>
  <si>
    <t>986222</t>
  </si>
  <si>
    <t>966094</t>
  </si>
  <si>
    <t>986205</t>
  </si>
  <si>
    <t>988905</t>
  </si>
  <si>
    <t>954018</t>
  </si>
  <si>
    <t>982192</t>
  </si>
  <si>
    <t>954189</t>
  </si>
  <si>
    <t>988310</t>
  </si>
  <si>
    <t>988859</t>
  </si>
  <si>
    <t>988966</t>
  </si>
  <si>
    <t>988248</t>
  </si>
  <si>
    <t>955084</t>
  </si>
  <si>
    <t>983017</t>
  </si>
  <si>
    <t>982073</t>
  </si>
  <si>
    <t>988426</t>
  </si>
  <si>
    <t>980166</t>
  </si>
  <si>
    <t>995038</t>
  </si>
  <si>
    <t>954034</t>
  </si>
  <si>
    <t>988061</t>
  </si>
  <si>
    <t>995139</t>
  </si>
  <si>
    <t>995035</t>
  </si>
  <si>
    <t>972024</t>
  </si>
  <si>
    <t>988126</t>
  </si>
  <si>
    <t>954117</t>
  </si>
  <si>
    <t>988386</t>
  </si>
  <si>
    <t>986219</t>
  </si>
  <si>
    <t>992302</t>
  </si>
  <si>
    <t>954259</t>
  </si>
  <si>
    <t>975123</t>
  </si>
  <si>
    <t>977025</t>
  </si>
  <si>
    <t>992262</t>
  </si>
  <si>
    <t>988311</t>
  </si>
  <si>
    <t>980008</t>
  </si>
  <si>
    <t>992107</t>
  </si>
  <si>
    <t>988560</t>
  </si>
  <si>
    <t>975066</t>
  </si>
  <si>
    <t>998083</t>
  </si>
  <si>
    <t>982130</t>
  </si>
  <si>
    <t>986105</t>
  </si>
  <si>
    <t>954010</t>
  </si>
  <si>
    <t>988748</t>
  </si>
  <si>
    <t>992162</t>
  </si>
  <si>
    <t>992550</t>
  </si>
  <si>
    <t>996010</t>
  </si>
  <si>
    <t>990010</t>
  </si>
  <si>
    <t>986145</t>
  </si>
  <si>
    <t>992053</t>
  </si>
  <si>
    <t>988771</t>
  </si>
  <si>
    <t>954222</t>
  </si>
  <si>
    <t>996189</t>
  </si>
  <si>
    <t>992424</t>
  </si>
  <si>
    <t>994029</t>
  </si>
  <si>
    <t>989159</t>
  </si>
  <si>
    <t>977031</t>
  </si>
  <si>
    <t>978019</t>
  </si>
  <si>
    <t>992561</t>
  </si>
  <si>
    <t>980038</t>
  </si>
  <si>
    <t>986482</t>
  </si>
  <si>
    <t>988810</t>
  </si>
  <si>
    <t>955102</t>
  </si>
  <si>
    <t>998093</t>
  </si>
  <si>
    <t>982149</t>
  </si>
  <si>
    <t>992677</t>
  </si>
  <si>
    <t>995322</t>
  </si>
  <si>
    <t>992113</t>
  </si>
  <si>
    <t>995289</t>
  </si>
  <si>
    <t>998002</t>
  </si>
  <si>
    <t>996014</t>
  </si>
  <si>
    <t>992426</t>
  </si>
  <si>
    <t>992001</t>
  </si>
  <si>
    <t>985015</t>
  </si>
  <si>
    <t>993072</t>
  </si>
  <si>
    <t>986218</t>
  </si>
  <si>
    <t>988727</t>
  </si>
  <si>
    <t>958002</t>
  </si>
  <si>
    <t>977024</t>
  </si>
  <si>
    <t>989251</t>
  </si>
  <si>
    <t>992694</t>
  </si>
  <si>
    <t>995005</t>
  </si>
  <si>
    <t>978025</t>
  </si>
  <si>
    <t>980065</t>
  </si>
  <si>
    <t>989222</t>
  </si>
  <si>
    <t>988201</t>
  </si>
  <si>
    <t>955095</t>
  </si>
  <si>
    <t>983019</t>
  </si>
  <si>
    <t>982150</t>
  </si>
  <si>
    <t>986009</t>
  </si>
  <si>
    <t>992663</t>
  </si>
  <si>
    <t>992100</t>
  </si>
  <si>
    <t>955023</t>
  </si>
  <si>
    <t>998109</t>
  </si>
  <si>
    <t>996024</t>
  </si>
  <si>
    <t>988400</t>
  </si>
  <si>
    <t>995247</t>
  </si>
  <si>
    <t>986216</t>
  </si>
  <si>
    <t>963004</t>
  </si>
  <si>
    <t>986103</t>
  </si>
  <si>
    <t>992636</t>
  </si>
  <si>
    <t>998158</t>
  </si>
  <si>
    <t>990001</t>
  </si>
  <si>
    <t>992225</t>
  </si>
  <si>
    <t>986537</t>
  </si>
  <si>
    <t>989173</t>
  </si>
  <si>
    <t>954223</t>
  </si>
  <si>
    <t>986315</t>
  </si>
  <si>
    <t>988152</t>
  </si>
  <si>
    <t>988233</t>
  </si>
  <si>
    <t>955010</t>
  </si>
  <si>
    <t>983020</t>
  </si>
  <si>
    <t>982151</t>
  </si>
  <si>
    <t>983057</t>
  </si>
  <si>
    <t>991088</t>
  </si>
  <si>
    <t>960030</t>
  </si>
  <si>
    <t>981096</t>
  </si>
  <si>
    <t>998127</t>
  </si>
  <si>
    <t>980155</t>
  </si>
  <si>
    <t>960037</t>
  </si>
  <si>
    <t>996040</t>
  </si>
  <si>
    <t>996079</t>
  </si>
  <si>
    <t>984036</t>
  </si>
  <si>
    <t>995153</t>
  </si>
  <si>
    <t>991056</t>
  </si>
  <si>
    <t>998169</t>
  </si>
  <si>
    <t>990002</t>
  </si>
  <si>
    <t>986493</t>
  </si>
  <si>
    <t>992519</t>
  </si>
  <si>
    <t>989196</t>
  </si>
  <si>
    <t>954056</t>
  </si>
  <si>
    <t>980033</t>
  </si>
  <si>
    <t>989095</t>
  </si>
  <si>
    <t>988234</t>
  </si>
  <si>
    <t>955199</t>
  </si>
  <si>
    <t>983021</t>
  </si>
  <si>
    <t>982241</t>
  </si>
  <si>
    <t>979024</t>
  </si>
  <si>
    <t>992551</t>
  </si>
  <si>
    <t>960034</t>
  </si>
  <si>
    <t>998091</t>
  </si>
  <si>
    <t>998194</t>
  </si>
  <si>
    <t>986257</t>
  </si>
  <si>
    <t>988500</t>
  </si>
  <si>
    <t>996061</t>
  </si>
  <si>
    <t>996081</t>
  </si>
  <si>
    <t>989125</t>
  </si>
  <si>
    <t>975107</t>
  </si>
  <si>
    <t>991053</t>
  </si>
  <si>
    <t>998170</t>
  </si>
  <si>
    <t>982044</t>
  </si>
  <si>
    <t>954028</t>
  </si>
  <si>
    <t>992475</t>
  </si>
  <si>
    <t>988593</t>
  </si>
  <si>
    <t>954148</t>
  </si>
  <si>
    <t>992167</t>
  </si>
  <si>
    <t>988153</t>
  </si>
  <si>
    <t>982023</t>
  </si>
  <si>
    <t>955133</t>
  </si>
  <si>
    <t>983073</t>
  </si>
  <si>
    <t>983053</t>
  </si>
  <si>
    <t>988076</t>
  </si>
  <si>
    <t>980167</t>
  </si>
  <si>
    <t>984037</t>
  </si>
  <si>
    <t>940058</t>
  </si>
  <si>
    <t>998033</t>
  </si>
  <si>
    <t>988018</t>
  </si>
  <si>
    <t>980157</t>
  </si>
  <si>
    <t>979005</t>
  </si>
  <si>
    <t>992003</t>
  </si>
  <si>
    <t>975038</t>
  </si>
  <si>
    <t>940043</t>
  </si>
  <si>
    <t>988421</t>
  </si>
  <si>
    <t>979008</t>
  </si>
  <si>
    <t>990038</t>
  </si>
  <si>
    <t>996137</t>
  </si>
  <si>
    <t>991085</t>
  </si>
  <si>
    <t>988830</t>
  </si>
  <si>
    <t>993009</t>
  </si>
  <si>
    <t>988326</t>
  </si>
  <si>
    <t>966003</t>
  </si>
  <si>
    <t>996183</t>
  </si>
  <si>
    <t>981101</t>
  </si>
  <si>
    <t>983068</t>
  </si>
  <si>
    <t>984083</t>
  </si>
  <si>
    <t>995257</t>
  </si>
  <si>
    <t>986180</t>
  </si>
  <si>
    <t>992083</t>
  </si>
  <si>
    <t>998163</t>
  </si>
  <si>
    <t>998027</t>
  </si>
  <si>
    <t>986072</t>
  </si>
  <si>
    <t>985036</t>
  </si>
  <si>
    <t>988066</t>
  </si>
  <si>
    <t>995041</t>
  </si>
  <si>
    <t>996002</t>
  </si>
  <si>
    <t>995124</t>
  </si>
  <si>
    <t>988120</t>
  </si>
  <si>
    <t>979012</t>
  </si>
  <si>
    <t>984001</t>
  </si>
  <si>
    <t>988159</t>
  </si>
  <si>
    <t>984067</t>
  </si>
  <si>
    <t>988282</t>
  </si>
  <si>
    <t>993050</t>
  </si>
  <si>
    <t>986306</t>
  </si>
  <si>
    <t>996112</t>
  </si>
  <si>
    <t>954177</t>
  </si>
  <si>
    <t>988941</t>
  </si>
  <si>
    <t>983074</t>
  </si>
  <si>
    <t>985069</t>
  </si>
  <si>
    <t>996063</t>
  </si>
  <si>
    <t>995057</t>
  </si>
  <si>
    <t>986196</t>
  </si>
  <si>
    <t>984078</t>
  </si>
  <si>
    <t>975061</t>
  </si>
  <si>
    <t>954191</t>
  </si>
  <si>
    <t>954231</t>
  </si>
  <si>
    <t>990006</t>
  </si>
  <si>
    <t>989176</t>
  </si>
  <si>
    <t>996041</t>
  </si>
  <si>
    <t>975024</t>
  </si>
  <si>
    <t>996007</t>
  </si>
  <si>
    <t>954257</t>
  </si>
  <si>
    <t>992095</t>
  </si>
  <si>
    <t>991066</t>
  </si>
  <si>
    <t>954277</t>
  </si>
  <si>
    <t>954150</t>
  </si>
  <si>
    <t>986305</t>
  </si>
  <si>
    <t>988811</t>
  </si>
  <si>
    <t>994059</t>
  </si>
  <si>
    <t>955009</t>
  </si>
  <si>
    <t>983009</t>
  </si>
  <si>
    <t>986002</t>
  </si>
  <si>
    <t>982094</t>
  </si>
  <si>
    <t>992541</t>
  </si>
  <si>
    <t>988452</t>
  </si>
  <si>
    <t>989278</t>
  </si>
  <si>
    <t>989234</t>
  </si>
  <si>
    <t>988447</t>
  </si>
  <si>
    <t>980190</t>
  </si>
  <si>
    <t>960033</t>
  </si>
  <si>
    <t>992212</t>
  </si>
  <si>
    <t>996055</t>
  </si>
  <si>
    <t>986560</t>
  </si>
  <si>
    <t>988356</t>
  </si>
  <si>
    <t>995110</t>
  </si>
  <si>
    <t>940089</t>
  </si>
  <si>
    <t>985081</t>
  </si>
  <si>
    <t>992349</t>
  </si>
  <si>
    <t>996375</t>
  </si>
  <si>
    <t>988645</t>
  </si>
  <si>
    <t>988324</t>
  </si>
  <si>
    <t>992186</t>
  </si>
  <si>
    <t>980045</t>
  </si>
  <si>
    <t>955202</t>
  </si>
  <si>
    <t>983011</t>
  </si>
  <si>
    <t>986013</t>
  </si>
  <si>
    <t>992500</t>
  </si>
  <si>
    <t>991074</t>
  </si>
  <si>
    <t>988776</t>
  </si>
  <si>
    <t>992765</t>
  </si>
  <si>
    <t>975075</t>
  </si>
  <si>
    <t>940073</t>
  </si>
  <si>
    <t>975086</t>
  </si>
  <si>
    <t>992042</t>
  </si>
  <si>
    <t>986088</t>
  </si>
  <si>
    <t>992268</t>
  </si>
  <si>
    <t>975154</t>
  </si>
  <si>
    <t>986179</t>
  </si>
  <si>
    <t>954228</t>
  </si>
  <si>
    <t>954145</t>
  </si>
  <si>
    <t>989181</t>
  </si>
  <si>
    <t>967011</t>
  </si>
  <si>
    <t>988288</t>
  </si>
  <si>
    <t>966146</t>
  </si>
  <si>
    <t>980080</t>
  </si>
  <si>
    <t>989267</t>
  </si>
  <si>
    <t>988199</t>
  </si>
  <si>
    <t>998157</t>
  </si>
  <si>
    <t>983076</t>
  </si>
  <si>
    <t>986063</t>
  </si>
  <si>
    <t>986109</t>
  </si>
  <si>
    <t>977021</t>
  </si>
  <si>
    <t>985040</t>
  </si>
  <si>
    <t>954281</t>
  </si>
  <si>
    <t>979061</t>
  </si>
  <si>
    <t>989038</t>
  </si>
  <si>
    <t>992204</t>
  </si>
  <si>
    <t>960024</t>
  </si>
  <si>
    <t>986155</t>
  </si>
  <si>
    <t>988111</t>
  </si>
  <si>
    <t>975173</t>
  </si>
  <si>
    <t>981011</t>
  </si>
  <si>
    <t>989215</t>
  </si>
  <si>
    <t>994027</t>
  </si>
  <si>
    <t>987009</t>
  </si>
  <si>
    <t>954260</t>
  </si>
  <si>
    <t>986375</t>
  </si>
  <si>
    <t>979019</t>
  </si>
  <si>
    <t>988350</t>
  </si>
  <si>
    <t>982139</t>
  </si>
  <si>
    <t>988537</t>
  </si>
  <si>
    <t>998178</t>
  </si>
  <si>
    <t>983077</t>
  </si>
  <si>
    <t>986100</t>
  </si>
  <si>
    <t>986282</t>
  </si>
  <si>
    <t>995188</t>
  </si>
  <si>
    <t>998075</t>
  </si>
  <si>
    <t>954003</t>
  </si>
  <si>
    <t>996170</t>
  </si>
  <si>
    <t>972062</t>
  </si>
  <si>
    <t>985039</t>
  </si>
  <si>
    <t>986113</t>
  </si>
  <si>
    <t>996149</t>
  </si>
  <si>
    <t>992337</t>
  </si>
  <si>
    <t>990032</t>
  </si>
  <si>
    <t>991031</t>
  </si>
  <si>
    <t>995177</t>
  </si>
  <si>
    <t>992542</t>
  </si>
  <si>
    <t>986025</t>
  </si>
  <si>
    <t>995128</t>
  </si>
  <si>
    <t>984116</t>
  </si>
  <si>
    <t>988312</t>
  </si>
  <si>
    <t>988680</t>
  </si>
  <si>
    <t>992392</t>
  </si>
  <si>
    <t>982028</t>
  </si>
  <si>
    <t>955088</t>
  </si>
  <si>
    <t>983008</t>
  </si>
  <si>
    <t>986115</t>
  </si>
  <si>
    <t>988088</t>
  </si>
  <si>
    <t>986042</t>
  </si>
  <si>
    <t>993141</t>
  </si>
  <si>
    <t>995263</t>
  </si>
  <si>
    <t>992524</t>
  </si>
  <si>
    <t>988130</t>
  </si>
  <si>
    <t>988355</t>
  </si>
  <si>
    <t>986255</t>
  </si>
  <si>
    <t>988384</t>
  </si>
  <si>
    <t>995133</t>
  </si>
  <si>
    <t>988971</t>
  </si>
  <si>
    <t>995249</t>
  </si>
  <si>
    <t>984005</t>
  </si>
  <si>
    <t>980156</t>
  </si>
  <si>
    <t>980177</t>
  </si>
  <si>
    <t>958007</t>
  </si>
  <si>
    <t>988851</t>
  </si>
  <si>
    <t>988298</t>
  </si>
  <si>
    <t>940066</t>
  </si>
  <si>
    <t>971074</t>
  </si>
  <si>
    <t>955224</t>
  </si>
  <si>
    <t>998051</t>
  </si>
  <si>
    <t>986128</t>
  </si>
  <si>
    <t>992381</t>
  </si>
  <si>
    <t>960013</t>
  </si>
  <si>
    <t>988131</t>
  </si>
  <si>
    <t>988006</t>
  </si>
  <si>
    <t>994024</t>
  </si>
  <si>
    <t>972026</t>
  </si>
  <si>
    <t>981061</t>
  </si>
  <si>
    <t>989174</t>
  </si>
  <si>
    <t>988732</t>
  </si>
  <si>
    <t>972052</t>
  </si>
  <si>
    <t>992377</t>
  </si>
  <si>
    <t>977032</t>
  </si>
  <si>
    <t>975030</t>
  </si>
  <si>
    <t>986079</t>
  </si>
  <si>
    <t>954282</t>
  </si>
  <si>
    <t>980060</t>
  </si>
  <si>
    <t>975033</t>
  </si>
  <si>
    <t>996236</t>
  </si>
  <si>
    <t>988318</t>
  </si>
  <si>
    <t>966020</t>
  </si>
  <si>
    <t>976061</t>
  </si>
  <si>
    <t>981090</t>
  </si>
  <si>
    <t>998050</t>
  </si>
  <si>
    <t>986130</t>
  </si>
  <si>
    <t>988101</t>
  </si>
  <si>
    <t>988451</t>
  </si>
  <si>
    <t>982126</t>
  </si>
  <si>
    <t>986232</t>
  </si>
  <si>
    <t>992568</t>
  </si>
  <si>
    <t>988396</t>
  </si>
  <si>
    <t>982157</t>
  </si>
  <si>
    <t>995017</t>
  </si>
  <si>
    <t>992396</t>
  </si>
  <si>
    <t>971049</t>
  </si>
  <si>
    <t>988499</t>
  </si>
  <si>
    <t>992711</t>
  </si>
  <si>
    <t>989126</t>
  </si>
  <si>
    <t>992508</t>
  </si>
  <si>
    <t>984061</t>
  </si>
  <si>
    <t>954153</t>
  </si>
  <si>
    <t>981007</t>
  </si>
  <si>
    <t>996238</t>
  </si>
  <si>
    <t>988639</t>
  </si>
  <si>
    <t>995093</t>
  </si>
  <si>
    <t>971067</t>
  </si>
  <si>
    <t>955071</t>
  </si>
  <si>
    <t>998049</t>
  </si>
  <si>
    <t>986131</t>
  </si>
  <si>
    <t>998012</t>
  </si>
  <si>
    <t>960044</t>
  </si>
  <si>
    <t>975180</t>
  </si>
  <si>
    <t>975111</t>
  </si>
  <si>
    <t>972049</t>
  </si>
  <si>
    <t>940025</t>
  </si>
  <si>
    <t>984045</t>
  </si>
  <si>
    <t>954198</t>
  </si>
  <si>
    <t>989018</t>
  </si>
  <si>
    <t>971055</t>
  </si>
  <si>
    <t>996086</t>
  </si>
  <si>
    <t>975017</t>
  </si>
  <si>
    <t>988052</t>
  </si>
  <si>
    <t>986505</t>
  </si>
  <si>
    <t>991065</t>
  </si>
  <si>
    <t>991099</t>
  </si>
  <si>
    <t>992435</t>
  </si>
  <si>
    <t>996241</t>
  </si>
  <si>
    <t>988841</t>
  </si>
  <si>
    <t>980195</t>
  </si>
  <si>
    <t>971086</t>
  </si>
  <si>
    <t>980145</t>
  </si>
  <si>
    <t>983067</t>
  </si>
  <si>
    <t>986133</t>
  </si>
  <si>
    <t>998029</t>
  </si>
  <si>
    <t>992452</t>
  </si>
  <si>
    <t>988720</t>
  </si>
  <si>
    <t>988019</t>
  </si>
  <si>
    <t>972004</t>
  </si>
  <si>
    <t>955129</t>
  </si>
  <si>
    <t>988456</t>
  </si>
  <si>
    <t>995233</t>
  </si>
  <si>
    <t>986252</t>
  </si>
  <si>
    <t>971072</t>
  </si>
  <si>
    <t>986099</t>
  </si>
  <si>
    <t>989144</t>
  </si>
  <si>
    <t>988900</t>
  </si>
  <si>
    <t>966164</t>
  </si>
  <si>
    <t>998200</t>
  </si>
  <si>
    <t>982187</t>
  </si>
  <si>
    <t>995268</t>
  </si>
  <si>
    <t>996242</t>
  </si>
  <si>
    <t>956031</t>
  </si>
  <si>
    <t>986485</t>
  </si>
  <si>
    <t>986426</t>
  </si>
  <si>
    <t>988999</t>
  </si>
  <si>
    <t>983080</t>
  </si>
  <si>
    <t>986182</t>
  </si>
  <si>
    <t>988485</t>
  </si>
  <si>
    <t>995209</t>
  </si>
  <si>
    <t>986089</t>
  </si>
  <si>
    <t>989091</t>
  </si>
  <si>
    <t>983125</t>
  </si>
  <si>
    <t>986068</t>
  </si>
  <si>
    <t>991090</t>
  </si>
  <si>
    <t>992732</t>
  </si>
  <si>
    <t>986039</t>
  </si>
  <si>
    <t>971065</t>
  </si>
  <si>
    <t>995134</t>
  </si>
  <si>
    <t>985014</t>
  </si>
  <si>
    <t>979001</t>
  </si>
  <si>
    <t>995240</t>
  </si>
  <si>
    <t>988147</t>
  </si>
  <si>
    <t>956013</t>
  </si>
  <si>
    <t>989109</t>
  </si>
  <si>
    <t>996260</t>
  </si>
  <si>
    <t>988315</t>
  </si>
  <si>
    <t>986036</t>
  </si>
  <si>
    <t>989167</t>
  </si>
  <si>
    <t>983118</t>
  </si>
  <si>
    <t>983106</t>
  </si>
  <si>
    <t>986187</t>
  </si>
  <si>
    <t>991022</t>
  </si>
  <si>
    <t>989047</t>
  </si>
  <si>
    <t>998082</t>
  </si>
  <si>
    <t>982037</t>
  </si>
  <si>
    <t>972081</t>
  </si>
  <si>
    <t>986023</t>
  </si>
  <si>
    <t>985046</t>
  </si>
  <si>
    <t>994040</t>
  </si>
  <si>
    <t>995313</t>
  </si>
  <si>
    <t>971037</t>
  </si>
  <si>
    <t>975184</t>
  </si>
  <si>
    <t>975041</t>
  </si>
  <si>
    <t>989237</t>
  </si>
  <si>
    <t>986057</t>
  </si>
  <si>
    <t>988178</t>
  </si>
  <si>
    <t>998006</t>
  </si>
  <si>
    <t>991019</t>
  </si>
  <si>
    <t>988676</t>
  </si>
  <si>
    <t>988330</t>
  </si>
  <si>
    <t>980025</t>
  </si>
  <si>
    <t>994107</t>
  </si>
  <si>
    <t>986401</t>
  </si>
  <si>
    <t>983024</t>
  </si>
  <si>
    <t>986193</t>
  </si>
  <si>
    <t>986125</t>
  </si>
  <si>
    <t>967007</t>
  </si>
  <si>
    <t>996099</t>
  </si>
  <si>
    <t>992258</t>
  </si>
  <si>
    <t>972082</t>
  </si>
  <si>
    <t>988394</t>
  </si>
  <si>
    <t>979032</t>
  </si>
  <si>
    <t>995016</t>
  </si>
  <si>
    <t>980181</t>
  </si>
  <si>
    <t>971052</t>
  </si>
  <si>
    <t>966110</t>
  </si>
  <si>
    <t>989127</t>
  </si>
  <si>
    <t>975034</t>
  </si>
  <si>
    <t>984034</t>
  </si>
  <si>
    <t>988188</t>
  </si>
  <si>
    <t>954157</t>
  </si>
  <si>
    <t>982069</t>
  </si>
  <si>
    <t>989039</t>
  </si>
  <si>
    <t>986337</t>
  </si>
  <si>
    <t>988516</t>
  </si>
  <si>
    <t>966167</t>
  </si>
  <si>
    <t>986424</t>
  </si>
  <si>
    <t>998023</t>
  </si>
  <si>
    <t>986207</t>
  </si>
  <si>
    <t>988424</t>
  </si>
  <si>
    <t>996068</t>
  </si>
  <si>
    <t>965004</t>
  </si>
  <si>
    <t>995265</t>
  </si>
  <si>
    <t>975190</t>
  </si>
  <si>
    <t>992124</t>
  </si>
  <si>
    <t>979037</t>
  </si>
  <si>
    <t>993127</t>
  </si>
  <si>
    <t>986278</t>
  </si>
  <si>
    <t>971073</t>
  </si>
  <si>
    <t>954097</t>
  </si>
  <si>
    <t>985049</t>
  </si>
  <si>
    <t>986123</t>
  </si>
  <si>
    <t>954086</t>
  </si>
  <si>
    <t>986602</t>
  </si>
  <si>
    <t>989040</t>
  </si>
  <si>
    <t>986605</t>
  </si>
  <si>
    <t>980146</t>
  </si>
  <si>
    <t>986339</t>
  </si>
  <si>
    <t>986458</t>
  </si>
  <si>
    <t>966170</t>
  </si>
  <si>
    <t>993101</t>
  </si>
  <si>
    <t>983069</t>
  </si>
  <si>
    <t>986238</t>
  </si>
  <si>
    <t>982093</t>
  </si>
  <si>
    <t>988457</t>
  </si>
  <si>
    <t>993069</t>
  </si>
  <si>
    <t>988036</t>
  </si>
  <si>
    <t>995295</t>
  </si>
  <si>
    <t>980027</t>
  </si>
  <si>
    <t>988735</t>
  </si>
  <si>
    <t>988086</t>
  </si>
  <si>
    <t>996085</t>
  </si>
  <si>
    <t>971001</t>
  </si>
  <si>
    <t>975185</t>
  </si>
  <si>
    <t>986215</t>
  </si>
  <si>
    <t>988731</t>
  </si>
  <si>
    <t>995160</t>
  </si>
  <si>
    <t>985034</t>
  </si>
  <si>
    <t>993018</t>
  </si>
  <si>
    <t>989093</t>
  </si>
  <si>
    <t>975135</t>
  </si>
  <si>
    <t>954190</t>
  </si>
  <si>
    <t>988184</t>
  </si>
  <si>
    <t>976019</t>
  </si>
  <si>
    <t>986425</t>
  </si>
  <si>
    <t>983023</t>
  </si>
  <si>
    <t>986242</t>
  </si>
  <si>
    <t>986040</t>
  </si>
  <si>
    <t>987001</t>
  </si>
  <si>
    <t>992390</t>
  </si>
  <si>
    <t>988040</t>
  </si>
  <si>
    <t>992127</t>
  </si>
  <si>
    <t>992117</t>
  </si>
  <si>
    <t>992661</t>
  </si>
  <si>
    <t>991040</t>
  </si>
  <si>
    <t>967020</t>
  </si>
  <si>
    <t>971004</t>
  </si>
  <si>
    <t>988789</t>
  </si>
  <si>
    <t>988510</t>
  </si>
  <si>
    <t>980068</t>
  </si>
  <si>
    <t>989063</t>
  </si>
  <si>
    <t>982070</t>
  </si>
  <si>
    <t>966133</t>
  </si>
  <si>
    <t>954185</t>
  </si>
  <si>
    <t>989276</t>
  </si>
  <si>
    <t>966179</t>
  </si>
  <si>
    <t>993021</t>
  </si>
  <si>
    <t>976069</t>
  </si>
  <si>
    <t>986395</t>
  </si>
  <si>
    <t>983113</t>
  </si>
  <si>
    <t>986245</t>
  </si>
  <si>
    <t>994056</t>
  </si>
  <si>
    <t>993049</t>
  </si>
  <si>
    <t>988470</t>
  </si>
  <si>
    <t>995205</t>
  </si>
  <si>
    <t>955225</t>
  </si>
  <si>
    <t>989337</t>
  </si>
  <si>
    <t>986114</t>
  </si>
  <si>
    <t>991013</t>
  </si>
  <si>
    <t>993073</t>
  </si>
  <si>
    <t>971032</t>
  </si>
  <si>
    <t>989055</t>
  </si>
  <si>
    <t>992513</t>
  </si>
  <si>
    <t>981075</t>
  </si>
  <si>
    <t>992363</t>
  </si>
  <si>
    <t>986503</t>
  </si>
  <si>
    <t>992305</t>
  </si>
  <si>
    <t>991119</t>
  </si>
  <si>
    <t>989334</t>
  </si>
  <si>
    <t>986236</t>
  </si>
  <si>
    <t>966076</t>
  </si>
  <si>
    <t>994106</t>
  </si>
  <si>
    <t>986393</t>
  </si>
  <si>
    <t>998086</t>
  </si>
  <si>
    <t>986248</t>
  </si>
  <si>
    <t>991091</t>
  </si>
  <si>
    <t>984054</t>
  </si>
  <si>
    <t>988972</t>
  </si>
  <si>
    <t>998123</t>
  </si>
  <si>
    <t>972027</t>
  </si>
  <si>
    <t>988055</t>
  </si>
  <si>
    <t>986190</t>
  </si>
  <si>
    <t>954110</t>
  </si>
  <si>
    <t>995253</t>
  </si>
  <si>
    <t>971070</t>
  </si>
  <si>
    <t>992515</t>
  </si>
  <si>
    <t>995081</t>
  </si>
  <si>
    <t>981008</t>
  </si>
  <si>
    <t>995208</t>
  </si>
  <si>
    <t>986504</t>
  </si>
  <si>
    <t>940051</t>
  </si>
  <si>
    <t>954070</t>
  </si>
  <si>
    <t>976058</t>
  </si>
  <si>
    <t>992170</t>
  </si>
  <si>
    <t>988523</t>
  </si>
  <si>
    <t>989170</t>
  </si>
  <si>
    <t>986452</t>
  </si>
  <si>
    <t>983003</t>
  </si>
  <si>
    <t>986258</t>
  </si>
  <si>
    <t>986210</t>
  </si>
  <si>
    <t>994020</t>
  </si>
  <si>
    <t>995201</t>
  </si>
  <si>
    <t>983120</t>
  </si>
  <si>
    <t>991057</t>
  </si>
  <si>
    <t>992091</t>
  </si>
  <si>
    <t>960005</t>
  </si>
  <si>
    <t>995196</t>
  </si>
  <si>
    <t>988123</t>
  </si>
  <si>
    <t>971077</t>
  </si>
  <si>
    <t>988784</t>
  </si>
  <si>
    <t>996082</t>
  </si>
  <si>
    <t>981074</t>
  </si>
  <si>
    <t>975117</t>
  </si>
  <si>
    <t>966055</t>
  </si>
  <si>
    <t>982191</t>
  </si>
  <si>
    <t>989034</t>
  </si>
  <si>
    <t>984073</t>
  </si>
  <si>
    <t>988438</t>
  </si>
  <si>
    <t>983065</t>
  </si>
  <si>
    <t>971063</t>
  </si>
  <si>
    <t>986381</t>
  </si>
  <si>
    <t>983007</t>
  </si>
  <si>
    <t>986270</t>
  </si>
  <si>
    <t>996048</t>
  </si>
  <si>
    <t>985033</t>
  </si>
  <si>
    <t>988369</t>
  </si>
  <si>
    <t>994044</t>
  </si>
  <si>
    <t>960015</t>
  </si>
  <si>
    <t>992039</t>
  </si>
  <si>
    <t>966203</t>
  </si>
  <si>
    <t>954140</t>
  </si>
  <si>
    <t>988759</t>
  </si>
  <si>
    <t>971005</t>
  </si>
  <si>
    <t>986138</t>
  </si>
  <si>
    <t>996098</t>
  </si>
  <si>
    <t>981010</t>
  </si>
  <si>
    <t>988869</t>
  </si>
  <si>
    <t>994105</t>
  </si>
  <si>
    <t>986538</t>
  </si>
  <si>
    <t>992630</t>
  </si>
  <si>
    <t>978063</t>
  </si>
  <si>
    <t>992637</t>
  </si>
  <si>
    <t>986439</t>
  </si>
  <si>
    <t>958006</t>
  </si>
  <si>
    <t>986416</t>
  </si>
  <si>
    <t>983095</t>
  </si>
  <si>
    <t>986274</t>
  </si>
  <si>
    <t>988065</t>
  </si>
  <si>
    <t>983055</t>
  </si>
  <si>
    <t>998069</t>
  </si>
  <si>
    <t>992533</t>
  </si>
  <si>
    <t>998183</t>
  </si>
  <si>
    <t>981019</t>
  </si>
  <si>
    <t>995328</t>
  </si>
  <si>
    <t>992064</t>
  </si>
  <si>
    <t>988502</t>
  </si>
  <si>
    <t>971017</t>
  </si>
  <si>
    <t>972056</t>
  </si>
  <si>
    <t>991014</t>
  </si>
  <si>
    <t>986126</t>
  </si>
  <si>
    <t>996167</t>
  </si>
  <si>
    <t>954036</t>
  </si>
  <si>
    <t>982188</t>
  </si>
  <si>
    <t>992733</t>
  </si>
  <si>
    <t>976013</t>
  </si>
  <si>
    <t>986324</t>
  </si>
  <si>
    <t>954007</t>
  </si>
  <si>
    <t>994098</t>
  </si>
  <si>
    <t>988430</t>
  </si>
  <si>
    <t>983001</t>
  </si>
  <si>
    <t>986477</t>
  </si>
  <si>
    <t>988069</t>
  </si>
  <si>
    <t>981016</t>
  </si>
  <si>
    <t>988416</t>
  </si>
  <si>
    <t>980124</t>
  </si>
  <si>
    <t>988444</t>
  </si>
  <si>
    <t>986066</t>
  </si>
  <si>
    <t>998062</t>
  </si>
  <si>
    <t>940076</t>
  </si>
  <si>
    <t>992423</t>
  </si>
  <si>
    <t>971020</t>
  </si>
  <si>
    <t>965006</t>
  </si>
  <si>
    <t>994017</t>
  </si>
  <si>
    <t>996001</t>
  </si>
  <si>
    <t>988977</t>
  </si>
  <si>
    <t>954037</t>
  </si>
  <si>
    <t>996195</t>
  </si>
  <si>
    <t>989205</t>
  </si>
  <si>
    <t>991159</t>
  </si>
  <si>
    <t>988338</t>
  </si>
  <si>
    <t>988170</t>
  </si>
  <si>
    <t>992599</t>
  </si>
  <si>
    <t>988433</t>
  </si>
  <si>
    <t>983002</t>
  </si>
  <si>
    <t>986478</t>
  </si>
  <si>
    <t>988418</t>
  </si>
  <si>
    <t>981027</t>
  </si>
  <si>
    <t>989111</t>
  </si>
  <si>
    <t>989094</t>
  </si>
  <si>
    <t>986136</t>
  </si>
  <si>
    <t>980046</t>
  </si>
  <si>
    <t>992486</t>
  </si>
  <si>
    <t>995097</t>
  </si>
  <si>
    <t>988136</t>
  </si>
  <si>
    <t>971007</t>
  </si>
  <si>
    <t>992122</t>
  </si>
  <si>
    <t>967022</t>
  </si>
  <si>
    <t>996140</t>
  </si>
  <si>
    <t>972063</t>
  </si>
  <si>
    <t>993136</t>
  </si>
  <si>
    <t>989043</t>
  </si>
  <si>
    <t>988897</t>
  </si>
  <si>
    <t>989339</t>
  </si>
  <si>
    <t>988876</t>
  </si>
  <si>
    <t>986455</t>
  </si>
  <si>
    <t>966060</t>
  </si>
  <si>
    <t>988435</t>
  </si>
  <si>
    <t>983004</t>
  </si>
  <si>
    <t>986580</t>
  </si>
  <si>
    <t>995217</t>
  </si>
  <si>
    <t>994001</t>
  </si>
  <si>
    <t>993137</t>
  </si>
  <si>
    <t>995163</t>
  </si>
  <si>
    <t>998153</t>
  </si>
  <si>
    <t>996065</t>
  </si>
  <si>
    <t>995200</t>
  </si>
  <si>
    <t>996033</t>
  </si>
  <si>
    <t>995150</t>
  </si>
  <si>
    <t>971061</t>
  </si>
  <si>
    <t>985082</t>
  </si>
  <si>
    <t>992384</t>
  </si>
  <si>
    <t>980001</t>
  </si>
  <si>
    <t>972046</t>
  </si>
  <si>
    <t>992275</t>
  </si>
  <si>
    <t>972058</t>
  </si>
  <si>
    <t>994022</t>
  </si>
  <si>
    <t>989020</t>
  </si>
  <si>
    <t>992098</t>
  </si>
  <si>
    <t>996110</t>
  </si>
  <si>
    <t>992687</t>
  </si>
  <si>
    <t>975043</t>
  </si>
  <si>
    <t>983005</t>
  </si>
  <si>
    <t>986597</t>
  </si>
  <si>
    <t>982095</t>
  </si>
  <si>
    <t>988096</t>
  </si>
  <si>
    <t>995171</t>
  </si>
  <si>
    <t>976083</t>
  </si>
  <si>
    <t>955179</t>
  </si>
  <si>
    <t>995242</t>
  </si>
  <si>
    <t>956034</t>
  </si>
  <si>
    <t>960017</t>
  </si>
  <si>
    <t>986017</t>
  </si>
  <si>
    <t>971069</t>
  </si>
  <si>
    <t>954098</t>
  </si>
  <si>
    <t>992387</t>
  </si>
  <si>
    <t>996020</t>
  </si>
  <si>
    <t>955125</t>
  </si>
  <si>
    <t>992734</t>
  </si>
  <si>
    <t>979009</t>
  </si>
  <si>
    <t>991178</t>
  </si>
  <si>
    <t>992265</t>
  </si>
  <si>
    <t>988349</t>
  </si>
  <si>
    <t>988151</t>
  </si>
  <si>
    <t>989217</t>
  </si>
  <si>
    <t>988559</t>
  </si>
  <si>
    <t>983006</t>
  </si>
  <si>
    <t>940010</t>
  </si>
  <si>
    <t>988766</t>
  </si>
  <si>
    <t>988397</t>
  </si>
  <si>
    <t>975050</t>
  </si>
  <si>
    <t>998046</t>
  </si>
  <si>
    <t>988488</t>
  </si>
  <si>
    <t>988404</t>
  </si>
  <si>
    <t>991075</t>
  </si>
  <si>
    <t>988100</t>
  </si>
  <si>
    <t>995250</t>
  </si>
  <si>
    <t>971076</t>
  </si>
  <si>
    <t>980161</t>
  </si>
  <si>
    <t>992388</t>
  </si>
  <si>
    <t>954224</t>
  </si>
  <si>
    <t>988979</t>
  </si>
  <si>
    <t>966011</t>
  </si>
  <si>
    <t>996265</t>
  </si>
  <si>
    <t>982067</t>
  </si>
  <si>
    <t>992713</t>
  </si>
  <si>
    <t>988709</t>
  </si>
  <si>
    <t>998090</t>
  </si>
  <si>
    <t>966100</t>
  </si>
  <si>
    <t>986406</t>
  </si>
  <si>
    <t>983022</t>
  </si>
  <si>
    <t>940012</t>
  </si>
  <si>
    <t>992701</t>
  </si>
  <si>
    <t>995056</t>
  </si>
  <si>
    <t>989211</t>
  </si>
  <si>
    <t>972071</t>
  </si>
  <si>
    <t>975059</t>
  </si>
  <si>
    <t>986287</t>
  </si>
  <si>
    <t>988363</t>
  </si>
  <si>
    <t>965008</t>
  </si>
  <si>
    <t>996080</t>
  </si>
  <si>
    <t>971087</t>
  </si>
  <si>
    <t>976103</t>
  </si>
  <si>
    <t>975021</t>
  </si>
  <si>
    <t>954225</t>
  </si>
  <si>
    <t>955197</t>
  </si>
  <si>
    <t>988436</t>
  </si>
  <si>
    <t>988792</t>
  </si>
  <si>
    <t>988258</t>
  </si>
  <si>
    <t>980182</t>
  </si>
  <si>
    <t>978011</t>
  </si>
  <si>
    <t>980024</t>
  </si>
  <si>
    <t>995079</t>
  </si>
  <si>
    <t>988578</t>
  </si>
  <si>
    <t>983084</t>
  </si>
  <si>
    <t>940016</t>
  </si>
  <si>
    <t>954092</t>
  </si>
  <si>
    <t>998114</t>
  </si>
  <si>
    <t>995157</t>
  </si>
  <si>
    <t>995080</t>
  </si>
  <si>
    <t>989139</t>
  </si>
  <si>
    <t>982135</t>
  </si>
  <si>
    <t>992700</t>
  </si>
  <si>
    <t>992065</t>
  </si>
  <si>
    <t>986267</t>
  </si>
  <si>
    <t>971093</t>
  </si>
  <si>
    <t>976107</t>
  </si>
  <si>
    <t>954065</t>
  </si>
  <si>
    <t>988007</t>
  </si>
  <si>
    <t>955033</t>
  </si>
  <si>
    <t>940044</t>
  </si>
  <si>
    <t>988793</t>
  </si>
  <si>
    <t>986360</t>
  </si>
  <si>
    <t>988594</t>
  </si>
  <si>
    <t>988672</t>
  </si>
  <si>
    <t>991097</t>
  </si>
  <si>
    <t>994086</t>
  </si>
  <si>
    <t>988569</t>
  </si>
  <si>
    <t>983040</t>
  </si>
  <si>
    <t>940035</t>
  </si>
  <si>
    <t>988073</t>
  </si>
  <si>
    <t>986183</t>
  </si>
  <si>
    <t>998182</t>
  </si>
  <si>
    <t>986186</t>
  </si>
  <si>
    <t>988080</t>
  </si>
  <si>
    <t>996139</t>
  </si>
  <si>
    <t>986261</t>
  </si>
  <si>
    <t>993067</t>
  </si>
  <si>
    <t>989086</t>
  </si>
  <si>
    <t>971075</t>
  </si>
  <si>
    <t>953024</t>
  </si>
  <si>
    <t>998197</t>
  </si>
  <si>
    <t>988029</t>
  </si>
  <si>
    <t>955001</t>
  </si>
  <si>
    <t>988696</t>
  </si>
  <si>
    <t>955048</t>
  </si>
  <si>
    <t>967016</t>
  </si>
  <si>
    <t>986321</t>
  </si>
  <si>
    <t>988296</t>
  </si>
  <si>
    <t>984050</t>
  </si>
  <si>
    <t>991073</t>
  </si>
  <si>
    <t>980164</t>
  </si>
  <si>
    <t>983042</t>
  </si>
  <si>
    <t>940063</t>
  </si>
  <si>
    <t>988371</t>
  </si>
  <si>
    <t>986026</t>
  </si>
  <si>
    <t>998025</t>
  </si>
  <si>
    <t>982261</t>
  </si>
  <si>
    <t>998204</t>
  </si>
  <si>
    <t>984042</t>
  </si>
  <si>
    <t>986151</t>
  </si>
  <si>
    <t>995122</t>
  </si>
  <si>
    <t>992208</t>
  </si>
  <si>
    <t>971036</t>
  </si>
  <si>
    <t>940121</t>
  </si>
  <si>
    <t>982111</t>
  </si>
  <si>
    <t>992254</t>
  </si>
  <si>
    <t>976053</t>
  </si>
  <si>
    <t>988791</t>
  </si>
  <si>
    <t>993133</t>
  </si>
  <si>
    <t>954128</t>
  </si>
  <si>
    <t>989033</t>
  </si>
  <si>
    <t>988828</t>
  </si>
  <si>
    <t>996152</t>
  </si>
  <si>
    <t>991051</t>
  </si>
  <si>
    <t>988586</t>
  </si>
  <si>
    <t>983088</t>
  </si>
  <si>
    <t>940068</t>
  </si>
  <si>
    <t>992556</t>
  </si>
  <si>
    <t>993129</t>
  </si>
  <si>
    <t>960006</t>
  </si>
  <si>
    <t>985051</t>
  </si>
  <si>
    <t>988479</t>
  </si>
  <si>
    <t>995179</t>
  </si>
  <si>
    <t>988772</t>
  </si>
  <si>
    <t>996178</t>
  </si>
  <si>
    <t>988528</t>
  </si>
  <si>
    <t>971079</t>
  </si>
  <si>
    <t>989128</t>
  </si>
  <si>
    <t>992250</t>
  </si>
  <si>
    <t>958018</t>
  </si>
  <si>
    <t>991102</t>
  </si>
  <si>
    <t>979027</t>
  </si>
  <si>
    <t>992339</t>
  </si>
  <si>
    <t>966088</t>
  </si>
  <si>
    <t>992289</t>
  </si>
  <si>
    <t>981026</t>
  </si>
  <si>
    <t>954272</t>
  </si>
  <si>
    <t>940070</t>
  </si>
  <si>
    <t>983070</t>
  </si>
  <si>
    <t>940092</t>
  </si>
  <si>
    <t>992614</t>
  </si>
  <si>
    <t>972033</t>
  </si>
  <si>
    <t>960007</t>
  </si>
  <si>
    <t>991114</t>
  </si>
  <si>
    <t>986214</t>
  </si>
  <si>
    <t>995176</t>
  </si>
  <si>
    <t>992011</t>
  </si>
  <si>
    <t>954079</t>
  </si>
  <si>
    <t>995237</t>
  </si>
  <si>
    <t>971006</t>
  </si>
  <si>
    <t>985071</t>
  </si>
  <si>
    <t>988005</t>
  </si>
  <si>
    <t>955198</t>
  </si>
  <si>
    <t>954099</t>
  </si>
  <si>
    <t>980042</t>
  </si>
  <si>
    <t>989288</t>
  </si>
  <si>
    <t>980096</t>
  </si>
  <si>
    <t>982085</t>
  </si>
  <si>
    <t>989194</t>
  </si>
  <si>
    <t>992277</t>
  </si>
  <si>
    <t>986421</t>
  </si>
  <si>
    <t>983098</t>
  </si>
  <si>
    <t>988002</t>
  </si>
  <si>
    <t>996191</t>
  </si>
  <si>
    <t>975191</t>
  </si>
  <si>
    <t>992068</t>
  </si>
  <si>
    <t>992520</t>
  </si>
  <si>
    <t>992242</t>
  </si>
  <si>
    <t>954066</t>
  </si>
  <si>
    <t>992230</t>
  </si>
  <si>
    <t>986111</t>
  </si>
  <si>
    <t>992440</t>
  </si>
  <si>
    <t>971026</t>
  </si>
  <si>
    <t>991007</t>
  </si>
  <si>
    <t>980051</t>
  </si>
  <si>
    <t>996038</t>
  </si>
  <si>
    <t>960041</t>
  </si>
  <si>
    <t>989329</t>
  </si>
  <si>
    <t>989330</t>
  </si>
  <si>
    <t>988316</t>
  </si>
  <si>
    <t>988339</t>
  </si>
  <si>
    <t>979031</t>
  </si>
  <si>
    <t>982022</t>
  </si>
  <si>
    <t>956005</t>
  </si>
  <si>
    <t>998129</t>
  </si>
  <si>
    <t>988004</t>
  </si>
  <si>
    <t>988056</t>
  </si>
  <si>
    <t>962003</t>
  </si>
  <si>
    <t>993006</t>
  </si>
  <si>
    <t>991116</t>
  </si>
  <si>
    <t>966046</t>
  </si>
  <si>
    <t>992229</t>
  </si>
  <si>
    <t>992429</t>
  </si>
  <si>
    <t>985028</t>
  </si>
  <si>
    <t>986156</t>
  </si>
  <si>
    <t>971078</t>
  </si>
  <si>
    <t>998078</t>
  </si>
  <si>
    <t>980092</t>
  </si>
  <si>
    <t>976056</t>
  </si>
  <si>
    <t>975068</t>
  </si>
  <si>
    <t>980018</t>
  </si>
  <si>
    <t>976021</t>
  </si>
  <si>
    <t>992292</t>
  </si>
  <si>
    <t>988322</t>
  </si>
  <si>
    <t>982155</t>
  </si>
  <si>
    <t>954151</t>
  </si>
  <si>
    <t>998079</t>
  </si>
  <si>
    <t>998038</t>
  </si>
  <si>
    <t>988009</t>
  </si>
  <si>
    <t>994005</t>
  </si>
  <si>
    <t>940002</t>
  </si>
  <si>
    <t>988508</t>
  </si>
  <si>
    <t>984092</t>
  </si>
  <si>
    <t>982234</t>
  </si>
  <si>
    <t>968011</t>
  </si>
  <si>
    <t>986157</t>
  </si>
  <si>
    <t>989053</t>
  </si>
  <si>
    <t>966159</t>
  </si>
  <si>
    <t>971085</t>
  </si>
  <si>
    <t>992449</t>
  </si>
  <si>
    <t>980141</t>
  </si>
  <si>
    <t>996394</t>
  </si>
  <si>
    <t>989249</t>
  </si>
  <si>
    <t>992523</t>
  </si>
  <si>
    <t>992318</t>
  </si>
  <si>
    <t>992214</t>
  </si>
  <si>
    <t>988700</t>
  </si>
  <si>
    <t>986441</t>
  </si>
  <si>
    <t>966043</t>
  </si>
  <si>
    <t>986382</t>
  </si>
  <si>
    <t>983081</t>
  </si>
  <si>
    <t>988011</t>
  </si>
  <si>
    <t>994007</t>
  </si>
  <si>
    <t>992401</t>
  </si>
  <si>
    <t>975016</t>
  </si>
  <si>
    <t>975138</t>
  </si>
  <si>
    <t>992473</t>
  </si>
  <si>
    <t>940009</t>
  </si>
  <si>
    <t>992348</t>
  </si>
  <si>
    <t>996173</t>
  </si>
  <si>
    <t>986172</t>
  </si>
  <si>
    <t>971068</t>
  </si>
  <si>
    <t>986208</t>
  </si>
  <si>
    <t>996011</t>
  </si>
  <si>
    <t>982252</t>
  </si>
  <si>
    <t>980021</t>
  </si>
  <si>
    <t>988390</t>
  </si>
  <si>
    <t>940067</t>
  </si>
  <si>
    <t>980149</t>
  </si>
  <si>
    <t>988701</t>
  </si>
  <si>
    <t>986442</t>
  </si>
  <si>
    <t>989321</t>
  </si>
  <si>
    <t>988219</t>
  </si>
  <si>
    <t>983082</t>
  </si>
  <si>
    <t>988013</t>
  </si>
  <si>
    <t>994023</t>
  </si>
  <si>
    <t>995284</t>
  </si>
  <si>
    <t>995154</t>
  </si>
  <si>
    <t>992174</t>
  </si>
  <si>
    <t>998026</t>
  </si>
  <si>
    <t>992075</t>
  </si>
  <si>
    <t>986158</t>
  </si>
  <si>
    <t>954159</t>
  </si>
  <si>
    <t>993090</t>
  </si>
  <si>
    <t>971059</t>
  </si>
  <si>
    <t>995148</t>
  </si>
  <si>
    <t>988042</t>
  </si>
  <si>
    <t>988357</t>
  </si>
  <si>
    <t>988531</t>
  </si>
  <si>
    <t>990014</t>
  </si>
  <si>
    <t>989225</t>
  </si>
  <si>
    <t>980009</t>
  </si>
  <si>
    <t>988703</t>
  </si>
  <si>
    <t>988168</t>
  </si>
  <si>
    <t>991036</t>
  </si>
  <si>
    <t>988238</t>
  </si>
  <si>
    <t>983083</t>
  </si>
  <si>
    <t>988020</t>
  </si>
  <si>
    <t>986134</t>
  </si>
  <si>
    <t>955111</t>
  </si>
  <si>
    <t>940086</t>
  </si>
  <si>
    <t>969009</t>
  </si>
  <si>
    <t>992110</t>
  </si>
  <si>
    <t>991155</t>
  </si>
  <si>
    <t>986167</t>
  </si>
  <si>
    <t>995044</t>
  </si>
  <si>
    <t>983093</t>
  </si>
  <si>
    <t>971013</t>
  </si>
  <si>
    <t>954211</t>
  </si>
  <si>
    <t>988738</t>
  </si>
  <si>
    <t>988468</t>
  </si>
  <si>
    <t>975087</t>
  </si>
  <si>
    <t>992332</t>
  </si>
  <si>
    <t>992347</t>
  </si>
  <si>
    <t>993058</t>
  </si>
  <si>
    <t>988702</t>
  </si>
  <si>
    <t>988148</t>
  </si>
  <si>
    <t>966030</t>
  </si>
  <si>
    <t>988558</t>
  </si>
  <si>
    <t>983089</t>
  </si>
  <si>
    <t>988024</t>
  </si>
  <si>
    <t>988654</t>
  </si>
  <si>
    <t>994002</t>
  </si>
  <si>
    <t>960053</t>
  </si>
  <si>
    <t>978056</t>
  </si>
  <si>
    <t>980072</t>
  </si>
  <si>
    <t>986593</t>
  </si>
  <si>
    <t>992623</t>
  </si>
  <si>
    <t>954265</t>
  </si>
  <si>
    <t>992808</t>
  </si>
  <si>
    <t>971027</t>
  </si>
  <si>
    <t>996088</t>
  </si>
  <si>
    <t>996005</t>
  </si>
  <si>
    <t>988084</t>
  </si>
  <si>
    <t>996171</t>
  </si>
  <si>
    <t>992364</t>
  </si>
  <si>
    <t>988615</t>
  </si>
  <si>
    <t>988321</t>
  </si>
  <si>
    <t>992343</t>
  </si>
  <si>
    <t>986437</t>
  </si>
  <si>
    <t>971043</t>
  </si>
  <si>
    <t>977003</t>
  </si>
  <si>
    <t>983122</t>
  </si>
  <si>
    <t>988026</t>
  </si>
  <si>
    <t>989013</t>
  </si>
  <si>
    <t>977049</t>
  </si>
  <si>
    <t>991005</t>
  </si>
  <si>
    <t>967044</t>
  </si>
  <si>
    <t>954256</t>
  </si>
  <si>
    <t>975091</t>
  </si>
  <si>
    <t>986589</t>
  </si>
  <si>
    <t>940095</t>
  </si>
  <si>
    <t>995316</t>
  </si>
  <si>
    <t>971022</t>
  </si>
  <si>
    <t>996153</t>
  </si>
  <si>
    <t>980020</t>
  </si>
  <si>
    <t>983058</t>
  </si>
  <si>
    <t>980133</t>
  </si>
  <si>
    <t>954046</t>
  </si>
  <si>
    <t>986301</t>
  </si>
  <si>
    <t>984038</t>
  </si>
  <si>
    <t>992529</t>
  </si>
  <si>
    <t>992070</t>
  </si>
  <si>
    <t>975181</t>
  </si>
  <si>
    <t>983071</t>
  </si>
  <si>
    <t>988027</t>
  </si>
  <si>
    <t>995190</t>
  </si>
  <si>
    <t>958001</t>
  </si>
  <si>
    <t>993052</t>
  </si>
  <si>
    <t>995203</t>
  </si>
  <si>
    <t>986288</t>
  </si>
  <si>
    <t>980061</t>
  </si>
  <si>
    <t>986171</t>
  </si>
  <si>
    <t>967013</t>
  </si>
  <si>
    <t>988113</t>
  </si>
  <si>
    <t>971010</t>
  </si>
  <si>
    <t>996165</t>
  </si>
  <si>
    <t>996009</t>
  </si>
  <si>
    <t>996037</t>
  </si>
  <si>
    <t>988165</t>
  </si>
  <si>
    <t>989052</t>
  </si>
  <si>
    <t>995050</t>
  </si>
  <si>
    <t>993046</t>
  </si>
  <si>
    <t>975127</t>
  </si>
  <si>
    <t>986472</t>
  </si>
  <si>
    <t>989156</t>
  </si>
  <si>
    <t>993043</t>
  </si>
  <si>
    <t>983085</t>
  </si>
  <si>
    <t>988030</t>
  </si>
  <si>
    <t>992333</t>
  </si>
  <si>
    <t>968005</t>
  </si>
  <si>
    <t>988360</t>
  </si>
  <si>
    <t>966123</t>
  </si>
  <si>
    <t>966111</t>
  </si>
  <si>
    <t>983108</t>
  </si>
  <si>
    <t>940057</t>
  </si>
  <si>
    <t>988913</t>
  </si>
  <si>
    <t>988978</t>
  </si>
  <si>
    <t>971014</t>
  </si>
  <si>
    <t>986243</t>
  </si>
  <si>
    <t>996286</t>
  </si>
  <si>
    <t>996060</t>
  </si>
  <si>
    <t>992504</t>
  </si>
  <si>
    <t>992776</t>
  </si>
  <si>
    <t>993011</t>
  </si>
  <si>
    <t>986329</t>
  </si>
  <si>
    <t>988641</t>
  </si>
  <si>
    <t>996305</t>
  </si>
  <si>
    <t>995144</t>
  </si>
  <si>
    <t>975032</t>
  </si>
  <si>
    <t>983072</t>
  </si>
  <si>
    <t>988031</t>
  </si>
  <si>
    <t>996062</t>
  </si>
  <si>
    <t>992604</t>
  </si>
  <si>
    <t>988467</t>
  </si>
  <si>
    <t>991100</t>
  </si>
  <si>
    <t>988484</t>
  </si>
  <si>
    <t>984080</t>
  </si>
  <si>
    <t>992123</t>
  </si>
  <si>
    <t>954067</t>
  </si>
  <si>
    <t>980148</t>
  </si>
  <si>
    <t>971016</t>
  </si>
  <si>
    <t>992633</t>
  </si>
  <si>
    <t>995202</t>
  </si>
  <si>
    <t>980073</t>
  </si>
  <si>
    <t>996199</t>
  </si>
  <si>
    <t>954025</t>
  </si>
  <si>
    <t>986356</t>
  </si>
  <si>
    <t>980067</t>
  </si>
  <si>
    <t>980058</t>
  </si>
  <si>
    <t>986034</t>
  </si>
  <si>
    <t>992478</t>
  </si>
  <si>
    <t>956006</t>
  </si>
  <si>
    <t>983121</t>
  </si>
  <si>
    <t>988034</t>
  </si>
  <si>
    <t>988608</t>
  </si>
  <si>
    <t>977005</t>
  </si>
  <si>
    <t>992029</t>
  </si>
  <si>
    <t>996377</t>
  </si>
  <si>
    <t>988489</t>
  </si>
  <si>
    <t>990056</t>
  </si>
  <si>
    <t>996090</t>
  </si>
  <si>
    <t>988087</t>
  </si>
  <si>
    <t>986295</t>
  </si>
  <si>
    <t>971030</t>
  </si>
  <si>
    <t>991104</t>
  </si>
  <si>
    <t>960023</t>
  </si>
  <si>
    <t>962007</t>
  </si>
  <si>
    <t>967021</t>
  </si>
  <si>
    <t>989245</t>
  </si>
  <si>
    <t>991175</t>
  </si>
  <si>
    <t>982083</t>
  </si>
  <si>
    <t>980062</t>
  </si>
  <si>
    <t>989007</t>
  </si>
  <si>
    <t>994108</t>
  </si>
  <si>
    <t>986098</t>
  </si>
  <si>
    <t>983123</t>
  </si>
  <si>
    <t>988038</t>
  </si>
  <si>
    <t>980139</t>
  </si>
  <si>
    <t>980163</t>
  </si>
  <si>
    <t>992136</t>
  </si>
  <si>
    <t>940047</t>
  </si>
  <si>
    <t>959016</t>
  </si>
  <si>
    <t>992756</t>
  </si>
  <si>
    <t>986152</t>
  </si>
  <si>
    <t>986137</t>
  </si>
  <si>
    <t>980187</t>
  </si>
  <si>
    <t>971031</t>
  </si>
  <si>
    <t>992618</t>
  </si>
  <si>
    <t>995049</t>
  </si>
  <si>
    <t>980192</t>
  </si>
  <si>
    <t>988530</t>
  </si>
  <si>
    <t>995104</t>
  </si>
  <si>
    <t>996275</t>
  </si>
  <si>
    <t>986480</t>
  </si>
  <si>
    <t>980095</t>
  </si>
  <si>
    <t>989188</t>
  </si>
  <si>
    <t>994049</t>
  </si>
  <si>
    <t>980013</t>
  </si>
  <si>
    <t>983038</t>
  </si>
  <si>
    <t>988048</t>
  </si>
  <si>
    <t>989133</t>
  </si>
  <si>
    <t>978043</t>
  </si>
  <si>
    <t>996405</t>
  </si>
  <si>
    <t>988050</t>
  </si>
  <si>
    <t>959024</t>
  </si>
  <si>
    <t>995141</t>
  </si>
  <si>
    <t>995019</t>
  </si>
  <si>
    <t>992243</t>
  </si>
  <si>
    <t>979036</t>
  </si>
  <si>
    <t>971033</t>
  </si>
  <si>
    <t>986234</t>
  </si>
  <si>
    <t>983056</t>
  </si>
  <si>
    <t>966152</t>
  </si>
  <si>
    <t>992795</t>
  </si>
  <si>
    <t>988790</t>
  </si>
  <si>
    <t>954127</t>
  </si>
  <si>
    <t>980081</t>
  </si>
  <si>
    <t>986335</t>
  </si>
  <si>
    <t>995003</t>
  </si>
  <si>
    <t>994053</t>
  </si>
  <si>
    <t>975014</t>
  </si>
  <si>
    <t>998067</t>
  </si>
  <si>
    <t>988051</t>
  </si>
  <si>
    <t>989135</t>
  </si>
  <si>
    <t>995302</t>
  </si>
  <si>
    <t>988718</t>
  </si>
  <si>
    <t>966213</t>
  </si>
  <si>
    <t>972083</t>
  </si>
  <si>
    <t>995288</t>
  </si>
  <si>
    <t>996076</t>
  </si>
  <si>
    <t>988393</t>
  </si>
  <si>
    <t>992112</t>
  </si>
  <si>
    <t>971053</t>
  </si>
  <si>
    <t>986032</t>
  </si>
  <si>
    <t>987012</t>
  </si>
  <si>
    <t>988068</t>
  </si>
  <si>
    <t>995260</t>
  </si>
  <si>
    <t>996159</t>
  </si>
  <si>
    <t>988276</t>
  </si>
  <si>
    <t>976042</t>
  </si>
  <si>
    <t>986056</t>
  </si>
  <si>
    <t>988140</t>
  </si>
  <si>
    <t>994057</t>
  </si>
  <si>
    <t>984020</t>
  </si>
  <si>
    <t>998103</t>
  </si>
  <si>
    <t>988054</t>
  </si>
  <si>
    <t>989141</t>
  </si>
  <si>
    <t>981013</t>
  </si>
  <si>
    <t>992405</t>
  </si>
  <si>
    <t>998048</t>
  </si>
  <si>
    <t>966217</t>
  </si>
  <si>
    <t>998037</t>
  </si>
  <si>
    <t>996184</t>
  </si>
  <si>
    <t>989042</t>
  </si>
  <si>
    <t>940096</t>
  </si>
  <si>
    <t>971015</t>
  </si>
  <si>
    <t>986225</t>
  </si>
  <si>
    <t>991049</t>
  </si>
  <si>
    <t>980034</t>
  </si>
  <si>
    <t>980036</t>
  </si>
  <si>
    <t>989051</t>
  </si>
  <si>
    <t>992261</t>
  </si>
  <si>
    <t>940014</t>
  </si>
  <si>
    <t>966116</t>
  </si>
  <si>
    <t>998147</t>
  </si>
  <si>
    <t>994062</t>
  </si>
  <si>
    <t>988545</t>
  </si>
  <si>
    <t>983026</t>
  </si>
  <si>
    <t>988352</t>
  </si>
  <si>
    <t>988755</t>
  </si>
  <si>
    <t>981041</t>
  </si>
  <si>
    <t>966023</t>
  </si>
  <si>
    <t>992310</t>
  </si>
  <si>
    <t>977053</t>
  </si>
  <si>
    <t>986022</t>
  </si>
  <si>
    <t>996185</t>
  </si>
  <si>
    <t>992493</t>
  </si>
  <si>
    <t>995162</t>
  </si>
  <si>
    <t>971018</t>
  </si>
  <si>
    <t>992080</t>
  </si>
  <si>
    <t>996012</t>
  </si>
  <si>
    <t>996213</t>
  </si>
  <si>
    <t>980006</t>
  </si>
  <si>
    <t>986490</t>
  </si>
  <si>
    <t>991024</t>
  </si>
  <si>
    <t>989327</t>
  </si>
  <si>
    <t>988307</t>
  </si>
  <si>
    <t>989165</t>
  </si>
  <si>
    <t>994070</t>
  </si>
  <si>
    <t>988225</t>
  </si>
  <si>
    <t>998152</t>
  </si>
  <si>
    <t>988373</t>
  </si>
  <si>
    <t>975058</t>
  </si>
  <si>
    <t>981052</t>
  </si>
  <si>
    <t>954093</t>
  </si>
  <si>
    <t>988039</t>
  </si>
  <si>
    <t>988970</t>
  </si>
  <si>
    <t>954071</t>
  </si>
  <si>
    <t>966211</t>
  </si>
  <si>
    <t>994109</t>
  </si>
  <si>
    <t>971095</t>
  </si>
  <si>
    <t>979022</t>
  </si>
  <si>
    <t>967012</t>
  </si>
  <si>
    <t>992605</t>
  </si>
  <si>
    <t>993019</t>
  </si>
  <si>
    <t>989241</t>
  </si>
  <si>
    <t>992607</t>
  </si>
  <si>
    <t>976045</t>
  </si>
  <si>
    <t>988332</t>
  </si>
  <si>
    <t>986456</t>
  </si>
  <si>
    <t>994074</t>
  </si>
  <si>
    <t>988565</t>
  </si>
  <si>
    <t>983028</t>
  </si>
  <si>
    <t>988375</t>
  </si>
  <si>
    <t>954057</t>
  </si>
  <si>
    <t>977033</t>
  </si>
  <si>
    <t>989019</t>
  </si>
  <si>
    <t>992507</t>
  </si>
  <si>
    <t>998150</t>
  </si>
  <si>
    <t>983097</t>
  </si>
  <si>
    <t>988091</t>
  </si>
  <si>
    <t>975062</t>
  </si>
  <si>
    <t>971092</t>
  </si>
  <si>
    <t>991167</t>
  </si>
  <si>
    <t>960009</t>
  </si>
  <si>
    <t>988070</t>
  </si>
  <si>
    <t>988923</t>
  </si>
  <si>
    <t>975125</t>
  </si>
  <si>
    <t>992642</t>
  </si>
  <si>
    <t>991153</t>
  </si>
  <si>
    <t>988313</t>
  </si>
  <si>
    <t>984103</t>
  </si>
  <si>
    <t>994077</t>
  </si>
  <si>
    <t>988566</t>
  </si>
  <si>
    <t>983025</t>
  </si>
  <si>
    <t>988376</t>
  </si>
  <si>
    <t>992352</t>
  </si>
  <si>
    <t>977035</t>
  </si>
  <si>
    <t>996089</t>
  </si>
  <si>
    <t>954041</t>
  </si>
  <si>
    <t>976033</t>
  </si>
  <si>
    <t>988414</t>
  </si>
  <si>
    <t>989027</t>
  </si>
  <si>
    <t>980138</t>
  </si>
  <si>
    <t>971034</t>
  </si>
  <si>
    <t>995317</t>
  </si>
  <si>
    <t>988745</t>
  </si>
  <si>
    <t>954176</t>
  </si>
  <si>
    <t>980119</t>
  </si>
  <si>
    <t>986496</t>
  </si>
  <si>
    <t>992737</t>
  </si>
  <si>
    <t>958017</t>
  </si>
  <si>
    <t>988328</t>
  </si>
  <si>
    <t>985058</t>
  </si>
  <si>
    <t>994079</t>
  </si>
  <si>
    <t>988567</t>
  </si>
  <si>
    <t>998059</t>
  </si>
  <si>
    <t>988378</t>
  </si>
  <si>
    <t>988364</t>
  </si>
  <si>
    <t>984035</t>
  </si>
  <si>
    <t>996100</t>
  </si>
  <si>
    <t>989343</t>
  </si>
  <si>
    <t>976047</t>
  </si>
  <si>
    <t>995173</t>
  </si>
  <si>
    <t>954052</t>
  </si>
  <si>
    <t>986603</t>
  </si>
  <si>
    <t>971035</t>
  </si>
  <si>
    <t>991170</t>
  </si>
  <si>
    <t>988395</t>
  </si>
  <si>
    <t>996071</t>
  </si>
  <si>
    <t>966007</t>
  </si>
  <si>
    <t>986498</t>
  </si>
  <si>
    <t>992494</t>
  </si>
  <si>
    <t>988954</t>
  </si>
  <si>
    <t>988329</t>
  </si>
  <si>
    <t>940005</t>
  </si>
  <si>
    <t>994083</t>
  </si>
  <si>
    <t>988568</t>
  </si>
  <si>
    <t>983036</t>
  </si>
  <si>
    <t>988379</t>
  </si>
  <si>
    <t>972045</t>
  </si>
  <si>
    <t>995132</t>
  </si>
  <si>
    <t>996105</t>
  </si>
  <si>
    <t>981047</t>
  </si>
  <si>
    <t>995273</t>
  </si>
  <si>
    <t>996095</t>
  </si>
  <si>
    <t>992695</t>
  </si>
  <si>
    <t>992141</t>
  </si>
  <si>
    <t>971003</t>
  </si>
  <si>
    <t>960011</t>
  </si>
  <si>
    <t>954060</t>
  </si>
  <si>
    <t>992049</t>
  </si>
  <si>
    <t>988146</t>
  </si>
  <si>
    <t>966033</t>
  </si>
  <si>
    <t>966032</t>
  </si>
  <si>
    <t>986326</t>
  </si>
  <si>
    <t>988336</t>
  </si>
  <si>
    <t>940059</t>
  </si>
  <si>
    <t>994087</t>
  </si>
  <si>
    <t>996306</t>
  </si>
  <si>
    <t>998128</t>
  </si>
  <si>
    <t>988382</t>
  </si>
  <si>
    <t>972012</t>
  </si>
  <si>
    <t>994026</t>
  </si>
  <si>
    <t>986479</t>
  </si>
  <si>
    <t>992222</t>
  </si>
  <si>
    <t>995286</t>
  </si>
  <si>
    <t>988422</t>
  </si>
  <si>
    <t>980056</t>
  </si>
  <si>
    <t>988389</t>
  </si>
  <si>
    <t>971011</t>
  </si>
  <si>
    <t>975189</t>
  </si>
  <si>
    <t>988028</t>
  </si>
  <si>
    <t>986094</t>
  </si>
  <si>
    <t>988756</t>
  </si>
  <si>
    <t>979035</t>
  </si>
  <si>
    <t>988592</t>
  </si>
  <si>
    <t>986587</t>
  </si>
  <si>
    <t>988640</t>
  </si>
  <si>
    <t>940028</t>
  </si>
  <si>
    <t>994089</t>
  </si>
  <si>
    <t>988580</t>
  </si>
  <si>
    <t>983086</t>
  </si>
  <si>
    <t>988406</t>
  </si>
  <si>
    <t>972036</t>
  </si>
  <si>
    <t>955221</t>
  </si>
  <si>
    <t>992557</t>
  </si>
  <si>
    <t>989262</t>
  </si>
  <si>
    <t>993108</t>
  </si>
  <si>
    <t>988973</t>
  </si>
  <si>
    <t>992032</t>
  </si>
  <si>
    <t>990073</t>
  </si>
  <si>
    <t>971019</t>
  </si>
  <si>
    <t>985047</t>
  </si>
  <si>
    <t>995211</t>
  </si>
  <si>
    <t>991124</t>
  </si>
  <si>
    <t>986519</t>
  </si>
  <si>
    <t>980052</t>
  </si>
  <si>
    <t>986359</t>
  </si>
  <si>
    <t>993121</t>
  </si>
  <si>
    <t>988673</t>
  </si>
  <si>
    <t>996407</t>
  </si>
  <si>
    <t>971039</t>
  </si>
  <si>
    <t>988205</t>
  </si>
  <si>
    <t>983112</t>
  </si>
  <si>
    <t>988443</t>
  </si>
  <si>
    <t>984119</t>
  </si>
  <si>
    <t>996046</t>
  </si>
  <si>
    <t>988749</t>
  </si>
  <si>
    <t>960035</t>
  </si>
  <si>
    <t>995161</t>
  </si>
  <si>
    <t>992801</t>
  </si>
  <si>
    <t>992031</t>
  </si>
  <si>
    <t>985073</t>
  </si>
  <si>
    <t>971021</t>
  </si>
  <si>
    <t>960055</t>
  </si>
  <si>
    <t>995215</t>
  </si>
  <si>
    <t>975141</t>
  </si>
  <si>
    <t>988514</t>
  </si>
  <si>
    <t>998042</t>
  </si>
  <si>
    <t>992380</t>
  </si>
  <si>
    <t>986294</t>
  </si>
  <si>
    <t>978010</t>
  </si>
  <si>
    <t>982153</t>
  </si>
  <si>
    <t>967006</t>
  </si>
  <si>
    <t>987013</t>
  </si>
  <si>
    <t>983030</t>
  </si>
  <si>
    <t>988477</t>
  </si>
  <si>
    <t>977041</t>
  </si>
  <si>
    <t>977043</t>
  </si>
  <si>
    <t>988134</t>
  </si>
  <si>
    <t>982059</t>
  </si>
  <si>
    <t>975089</t>
  </si>
  <si>
    <t>992018</t>
  </si>
  <si>
    <t>975112</t>
  </si>
  <si>
    <t>980184</t>
  </si>
  <si>
    <t>971008</t>
  </si>
  <si>
    <t>985074</t>
  </si>
  <si>
    <t>988008</t>
  </si>
  <si>
    <t>976051</t>
  </si>
  <si>
    <t>989214</t>
  </si>
  <si>
    <t>982172</t>
  </si>
  <si>
    <t>986357</t>
  </si>
  <si>
    <t>984098</t>
  </si>
  <si>
    <t>978003</t>
  </si>
  <si>
    <t>989313</t>
  </si>
  <si>
    <t>954261</t>
  </si>
  <si>
    <t>998119</t>
  </si>
  <si>
    <t>983029</t>
  </si>
  <si>
    <t>988711</t>
  </si>
  <si>
    <t>977039</t>
  </si>
  <si>
    <t>981079</t>
  </si>
  <si>
    <t>954172</t>
  </si>
  <si>
    <t>992035</t>
  </si>
  <si>
    <t>992562</t>
  </si>
  <si>
    <t>988486</t>
  </si>
  <si>
    <t>992485</t>
  </si>
  <si>
    <t>954279</t>
  </si>
  <si>
    <t>971009</t>
  </si>
  <si>
    <t>998071</t>
  </si>
  <si>
    <t>988016</t>
  </si>
  <si>
    <t>960018</t>
  </si>
  <si>
    <t>954264</t>
  </si>
  <si>
    <t>988779</t>
  </si>
  <si>
    <t>988604</t>
  </si>
  <si>
    <t>984112</t>
  </si>
  <si>
    <t>988669</t>
  </si>
  <si>
    <t>992805</t>
  </si>
  <si>
    <t>992517</t>
  </si>
  <si>
    <t>998007</t>
  </si>
  <si>
    <t>983034</t>
  </si>
  <si>
    <t>988712</t>
  </si>
  <si>
    <t>998156</t>
  </si>
  <si>
    <t>974001</t>
  </si>
  <si>
    <t>992133</t>
  </si>
  <si>
    <t>992374</t>
  </si>
  <si>
    <t>978055</t>
  </si>
  <si>
    <t>988773</t>
  </si>
  <si>
    <t>991042</t>
  </si>
  <si>
    <t>954291</t>
  </si>
  <si>
    <t>971012</t>
  </si>
  <si>
    <t>965003</t>
  </si>
  <si>
    <t>988037</t>
  </si>
  <si>
    <t>972006</t>
  </si>
  <si>
    <t>986016</t>
  </si>
  <si>
    <t>986492</t>
  </si>
  <si>
    <t>966028</t>
  </si>
  <si>
    <t>984114</t>
  </si>
  <si>
    <t>988681</t>
  </si>
  <si>
    <t>954273</t>
  </si>
  <si>
    <t>992368</t>
  </si>
  <si>
    <t>998057</t>
  </si>
  <si>
    <t>983035</t>
  </si>
  <si>
    <t>988719</t>
  </si>
  <si>
    <t>940065</t>
  </si>
  <si>
    <t>980117</t>
  </si>
  <si>
    <t>995149</t>
  </si>
  <si>
    <t>982058</t>
  </si>
  <si>
    <t>984085</t>
  </si>
  <si>
    <t>992386</t>
  </si>
  <si>
    <t>995096</t>
  </si>
  <si>
    <t>986251</t>
  </si>
  <si>
    <t>971023</t>
  </si>
  <si>
    <t>988415</t>
  </si>
  <si>
    <t>988041</t>
  </si>
  <si>
    <t>988439</t>
  </si>
  <si>
    <t>989045</t>
  </si>
  <si>
    <t>955049</t>
  </si>
  <si>
    <t>966197</t>
  </si>
  <si>
    <t>940008</t>
  </si>
  <si>
    <t>986290</t>
  </si>
  <si>
    <t>966005</t>
  </si>
  <si>
    <t>966035</t>
  </si>
  <si>
    <t>986428</t>
  </si>
  <si>
    <t>983092</t>
  </si>
  <si>
    <t>988725</t>
  </si>
  <si>
    <t>968017</t>
  </si>
  <si>
    <t>976022</t>
  </si>
  <si>
    <t>940105</t>
  </si>
  <si>
    <t>992101</t>
  </si>
  <si>
    <t>940003</t>
  </si>
  <si>
    <t>992013</t>
  </si>
  <si>
    <t>988398</t>
  </si>
  <si>
    <t>982158</t>
  </si>
  <si>
    <t>971024</t>
  </si>
  <si>
    <t>992428</t>
  </si>
  <si>
    <t>985077</t>
  </si>
  <si>
    <t>954005</t>
  </si>
  <si>
    <t>986491</t>
  </si>
  <si>
    <t>955083</t>
  </si>
  <si>
    <t>993078</t>
  </si>
  <si>
    <t>980087</t>
  </si>
  <si>
    <t>993076</t>
  </si>
  <si>
    <t>975085</t>
  </si>
  <si>
    <t>982031</t>
  </si>
  <si>
    <t>975008</t>
  </si>
  <si>
    <t>983087</t>
  </si>
  <si>
    <t>988726</t>
  </si>
  <si>
    <t>986591</t>
  </si>
  <si>
    <t>955030</t>
  </si>
  <si>
    <t>984086</t>
  </si>
  <si>
    <t>995329</t>
  </si>
  <si>
    <t>995118</t>
  </si>
  <si>
    <t>988117</t>
  </si>
  <si>
    <t>995082</t>
  </si>
  <si>
    <t>954087</t>
  </si>
  <si>
    <t>971028</t>
  </si>
  <si>
    <t>988497</t>
  </si>
  <si>
    <t>962009</t>
  </si>
  <si>
    <t>980002</t>
  </si>
  <si>
    <t>993097</t>
  </si>
  <si>
    <t>980189</t>
  </si>
  <si>
    <t>993126</t>
  </si>
  <si>
    <t>980097</t>
  </si>
  <si>
    <t>991160</t>
  </si>
  <si>
    <t>992804</t>
  </si>
  <si>
    <t>991151</t>
  </si>
  <si>
    <t>975052</t>
  </si>
  <si>
    <t>998024</t>
  </si>
  <si>
    <t>988739</t>
  </si>
  <si>
    <t>991146</t>
  </si>
  <si>
    <t>955031</t>
  </si>
  <si>
    <t>985059</t>
  </si>
  <si>
    <t>980206</t>
  </si>
  <si>
    <t>966198</t>
  </si>
  <si>
    <t>992028</t>
  </si>
  <si>
    <t>976096</t>
  </si>
  <si>
    <t>993055</t>
  </si>
  <si>
    <t>971029</t>
  </si>
  <si>
    <t>992678</t>
  </si>
  <si>
    <t>993143</t>
  </si>
  <si>
    <t>998137</t>
  </si>
  <si>
    <t>988513</t>
  </si>
  <si>
    <t>988149</t>
  </si>
  <si>
    <t>940062</t>
  </si>
  <si>
    <t>980201</t>
  </si>
  <si>
    <t>954267</t>
  </si>
  <si>
    <t>940100</t>
  </si>
  <si>
    <t>992667</t>
  </si>
  <si>
    <t>975098</t>
  </si>
  <si>
    <t>983033</t>
  </si>
  <si>
    <t>988741</t>
  </si>
  <si>
    <t>979052</t>
  </si>
  <si>
    <t>955034</t>
  </si>
  <si>
    <t>978045</t>
  </si>
  <si>
    <t>955220</t>
  </si>
  <si>
    <t>995259</t>
  </si>
  <si>
    <t>975079</t>
  </si>
  <si>
    <t>992697</t>
  </si>
  <si>
    <t>995067</t>
  </si>
  <si>
    <t>971096</t>
  </si>
  <si>
    <t>983126</t>
  </si>
  <si>
    <t>981068</t>
  </si>
  <si>
    <t>962006</t>
  </si>
  <si>
    <t>992108</t>
  </si>
  <si>
    <t>986514</t>
  </si>
  <si>
    <t>986060</t>
  </si>
  <si>
    <t>981042</t>
  </si>
  <si>
    <t>991174</t>
  </si>
  <si>
    <t>975093</t>
  </si>
  <si>
    <t>967002</t>
  </si>
  <si>
    <t>975101</t>
  </si>
  <si>
    <t>983031</t>
  </si>
  <si>
    <t>988744</t>
  </si>
  <si>
    <t>975161</t>
  </si>
  <si>
    <t>972040</t>
  </si>
  <si>
    <t>988957</t>
  </si>
  <si>
    <t>992627</t>
  </si>
  <si>
    <t>995046</t>
  </si>
  <si>
    <t>986015</t>
  </si>
  <si>
    <t>992009</t>
  </si>
  <si>
    <t>982086</t>
  </si>
  <si>
    <t>971089</t>
  </si>
  <si>
    <t>975195</t>
  </si>
  <si>
    <t>995256</t>
  </si>
  <si>
    <t>995001</t>
  </si>
  <si>
    <t>990011</t>
  </si>
  <si>
    <t>992027</t>
  </si>
  <si>
    <t>940000</t>
  </si>
  <si>
    <t>981077</t>
  </si>
  <si>
    <t>995164</t>
  </si>
  <si>
    <t>956032</t>
  </si>
  <si>
    <t>995015</t>
  </si>
  <si>
    <t>988206</t>
  </si>
  <si>
    <t>983032</t>
  </si>
  <si>
    <t>988746</t>
  </si>
  <si>
    <t>982007</t>
  </si>
  <si>
    <t>977020</t>
  </si>
  <si>
    <t>992055</t>
  </si>
  <si>
    <t>980125</t>
  </si>
  <si>
    <t>940081</t>
  </si>
  <si>
    <t>994008</t>
  </si>
  <si>
    <t>988891</t>
  </si>
  <si>
    <t>984044</t>
  </si>
  <si>
    <t>971050</t>
  </si>
  <si>
    <t>991185</t>
  </si>
  <si>
    <t>960036</t>
  </si>
  <si>
    <t>995002</t>
  </si>
  <si>
    <t>986544</t>
  </si>
  <si>
    <t>998102</t>
  </si>
  <si>
    <t>991067</t>
  </si>
  <si>
    <t>985062</t>
  </si>
  <si>
    <t>989099</t>
  </si>
  <si>
    <t>955130</t>
  </si>
  <si>
    <t>966062</t>
  </si>
  <si>
    <t>965007</t>
  </si>
  <si>
    <t>998101</t>
  </si>
  <si>
    <t>988889</t>
  </si>
  <si>
    <t>996141</t>
  </si>
  <si>
    <t>975119</t>
  </si>
  <si>
    <t>995307</t>
  </si>
  <si>
    <t>986129</t>
  </si>
  <si>
    <t>986204</t>
  </si>
  <si>
    <t>992397</t>
  </si>
  <si>
    <t>960026</t>
  </si>
  <si>
    <t>986202</t>
  </si>
  <si>
    <t>971071</t>
  </si>
  <si>
    <t>983127</t>
  </si>
  <si>
    <t>988021</t>
  </si>
  <si>
    <t>995026</t>
  </si>
  <si>
    <t>981037</t>
  </si>
  <si>
    <t>955136</t>
  </si>
  <si>
    <t>988284</t>
  </si>
  <si>
    <t>989003</t>
  </si>
  <si>
    <t>986038</t>
  </si>
  <si>
    <t>956033</t>
  </si>
  <si>
    <t>966073</t>
  </si>
  <si>
    <t>981044</t>
  </si>
  <si>
    <t>998141</t>
  </si>
  <si>
    <t>988890</t>
  </si>
  <si>
    <t>996180</t>
  </si>
  <si>
    <t>977023</t>
  </si>
  <si>
    <t>995315</t>
  </si>
  <si>
    <t>992679</t>
  </si>
  <si>
    <t>988450</t>
  </si>
  <si>
    <t>996075</t>
  </si>
  <si>
    <t>992707</t>
  </si>
  <si>
    <t>996084</t>
  </si>
  <si>
    <t>971038</t>
  </si>
  <si>
    <t>980137</t>
  </si>
  <si>
    <t>967045</t>
  </si>
  <si>
    <t>995071</t>
  </si>
  <si>
    <t>992465</t>
  </si>
  <si>
    <t>983110</t>
  </si>
  <si>
    <t>989238</t>
  </si>
  <si>
    <t>992791</t>
  </si>
  <si>
    <t>978071</t>
  </si>
  <si>
    <t>966002</t>
  </si>
  <si>
    <t>966085</t>
  </si>
  <si>
    <t>988224</t>
  </si>
  <si>
    <t>983039</t>
  </si>
  <si>
    <t>988899</t>
  </si>
  <si>
    <t>996190</t>
  </si>
  <si>
    <t>992402</t>
  </si>
  <si>
    <t>998181</t>
  </si>
  <si>
    <t>989298</t>
  </si>
  <si>
    <t>992456</t>
  </si>
  <si>
    <t>988121</t>
  </si>
  <si>
    <t>992311</t>
  </si>
  <si>
    <t>996276</t>
  </si>
  <si>
    <t>971066</t>
  </si>
  <si>
    <t>992466</t>
  </si>
  <si>
    <t>995318</t>
  </si>
  <si>
    <t>960051</t>
  </si>
  <si>
    <t>998116</t>
  </si>
  <si>
    <t>955110</t>
  </si>
  <si>
    <t>993037</t>
  </si>
  <si>
    <t>992425</t>
  </si>
  <si>
    <t>986607</t>
  </si>
  <si>
    <t>992267</t>
  </si>
  <si>
    <t>966136</t>
  </si>
  <si>
    <t>988197</t>
  </si>
  <si>
    <t>983037</t>
  </si>
  <si>
    <t>988929</t>
  </si>
  <si>
    <t>988057</t>
  </si>
  <si>
    <t>995192</t>
  </si>
  <si>
    <t>955078</t>
  </si>
  <si>
    <t>975152</t>
  </si>
  <si>
    <t>986069</t>
  </si>
  <si>
    <t>992499</t>
  </si>
  <si>
    <t>954173</t>
  </si>
  <si>
    <t>986203</t>
  </si>
  <si>
    <t>971058</t>
  </si>
  <si>
    <t>967004</t>
  </si>
  <si>
    <t>955013</t>
  </si>
  <si>
    <t>960050</t>
  </si>
  <si>
    <t>954008</t>
  </si>
  <si>
    <t>996269</t>
  </si>
  <si>
    <t>989035</t>
  </si>
  <si>
    <t>955173</t>
  </si>
  <si>
    <t>975193</t>
  </si>
  <si>
    <t>992330</t>
  </si>
  <si>
    <t>966155</t>
  </si>
  <si>
    <t>981033</t>
  </si>
  <si>
    <t>998021</t>
  </si>
  <si>
    <t>988930</t>
  </si>
  <si>
    <t>986494</t>
  </si>
  <si>
    <t>954270</t>
  </si>
  <si>
    <t>955085</t>
  </si>
  <si>
    <t>975148</t>
  </si>
  <si>
    <t>995228</t>
  </si>
  <si>
    <t>992139</t>
  </si>
  <si>
    <t>962010</t>
  </si>
  <si>
    <t>988391</t>
  </si>
  <si>
    <t>971098</t>
  </si>
  <si>
    <t>954203</t>
  </si>
  <si>
    <t>955109</t>
  </si>
  <si>
    <t>995027</t>
  </si>
  <si>
    <t>998074</t>
  </si>
  <si>
    <t>982002</t>
  </si>
  <si>
    <t>988623</t>
  </si>
  <si>
    <t>955158</t>
  </si>
  <si>
    <t>984120</t>
  </si>
  <si>
    <t>992365</t>
  </si>
  <si>
    <t>966160</t>
  </si>
  <si>
    <t>988553</t>
  </si>
  <si>
    <t>988947</t>
  </si>
  <si>
    <t>954137</t>
  </si>
  <si>
    <t>998052</t>
  </si>
  <si>
    <t>955100</t>
  </si>
  <si>
    <t>995324</t>
  </si>
  <si>
    <t>975082</t>
  </si>
  <si>
    <t>992142</t>
  </si>
  <si>
    <t>980197</t>
  </si>
  <si>
    <t>986557</t>
  </si>
  <si>
    <t>971080</t>
  </si>
  <si>
    <t>988762</t>
  </si>
  <si>
    <t>955024</t>
  </si>
  <si>
    <t>959004</t>
  </si>
  <si>
    <t>989041</t>
  </si>
  <si>
    <t>996266</t>
  </si>
  <si>
    <t>985079</t>
  </si>
  <si>
    <t>984012</t>
  </si>
  <si>
    <t>997003</t>
  </si>
  <si>
    <t>992169</t>
  </si>
  <si>
    <t>995145</t>
  </si>
  <si>
    <t>975028</t>
  </si>
  <si>
    <t>988956</t>
  </si>
  <si>
    <t>988601</t>
  </si>
  <si>
    <t>992798</t>
  </si>
  <si>
    <t>955157</t>
  </si>
  <si>
    <t>975179</t>
  </si>
  <si>
    <t>992015</t>
  </si>
  <si>
    <t>980017</t>
  </si>
  <si>
    <t>998092</t>
  </si>
  <si>
    <t>971045</t>
  </si>
  <si>
    <t>956015</t>
  </si>
  <si>
    <t>992676</t>
  </si>
  <si>
    <t>959009</t>
  </si>
  <si>
    <t>988161</t>
  </si>
  <si>
    <t>954021</t>
  </si>
  <si>
    <t>988595</t>
  </si>
  <si>
    <t>992535</t>
  </si>
  <si>
    <t>992739</t>
  </si>
  <si>
    <t>986434</t>
  </si>
  <si>
    <t>995152</t>
  </si>
  <si>
    <t>993034</t>
  </si>
  <si>
    <t>988959</t>
  </si>
  <si>
    <t>954220</t>
  </si>
  <si>
    <t>960020</t>
  </si>
  <si>
    <t>955076</t>
  </si>
  <si>
    <t>992717</t>
  </si>
  <si>
    <t>986175</t>
  </si>
  <si>
    <t>980131</t>
  </si>
  <si>
    <t>982134</t>
  </si>
  <si>
    <t>988132</t>
  </si>
  <si>
    <t>971051</t>
  </si>
  <si>
    <t>993130</t>
  </si>
  <si>
    <t>984081</t>
  </si>
  <si>
    <t>959031</t>
  </si>
  <si>
    <t>972035</t>
  </si>
  <si>
    <t>986550</t>
  </si>
  <si>
    <t>988598</t>
  </si>
  <si>
    <t>992656</t>
  </si>
  <si>
    <t>968016</t>
  </si>
  <si>
    <t>996108</t>
  </si>
  <si>
    <t>995321</t>
  </si>
  <si>
    <t>988579</t>
  </si>
  <si>
    <t>988997</t>
  </si>
  <si>
    <t>998064</t>
  </si>
  <si>
    <t>993036</t>
  </si>
  <si>
    <t>955141</t>
  </si>
  <si>
    <t>995113</t>
  </si>
  <si>
    <t>992522</t>
  </si>
  <si>
    <t>991109</t>
  </si>
  <si>
    <t>954288</t>
  </si>
  <si>
    <t>992685</t>
  </si>
  <si>
    <t>971090</t>
  </si>
  <si>
    <t>998133</t>
  </si>
  <si>
    <t>992082</t>
  </si>
  <si>
    <t>959059</t>
  </si>
  <si>
    <t>993134</t>
  </si>
  <si>
    <t>976059</t>
  </si>
  <si>
    <t>989026</t>
  </si>
  <si>
    <t>980074</t>
  </si>
  <si>
    <t>993045</t>
  </si>
  <si>
    <t>993042</t>
  </si>
  <si>
    <t>992298</t>
  </si>
  <si>
    <t>988551</t>
  </si>
  <si>
    <t>989022</t>
  </si>
  <si>
    <t>992188</t>
  </si>
  <si>
    <t>960039</t>
  </si>
  <si>
    <t>955135</t>
  </si>
  <si>
    <t>998085</t>
  </si>
  <si>
    <t>995261</t>
  </si>
  <si>
    <t>975018</t>
  </si>
  <si>
    <t>980162</t>
  </si>
  <si>
    <t>992060</t>
  </si>
  <si>
    <t>971091</t>
  </si>
  <si>
    <t>992635</t>
  </si>
  <si>
    <t>995218</t>
  </si>
  <si>
    <t>975196</t>
  </si>
  <si>
    <t>975146</t>
  </si>
  <si>
    <t>993035</t>
  </si>
  <si>
    <t>954186</t>
  </si>
  <si>
    <t>980075</t>
  </si>
  <si>
    <t>986296</t>
  </si>
  <si>
    <t>988191</t>
  </si>
  <si>
    <t>966049</t>
  </si>
  <si>
    <t>986044</t>
  </si>
  <si>
    <t>989216</t>
  </si>
  <si>
    <t>992355</t>
  </si>
  <si>
    <t>977016</t>
  </si>
  <si>
    <t>992596</t>
  </si>
  <si>
    <t>989228</t>
  </si>
  <si>
    <t>992231</t>
  </si>
  <si>
    <t>995125</t>
  </si>
  <si>
    <t>996393</t>
  </si>
  <si>
    <t>988118</t>
  </si>
  <si>
    <t>971025</t>
  </si>
  <si>
    <t>972069</t>
  </si>
  <si>
    <t>995199</t>
  </si>
  <si>
    <t>975198</t>
  </si>
  <si>
    <t>978073</t>
  </si>
  <si>
    <t>955052</t>
  </si>
  <si>
    <t>966156</t>
  </si>
  <si>
    <t>965009</t>
  </si>
  <si>
    <t>986316</t>
  </si>
  <si>
    <t>980028</t>
  </si>
  <si>
    <t>992702</t>
  </si>
  <si>
    <t>988207</t>
  </si>
  <si>
    <t>989250</t>
  </si>
  <si>
    <t>992005</t>
  </si>
  <si>
    <t>991009</t>
  </si>
  <si>
    <t>980040</t>
  </si>
  <si>
    <t>991037</t>
  </si>
  <si>
    <t>989012</t>
  </si>
  <si>
    <t>988770</t>
  </si>
  <si>
    <t>985031</t>
  </si>
  <si>
    <t>992400</t>
  </si>
  <si>
    <t>971094</t>
  </si>
  <si>
    <t>991043</t>
  </si>
  <si>
    <t>980175</t>
  </si>
  <si>
    <t>980076</t>
  </si>
  <si>
    <t>955057</t>
  </si>
  <si>
    <t>989084</t>
  </si>
  <si>
    <t>992459</t>
  </si>
  <si>
    <t>980108</t>
  </si>
  <si>
    <t>988171</t>
  </si>
  <si>
    <t>954165</t>
  </si>
  <si>
    <t>988548</t>
  </si>
  <si>
    <t>989232</t>
  </si>
  <si>
    <t>996179</t>
  </si>
  <si>
    <t>993053</t>
  </si>
  <si>
    <t>992356</t>
  </si>
  <si>
    <t>992451</t>
  </si>
  <si>
    <t>989015</t>
  </si>
  <si>
    <t>986097</t>
  </si>
  <si>
    <t>995023</t>
  </si>
  <si>
    <t>991039</t>
  </si>
  <si>
    <t>959054</t>
  </si>
  <si>
    <t>991171</t>
  </si>
  <si>
    <t>954062</t>
  </si>
  <si>
    <t>992773</t>
  </si>
  <si>
    <t>981098</t>
  </si>
  <si>
    <t>971042</t>
  </si>
  <si>
    <t>992340</t>
  </si>
  <si>
    <t>954054</t>
  </si>
  <si>
    <t>988522</t>
  </si>
  <si>
    <t>994030</t>
  </si>
  <si>
    <t>988554</t>
  </si>
  <si>
    <t>991006</t>
  </si>
  <si>
    <t>954116</t>
  </si>
  <si>
    <t>981099</t>
  </si>
  <si>
    <t>940019</t>
  </si>
  <si>
    <t>954263</t>
  </si>
  <si>
    <t>982159</t>
  </si>
  <si>
    <t>954014</t>
  </si>
  <si>
    <t>995045</t>
  </si>
  <si>
    <t>988492</t>
  </si>
  <si>
    <t>971100</t>
  </si>
  <si>
    <t>988906</t>
  </si>
  <si>
    <t>988411</t>
  </si>
  <si>
    <t>989056</t>
  </si>
  <si>
    <t>986585</t>
  </si>
  <si>
    <t>984101</t>
  </si>
  <si>
    <t>954100</t>
  </si>
  <si>
    <t>994102</t>
  </si>
  <si>
    <t>989082</t>
  </si>
  <si>
    <t>995095</t>
  </si>
  <si>
    <t>960003</t>
  </si>
  <si>
    <t>991010</t>
  </si>
  <si>
    <t>992662</t>
  </si>
  <si>
    <t>975103</t>
  </si>
  <si>
    <t>940032</t>
  </si>
  <si>
    <t>988083</t>
  </si>
  <si>
    <t>995040</t>
  </si>
  <si>
    <t>986154</t>
  </si>
  <si>
    <t>988351</t>
  </si>
  <si>
    <t>995184</t>
  </si>
  <si>
    <t>979064</t>
  </si>
  <si>
    <t>986143</t>
  </si>
  <si>
    <t>988017</t>
  </si>
  <si>
    <t>992201</t>
  </si>
  <si>
    <t>968004</t>
  </si>
  <si>
    <t>986345</t>
  </si>
  <si>
    <t>988668</t>
  </si>
  <si>
    <t>988870</t>
  </si>
  <si>
    <t>988888</t>
  </si>
  <si>
    <t>992538</t>
  </si>
  <si>
    <t>998151</t>
  </si>
  <si>
    <t>991052</t>
  </si>
  <si>
    <t>992319</t>
  </si>
  <si>
    <t>989252</t>
  </si>
  <si>
    <t>988993</t>
  </si>
  <si>
    <t>989213</t>
  </si>
  <si>
    <t>995131</t>
  </si>
  <si>
    <t>980005</t>
  </si>
  <si>
    <t>996161</t>
  </si>
  <si>
    <t>989348</t>
  </si>
  <si>
    <t>996087</t>
  </si>
  <si>
    <t>954199</t>
  </si>
  <si>
    <t>993088</t>
  </si>
  <si>
    <t>994015</t>
  </si>
  <si>
    <t>986343</t>
  </si>
  <si>
    <t>990049</t>
  </si>
  <si>
    <t>985020</t>
  </si>
  <si>
    <t>992036</t>
  </si>
  <si>
    <t>992710</t>
  </si>
  <si>
    <t>981053</t>
  </si>
  <si>
    <t>991165</t>
  </si>
  <si>
    <t>975115</t>
  </si>
  <si>
    <t>992191</t>
  </si>
  <si>
    <t>992744</t>
  </si>
  <si>
    <t>988074</t>
  </si>
  <si>
    <t>986110</t>
  </si>
  <si>
    <t>986206</t>
  </si>
  <si>
    <t>996163</t>
  </si>
  <si>
    <t>959020</t>
  </si>
  <si>
    <t>995037</t>
  </si>
  <si>
    <t>990061</t>
  </si>
  <si>
    <t>980203</t>
  </si>
  <si>
    <t>995276</t>
  </si>
  <si>
    <t>976070</t>
  </si>
  <si>
    <t>988697</t>
  </si>
  <si>
    <t>988667</t>
  </si>
  <si>
    <t>987010</t>
  </si>
  <si>
    <t>966080</t>
  </si>
  <si>
    <t>981102</t>
  </si>
  <si>
    <t>991176</t>
  </si>
  <si>
    <t>989157</t>
  </si>
  <si>
    <t>989054</t>
  </si>
  <si>
    <t>986149</t>
  </si>
  <si>
    <t>980104</t>
  </si>
  <si>
    <t>996392</t>
  </si>
  <si>
    <t>988114</t>
  </si>
  <si>
    <t>988085</t>
  </si>
  <si>
    <t>972050</t>
  </si>
  <si>
    <t>990052</t>
  </si>
  <si>
    <t>954059</t>
  </si>
  <si>
    <t>997008</t>
  </si>
  <si>
    <t>968013</t>
  </si>
  <si>
    <t>977011</t>
  </si>
  <si>
    <t>986297</t>
  </si>
  <si>
    <t>986061</t>
  </si>
  <si>
    <t>986474</t>
  </si>
  <si>
    <t>966177</t>
  </si>
  <si>
    <t>981055</t>
  </si>
  <si>
    <t>992059</t>
  </si>
  <si>
    <t>989265</t>
  </si>
  <si>
    <t>988112</t>
  </si>
  <si>
    <t>989314</t>
  </si>
  <si>
    <t>972029</t>
  </si>
  <si>
    <t>966109</t>
  </si>
  <si>
    <t>988133</t>
  </si>
  <si>
    <t>988090</t>
  </si>
  <si>
    <t>986610</t>
  </si>
  <si>
    <t>988473</t>
  </si>
  <si>
    <t>989078</t>
  </si>
  <si>
    <t>981009</t>
  </si>
  <si>
    <t>967003</t>
  </si>
  <si>
    <t>977015</t>
  </si>
  <si>
    <t>992327</t>
  </si>
  <si>
    <t>992442</t>
  </si>
  <si>
    <t>986476</t>
  </si>
  <si>
    <t>995062</t>
  </si>
  <si>
    <t>980093</t>
  </si>
  <si>
    <t>992698</t>
  </si>
  <si>
    <t>989129</t>
  </si>
  <si>
    <t>986093</t>
  </si>
  <si>
    <t>993039</t>
  </si>
  <si>
    <t>972008</t>
  </si>
  <si>
    <t>993142</t>
  </si>
  <si>
    <t>988496</t>
  </si>
  <si>
    <t>988737</t>
  </si>
  <si>
    <t>940109</t>
  </si>
  <si>
    <t>992521</t>
  </si>
  <si>
    <t>988046</t>
  </si>
  <si>
    <t>980057</t>
  </si>
  <si>
    <t>992438</t>
  </si>
  <si>
    <t>987004</t>
  </si>
  <si>
    <t>988331</t>
  </si>
  <si>
    <t>992344</t>
  </si>
  <si>
    <t>986450</t>
  </si>
  <si>
    <t>994075</t>
  </si>
  <si>
    <t>986423</t>
  </si>
  <si>
    <t>992051</t>
  </si>
  <si>
    <t>989130</t>
  </si>
  <si>
    <t>980016</t>
  </si>
  <si>
    <t>992467</t>
  </si>
  <si>
    <t>956037</t>
  </si>
  <si>
    <t>998004</t>
  </si>
  <si>
    <t>988511</t>
  </si>
  <si>
    <t>975077</t>
  </si>
  <si>
    <t>992815</t>
  </si>
  <si>
    <t>992709</t>
  </si>
  <si>
    <t>980191</t>
  </si>
  <si>
    <t>993017</t>
  </si>
  <si>
    <t>995004</t>
  </si>
  <si>
    <t>940004</t>
  </si>
  <si>
    <t>992530</t>
  </si>
  <si>
    <t>988632</t>
  </si>
  <si>
    <t>992502</t>
  </si>
  <si>
    <t>954031</t>
  </si>
  <si>
    <t>986418</t>
  </si>
  <si>
    <t>992054</t>
  </si>
  <si>
    <t>993005</t>
  </si>
  <si>
    <t>986101</t>
  </si>
  <si>
    <t>966210</t>
  </si>
  <si>
    <t>959037</t>
  </si>
  <si>
    <t>988507</t>
  </si>
  <si>
    <t>988915</t>
  </si>
  <si>
    <t>991016</t>
  </si>
  <si>
    <t>958033</t>
  </si>
  <si>
    <t>980140</t>
  </si>
  <si>
    <t>995054</t>
  </si>
  <si>
    <t>975126</t>
  </si>
  <si>
    <t>992585</t>
  </si>
  <si>
    <t>992790</t>
  </si>
  <si>
    <t>992251</t>
  </si>
  <si>
    <t>984090</t>
  </si>
  <si>
    <t>988429</t>
  </si>
  <si>
    <t>985006</t>
  </si>
  <si>
    <t>940094</t>
  </si>
  <si>
    <t>992592</t>
  </si>
  <si>
    <t>995238</t>
  </si>
  <si>
    <t>988476</t>
  </si>
  <si>
    <t>967028</t>
  </si>
  <si>
    <t>959038</t>
  </si>
  <si>
    <t>995182</t>
  </si>
  <si>
    <t>980179</t>
  </si>
  <si>
    <t>980019</t>
  </si>
  <si>
    <t>975200</t>
  </si>
  <si>
    <t>996049</t>
  </si>
  <si>
    <t>982236</t>
  </si>
  <si>
    <t>989207</t>
  </si>
  <si>
    <t>954022</t>
  </si>
  <si>
    <t>981056</t>
  </si>
  <si>
    <t>988308</t>
  </si>
  <si>
    <t>956036</t>
  </si>
  <si>
    <t>980044</t>
  </si>
  <si>
    <t>954073</t>
  </si>
  <si>
    <t>988195</t>
  </si>
  <si>
    <t>992076</t>
  </si>
  <si>
    <t>998081</t>
  </si>
  <si>
    <t>988107</t>
  </si>
  <si>
    <t>986231</t>
  </si>
  <si>
    <t>959039</t>
  </si>
  <si>
    <t>982161</t>
  </si>
  <si>
    <t>986256</t>
  </si>
  <si>
    <t>988094</t>
  </si>
  <si>
    <t>982275</t>
  </si>
  <si>
    <t>986226</t>
  </si>
  <si>
    <t>985035</t>
  </si>
  <si>
    <t>996388</t>
  </si>
  <si>
    <t>954182</t>
  </si>
  <si>
    <t>992757</t>
  </si>
  <si>
    <t>988862</t>
  </si>
  <si>
    <t>992722</t>
  </si>
  <si>
    <t>966104</t>
  </si>
  <si>
    <t>954080</t>
  </si>
  <si>
    <t>988202</t>
  </si>
  <si>
    <t>992359</t>
  </si>
  <si>
    <t>954136</t>
  </si>
  <si>
    <t>988761</t>
  </si>
  <si>
    <t>985067</t>
  </si>
  <si>
    <t>959041</t>
  </si>
  <si>
    <t>975031</t>
  </si>
  <si>
    <t>992287</t>
  </si>
  <si>
    <t>992802</t>
  </si>
  <si>
    <t>986613</t>
  </si>
  <si>
    <t>975144</t>
  </si>
  <si>
    <t>969012</t>
  </si>
  <si>
    <t>995091</t>
  </si>
  <si>
    <t>966086</t>
  </si>
  <si>
    <t>986361</t>
  </si>
  <si>
    <t>981070</t>
  </si>
  <si>
    <t>986298</t>
  </si>
  <si>
    <t>966056</t>
  </si>
  <si>
    <t>966036</t>
  </si>
  <si>
    <t>988209</t>
  </si>
  <si>
    <t>992408</t>
  </si>
  <si>
    <t>981004</t>
  </si>
  <si>
    <t>996212</t>
  </si>
  <si>
    <t>991011</t>
  </si>
  <si>
    <t>959049</t>
  </si>
  <si>
    <t>986059</t>
  </si>
  <si>
    <t>992103</t>
  </si>
  <si>
    <t>972039</t>
  </si>
  <si>
    <t>991149</t>
  </si>
  <si>
    <t>951001</t>
  </si>
  <si>
    <t>986502</t>
  </si>
  <si>
    <t>996263</t>
  </si>
  <si>
    <t>968009</t>
  </si>
  <si>
    <t>991166</t>
  </si>
  <si>
    <t>991050</t>
  </si>
  <si>
    <t>966074</t>
  </si>
  <si>
    <t>982029</t>
  </si>
  <si>
    <t>988535</t>
  </si>
  <si>
    <t>992454</t>
  </si>
  <si>
    <t>982006</t>
  </si>
  <si>
    <t>995024</t>
  </si>
  <si>
    <t>994055</t>
  </si>
  <si>
    <t>953001</t>
  </si>
  <si>
    <t>991033</t>
  </si>
  <si>
    <t>992674</t>
  </si>
  <si>
    <t>960059</t>
  </si>
  <si>
    <t>976054</t>
  </si>
  <si>
    <t>951002</t>
  </si>
  <si>
    <t>956003</t>
  </si>
  <si>
    <t>989060</t>
  </si>
  <si>
    <t>995304</t>
  </si>
  <si>
    <t>992482</t>
  </si>
  <si>
    <t>988685</t>
  </si>
  <si>
    <t>966045</t>
  </si>
  <si>
    <t>954016</t>
  </si>
  <si>
    <t>981065</t>
  </si>
  <si>
    <t>992006</t>
  </si>
  <si>
    <t>995320</t>
  </si>
  <si>
    <t>989239</t>
  </si>
  <si>
    <t>983124</t>
  </si>
  <si>
    <t>953002</t>
  </si>
  <si>
    <t>992135</t>
  </si>
  <si>
    <t>986284</t>
  </si>
  <si>
    <t>959018</t>
  </si>
  <si>
    <t>986004</t>
  </si>
  <si>
    <t>959008</t>
  </si>
  <si>
    <t>954250</t>
  </si>
  <si>
    <t>989061</t>
  </si>
  <si>
    <t>981043</t>
  </si>
  <si>
    <t>980083</t>
  </si>
  <si>
    <t>988305</t>
  </si>
  <si>
    <t>980107</t>
  </si>
  <si>
    <t>989090</t>
  </si>
  <si>
    <t>988570</t>
  </si>
  <si>
    <t>992378</t>
  </si>
  <si>
    <t>966195</t>
  </si>
  <si>
    <t>996028</t>
  </si>
  <si>
    <t>966058</t>
  </si>
  <si>
    <t>974004</t>
  </si>
  <si>
    <t>991008</t>
  </si>
  <si>
    <t>995241</t>
  </si>
  <si>
    <t>959023</t>
  </si>
  <si>
    <t>991120</t>
  </si>
  <si>
    <t>959015</t>
  </si>
  <si>
    <t>982264</t>
  </si>
  <si>
    <t>989062</t>
  </si>
  <si>
    <t>988655</t>
  </si>
  <si>
    <t>985026</t>
  </si>
  <si>
    <t>984014</t>
  </si>
  <si>
    <t>989009</t>
  </si>
  <si>
    <t>994071</t>
  </si>
  <si>
    <t>966161</t>
  </si>
  <si>
    <t>992041</t>
  </si>
  <si>
    <t>954269</t>
  </si>
  <si>
    <t>984062</t>
  </si>
  <si>
    <t>998073</t>
  </si>
  <si>
    <t>982279</t>
  </si>
  <si>
    <t>989263</t>
  </si>
  <si>
    <t>985086</t>
  </si>
  <si>
    <t>959043</t>
  </si>
  <si>
    <t>986285</t>
  </si>
  <si>
    <t>959029</t>
  </si>
  <si>
    <t>977014</t>
  </si>
  <si>
    <t>992126</t>
  </si>
  <si>
    <t>993002</t>
  </si>
  <si>
    <t>984015</t>
  </si>
  <si>
    <t>992560</t>
  </si>
  <si>
    <t>992579</t>
  </si>
  <si>
    <t>989230</t>
  </si>
  <si>
    <t>975122</t>
  </si>
  <si>
    <t>992153</t>
  </si>
  <si>
    <t>998202</t>
  </si>
  <si>
    <t>972053</t>
  </si>
  <si>
    <t>998112</t>
  </si>
  <si>
    <t>940119</t>
  </si>
  <si>
    <t>992131</t>
  </si>
  <si>
    <t>998161</t>
  </si>
  <si>
    <t>977051</t>
  </si>
  <si>
    <t>968014</t>
  </si>
  <si>
    <t>959033</t>
  </si>
  <si>
    <t>995127</t>
  </si>
  <si>
    <t>992306</t>
  </si>
  <si>
    <t>988281</t>
  </si>
  <si>
    <t>984017</t>
  </si>
  <si>
    <t>978074</t>
  </si>
  <si>
    <t>986468</t>
  </si>
  <si>
    <t>989235</t>
  </si>
  <si>
    <t>975128</t>
  </si>
  <si>
    <t>992457</t>
  </si>
  <si>
    <t>954121</t>
  </si>
  <si>
    <t>940104</t>
  </si>
  <si>
    <t>985070</t>
  </si>
  <si>
    <t>991194</t>
  </si>
  <si>
    <t>988742</t>
  </si>
  <si>
    <t>953019</t>
  </si>
  <si>
    <t>986230</t>
  </si>
  <si>
    <t>962014</t>
  </si>
  <si>
    <t>975186</t>
  </si>
  <si>
    <t>988155</t>
  </si>
  <si>
    <t>966038</t>
  </si>
  <si>
    <t>989259</t>
  </si>
  <si>
    <t>974002</t>
  </si>
  <si>
    <t>992651</t>
  </si>
  <si>
    <t>989218</t>
  </si>
  <si>
    <t>986419</t>
  </si>
  <si>
    <t>992490</t>
  </si>
  <si>
    <t>955081</t>
  </si>
  <si>
    <t>977050</t>
  </si>
  <si>
    <t>988769</t>
  </si>
  <si>
    <t>996267</t>
  </si>
  <si>
    <t>985053</t>
  </si>
  <si>
    <t>953022</t>
  </si>
  <si>
    <t>991136</t>
  </si>
  <si>
    <t>986615</t>
  </si>
  <si>
    <t>986551</t>
  </si>
  <si>
    <t>996192</t>
  </si>
  <si>
    <t>966022</t>
  </si>
  <si>
    <t>984031</t>
  </si>
  <si>
    <t>989325</t>
  </si>
  <si>
    <t>988534</t>
  </si>
  <si>
    <t>954193</t>
  </si>
  <si>
    <t>980210</t>
  </si>
  <si>
    <t>992736</t>
  </si>
  <si>
    <t>954292</t>
  </si>
  <si>
    <t>955184</t>
  </si>
  <si>
    <t>940087</t>
  </si>
  <si>
    <t>992220</t>
  </si>
  <si>
    <t>991045</t>
  </si>
  <si>
    <t>960060</t>
  </si>
  <si>
    <t>992149</t>
  </si>
  <si>
    <t>940118</t>
  </si>
  <si>
    <t>995251</t>
  </si>
  <si>
    <t>996193</t>
  </si>
  <si>
    <t>988630</t>
  </si>
  <si>
    <t>986312</t>
  </si>
  <si>
    <t>993120</t>
  </si>
  <si>
    <t>988533</t>
  </si>
  <si>
    <t>954077</t>
  </si>
  <si>
    <t>940061</t>
  </si>
  <si>
    <t>992150</t>
  </si>
  <si>
    <t>954275</t>
  </si>
  <si>
    <t>975001</t>
  </si>
  <si>
    <t>994064</t>
  </si>
  <si>
    <t>966012</t>
  </si>
  <si>
    <t>995123</t>
  </si>
  <si>
    <t>960061</t>
  </si>
  <si>
    <t>988752</t>
  </si>
  <si>
    <t>998030</t>
  </si>
  <si>
    <t>991044</t>
  </si>
  <si>
    <t>996378</t>
  </si>
  <si>
    <t>989023</t>
  </si>
  <si>
    <t>986314</t>
  </si>
  <si>
    <t>970002</t>
  </si>
  <si>
    <t>982220</t>
  </si>
  <si>
    <t>954166</t>
  </si>
  <si>
    <t>986422</t>
  </si>
  <si>
    <t>992040</t>
  </si>
  <si>
    <t>975003</t>
  </si>
  <si>
    <t>975136</t>
  </si>
  <si>
    <t>975064</t>
  </si>
  <si>
    <t>986019</t>
  </si>
  <si>
    <t>982087</t>
  </si>
  <si>
    <t>974012</t>
  </si>
  <si>
    <t>992398</t>
  </si>
  <si>
    <t>995183</t>
  </si>
  <si>
    <t>980023</t>
  </si>
  <si>
    <t>954230</t>
  </si>
  <si>
    <t>954170</t>
  </si>
  <si>
    <t>940029</t>
  </si>
  <si>
    <t>966025</t>
  </si>
  <si>
    <t>988562</t>
  </si>
  <si>
    <t>996115</t>
  </si>
  <si>
    <t>992114</t>
  </si>
  <si>
    <t>975097</t>
  </si>
  <si>
    <t>998022</t>
  </si>
  <si>
    <t>986174</t>
  </si>
  <si>
    <t>986606</t>
  </si>
  <si>
    <t>940064</t>
  </si>
  <si>
    <t>986614</t>
  </si>
  <si>
    <t>977028</t>
  </si>
  <si>
    <t>977009</t>
  </si>
  <si>
    <t>996410</t>
  </si>
  <si>
    <t>992256</t>
  </si>
  <si>
    <t>988306</t>
  </si>
  <si>
    <t>966014</t>
  </si>
  <si>
    <t>988163</t>
  </si>
  <si>
    <t>988536</t>
  </si>
  <si>
    <t>954044</t>
  </si>
  <si>
    <t>992512</t>
  </si>
  <si>
    <t>975011</t>
  </si>
  <si>
    <t>959053</t>
  </si>
  <si>
    <t>988409</t>
  </si>
  <si>
    <t>986247</t>
  </si>
  <si>
    <t>991141</t>
  </si>
  <si>
    <t>991193</t>
  </si>
  <si>
    <t>989092</t>
  </si>
  <si>
    <t>993075</t>
  </si>
  <si>
    <t>988179</t>
  </si>
  <si>
    <t>988278</t>
  </si>
  <si>
    <t>966178</t>
  </si>
  <si>
    <t>977006</t>
  </si>
  <si>
    <t>988518</t>
  </si>
  <si>
    <t>990046</t>
  </si>
  <si>
    <t>980035</t>
  </si>
  <si>
    <t>992240</t>
  </si>
  <si>
    <t>956014</t>
  </si>
  <si>
    <t>972085</t>
  </si>
  <si>
    <t>989248</t>
  </si>
  <si>
    <t>986116</t>
  </si>
  <si>
    <t>992705</t>
  </si>
  <si>
    <t>992821</t>
  </si>
  <si>
    <t>996067</t>
  </si>
  <si>
    <t>994045</t>
  </si>
  <si>
    <t>954202</t>
  </si>
  <si>
    <t>989257</t>
  </si>
  <si>
    <t>988346</t>
  </si>
  <si>
    <t>981051</t>
  </si>
  <si>
    <t>988519</t>
  </si>
  <si>
    <t>982054</t>
  </si>
  <si>
    <t>983066</t>
  </si>
  <si>
    <t>992316</t>
  </si>
  <si>
    <t>954043</t>
  </si>
  <si>
    <t>992782</t>
  </si>
  <si>
    <t>992549</t>
  </si>
  <si>
    <t>980134</t>
  </si>
  <si>
    <t>940021</t>
  </si>
  <si>
    <t>996157</t>
  </si>
  <si>
    <t>993146</t>
  </si>
  <si>
    <t>975073</t>
  </si>
  <si>
    <t>979058</t>
  </si>
  <si>
    <t>996133</t>
  </si>
  <si>
    <t>987002</t>
  </si>
  <si>
    <t>992109</t>
  </si>
  <si>
    <t>998145</t>
  </si>
  <si>
    <t>986400</t>
  </si>
  <si>
    <t>992672</t>
  </si>
  <si>
    <t>990065</t>
  </si>
  <si>
    <t>995333</t>
  </si>
  <si>
    <t>992491</t>
  </si>
  <si>
    <t>995112</t>
  </si>
  <si>
    <t>992338</t>
  </si>
  <si>
    <t>985068</t>
  </si>
  <si>
    <t>982246</t>
  </si>
  <si>
    <t>954111</t>
  </si>
  <si>
    <t>995094</t>
  </si>
  <si>
    <t>974009</t>
  </si>
  <si>
    <t>981040</t>
  </si>
  <si>
    <t>988521</t>
  </si>
  <si>
    <t>940077</t>
  </si>
  <si>
    <t>986392</t>
  </si>
  <si>
    <t>992152</t>
  </si>
  <si>
    <t>996381</t>
  </si>
  <si>
    <t>992706</t>
  </si>
  <si>
    <t>995252</t>
  </si>
  <si>
    <t>955134</t>
  </si>
  <si>
    <t>986041</t>
  </si>
  <si>
    <t>984079</t>
  </si>
  <si>
    <t>954218</t>
  </si>
  <si>
    <t>965012</t>
  </si>
  <si>
    <t>995213</t>
  </si>
  <si>
    <t>981060</t>
  </si>
  <si>
    <t>980188</t>
  </si>
  <si>
    <t>994050</t>
  </si>
  <si>
    <t>986453</t>
  </si>
  <si>
    <t>992129</t>
  </si>
  <si>
    <t>986590</t>
  </si>
  <si>
    <t>992043</t>
  </si>
  <si>
    <t>996156</t>
  </si>
  <si>
    <t>955123</t>
  </si>
  <si>
    <t>988063</t>
  </si>
  <si>
    <t>986536</t>
  </si>
  <si>
    <t>988157</t>
  </si>
  <si>
    <t>975015</t>
  </si>
  <si>
    <t>954085</t>
  </si>
  <si>
    <t>989236</t>
  </si>
  <si>
    <t>992087</t>
  </si>
  <si>
    <t>994110</t>
  </si>
  <si>
    <t>988895</t>
  </si>
  <si>
    <t>992171</t>
  </si>
  <si>
    <t>980055</t>
  </si>
  <si>
    <t>992025</t>
  </si>
  <si>
    <t>992315</t>
  </si>
  <si>
    <t>955092</t>
  </si>
  <si>
    <t>988374</t>
  </si>
  <si>
    <t>989280</t>
  </si>
  <si>
    <t>979040</t>
  </si>
  <si>
    <t>989197</t>
  </si>
  <si>
    <t>984008</t>
  </si>
  <si>
    <t>954245</t>
  </si>
  <si>
    <t>988166</t>
  </si>
  <si>
    <t>989345</t>
  </si>
  <si>
    <t>954251</t>
  </si>
  <si>
    <t>996142</t>
  </si>
  <si>
    <t>992203</t>
  </si>
  <si>
    <t>965014</t>
  </si>
  <si>
    <t>955120</t>
  </si>
  <si>
    <t>992020</t>
  </si>
  <si>
    <t>971082</t>
  </si>
  <si>
    <t>989338</t>
  </si>
  <si>
    <t>995287</t>
  </si>
  <si>
    <t>988314</t>
  </si>
  <si>
    <t>991101</t>
  </si>
  <si>
    <t>988169</t>
  </si>
  <si>
    <t>986387</t>
  </si>
  <si>
    <t>988194</t>
  </si>
  <si>
    <t>992175</t>
  </si>
  <si>
    <t>980165</t>
  </si>
  <si>
    <t>995220</t>
  </si>
  <si>
    <t>995180</t>
  </si>
  <si>
    <t>955126</t>
  </si>
  <si>
    <t>982140</t>
  </si>
  <si>
    <t>986488</t>
  </si>
  <si>
    <t>966126</t>
  </si>
  <si>
    <t>960022</t>
  </si>
  <si>
    <t>989098</t>
  </si>
  <si>
    <t>954082</t>
  </si>
  <si>
    <t>988782</t>
  </si>
  <si>
    <t>955061</t>
  </si>
  <si>
    <t>966077</t>
  </si>
  <si>
    <t>992360</t>
  </si>
  <si>
    <t>996145</t>
  </si>
  <si>
    <t>986091</t>
  </si>
  <si>
    <t>995219</t>
  </si>
  <si>
    <t>982226</t>
  </si>
  <si>
    <t>954221</t>
  </si>
  <si>
    <t>986522</t>
  </si>
  <si>
    <t>985009</t>
  </si>
  <si>
    <t>988817</t>
  </si>
  <si>
    <t>989102</t>
  </si>
  <si>
    <t>987006</t>
  </si>
  <si>
    <t>986436</t>
  </si>
  <si>
    <t>986399</t>
  </si>
  <si>
    <t>989172</t>
  </si>
  <si>
    <t>992783</t>
  </si>
  <si>
    <t>986166</t>
  </si>
  <si>
    <t>986289</t>
  </si>
  <si>
    <t>986169</t>
  </si>
  <si>
    <t>986008</t>
  </si>
  <si>
    <t>976095</t>
  </si>
  <si>
    <t>986543</t>
  </si>
  <si>
    <t>996188</t>
  </si>
  <si>
    <t>988259</t>
  </si>
  <si>
    <t>988345</t>
  </si>
  <si>
    <t>984074</t>
  </si>
  <si>
    <t>954178</t>
  </si>
  <si>
    <t>988432</t>
  </si>
  <si>
    <t>975007</t>
  </si>
  <si>
    <t>992263</t>
  </si>
  <si>
    <t>992078</t>
  </si>
  <si>
    <t>988413</t>
  </si>
  <si>
    <t>988053</t>
  </si>
  <si>
    <t>992794</t>
  </si>
  <si>
    <t>988491</t>
  </si>
  <si>
    <t>986566</t>
  </si>
  <si>
    <t>996197</t>
  </si>
  <si>
    <t>989016</t>
  </si>
  <si>
    <t>980069</t>
  </si>
  <si>
    <t>991080</t>
  </si>
  <si>
    <t>992357</t>
  </si>
  <si>
    <t>988805</t>
  </si>
  <si>
    <t>991069</t>
  </si>
  <si>
    <t>992270</t>
  </si>
  <si>
    <t>988481</t>
  </si>
  <si>
    <t>988763</t>
  </si>
  <si>
    <t>995230</t>
  </si>
  <si>
    <t>992148</t>
  </si>
  <si>
    <t>995055</t>
  </si>
  <si>
    <t>986584</t>
  </si>
  <si>
    <t>996270</t>
  </si>
  <si>
    <t>991179</t>
  </si>
  <si>
    <t>986291</t>
  </si>
  <si>
    <t>989029</t>
  </si>
  <si>
    <t>980078</t>
  </si>
  <si>
    <t>966158</t>
  </si>
  <si>
    <t>992617</t>
  </si>
  <si>
    <t>996143</t>
  </si>
  <si>
    <t>992077</t>
  </si>
  <si>
    <t>988045</t>
  </si>
  <si>
    <t>958015</t>
  </si>
  <si>
    <t>998034</t>
  </si>
  <si>
    <t>986558</t>
  </si>
  <si>
    <t>996278</t>
  </si>
  <si>
    <t>992431</t>
  </si>
  <si>
    <t>986308</t>
  </si>
  <si>
    <t>977029</t>
  </si>
  <si>
    <t>989162</t>
  </si>
  <si>
    <t>994088</t>
  </si>
  <si>
    <t>955180</t>
  </si>
  <si>
    <t>992288</t>
  </si>
  <si>
    <t>998104</t>
  </si>
  <si>
    <t>992116</t>
  </si>
  <si>
    <t>995323</t>
  </si>
  <si>
    <t>995281</t>
  </si>
  <si>
    <t>975026</t>
  </si>
  <si>
    <t>990055</t>
  </si>
  <si>
    <t>996280</t>
  </si>
  <si>
    <t>988600</t>
  </si>
  <si>
    <t>940099</t>
  </si>
  <si>
    <t>988860</t>
  </si>
  <si>
    <t>986461</t>
  </si>
  <si>
    <t>988581</t>
  </si>
  <si>
    <t>998126</t>
  </si>
  <si>
    <t>993051</t>
  </si>
  <si>
    <t>988428</t>
  </si>
  <si>
    <t>992086</t>
  </si>
  <si>
    <t>996015</t>
  </si>
  <si>
    <t>940030</t>
  </si>
  <si>
    <t>989323</t>
  </si>
  <si>
    <t>940006</t>
  </si>
  <si>
    <t>994091</t>
  </si>
  <si>
    <t>992245</t>
  </si>
  <si>
    <t>988647</t>
  </si>
  <si>
    <t>984041</t>
  </si>
  <si>
    <t>986446</t>
  </si>
  <si>
    <t>989168</t>
  </si>
  <si>
    <t>996114</t>
  </si>
  <si>
    <t>993087</t>
  </si>
  <si>
    <t>996155</t>
  </si>
  <si>
    <t>992477</t>
  </si>
  <si>
    <t>982160</t>
  </si>
  <si>
    <t>992726</t>
  </si>
  <si>
    <t>995223</t>
  </si>
  <si>
    <t>984104</t>
  </si>
  <si>
    <t>988190</t>
  </si>
  <si>
    <t>982065</t>
  </si>
  <si>
    <t>988648</t>
  </si>
  <si>
    <t>954268</t>
  </si>
  <si>
    <t>989006</t>
  </si>
  <si>
    <t>982075</t>
  </si>
  <si>
    <t>988886</t>
  </si>
  <si>
    <t>993095</t>
  </si>
  <si>
    <t>986495</t>
  </si>
  <si>
    <t>979043</t>
  </si>
  <si>
    <t>995186</t>
  </si>
  <si>
    <t>986082</t>
  </si>
  <si>
    <t>996064</t>
  </si>
  <si>
    <t>992724</t>
  </si>
  <si>
    <t>992313</t>
  </si>
  <si>
    <t>992269</t>
  </si>
  <si>
    <t>992569</t>
  </si>
  <si>
    <t>967005</t>
  </si>
  <si>
    <t>989178</t>
  </si>
  <si>
    <t>989171</t>
  </si>
  <si>
    <t>975133</t>
  </si>
  <si>
    <t>993118</t>
  </si>
  <si>
    <t>992272</t>
  </si>
  <si>
    <t>988078</t>
  </si>
  <si>
    <t>992586</t>
  </si>
  <si>
    <t>986132</t>
  </si>
  <si>
    <t>988407</t>
  </si>
  <si>
    <t>975164</t>
  </si>
  <si>
    <t>954242</t>
  </si>
  <si>
    <t>954252</t>
  </si>
  <si>
    <t>992403</t>
  </si>
  <si>
    <t>989005</t>
  </si>
  <si>
    <t>989184</t>
  </si>
  <si>
    <t>988213</t>
  </si>
  <si>
    <t>995159</t>
  </si>
  <si>
    <t>993124</t>
  </si>
  <si>
    <t>995293</t>
  </si>
  <si>
    <t>988103</t>
  </si>
  <si>
    <t>988446</t>
  </si>
  <si>
    <t>955068</t>
  </si>
  <si>
    <t>988079</t>
  </si>
  <si>
    <t>986535</t>
  </si>
  <si>
    <t>994035</t>
  </si>
  <si>
    <t>954088</t>
  </si>
  <si>
    <t>988875</t>
  </si>
  <si>
    <t>988699</t>
  </si>
  <si>
    <t>989192</t>
  </si>
  <si>
    <t>966125</t>
  </si>
  <si>
    <t>955186</t>
  </si>
  <si>
    <t>995008</t>
  </si>
  <si>
    <t>996111</t>
  </si>
  <si>
    <t>983116</t>
  </si>
  <si>
    <t>992411</t>
  </si>
  <si>
    <t>995007</t>
  </si>
  <si>
    <t>988064</t>
  </si>
  <si>
    <t>986540</t>
  </si>
  <si>
    <t>992643</t>
  </si>
  <si>
    <t>988614</t>
  </si>
  <si>
    <t>984063</t>
  </si>
  <si>
    <t>978012</t>
  </si>
  <si>
    <t>989193</t>
  </si>
  <si>
    <t>988218</t>
  </si>
  <si>
    <t>954040</t>
  </si>
  <si>
    <t>995010</t>
  </si>
  <si>
    <t>954108</t>
  </si>
  <si>
    <t>988032</t>
  </si>
  <si>
    <t>979007</t>
  </si>
  <si>
    <t>986150</t>
  </si>
  <si>
    <t>988753</t>
  </si>
  <si>
    <t>986588</t>
  </si>
  <si>
    <t>989050</t>
  </si>
  <si>
    <t>988271</t>
  </si>
  <si>
    <t>991064</t>
  </si>
  <si>
    <t>976050</t>
  </si>
  <si>
    <t>989187</t>
  </si>
  <si>
    <t>988803</t>
  </si>
  <si>
    <t>991140</t>
  </si>
  <si>
    <t>995011</t>
  </si>
  <si>
    <t>996144</t>
  </si>
  <si>
    <t>994019</t>
  </si>
  <si>
    <t>988372</t>
  </si>
  <si>
    <t>986173</t>
  </si>
  <si>
    <t>993132</t>
  </si>
  <si>
    <t>966204</t>
  </si>
  <si>
    <t>994038</t>
  </si>
  <si>
    <t>992206</t>
  </si>
  <si>
    <t>989100</t>
  </si>
  <si>
    <t>992749</t>
  </si>
  <si>
    <t>994032</t>
  </si>
  <si>
    <t>986389</t>
  </si>
  <si>
    <t>981006</t>
  </si>
  <si>
    <t>995020</t>
  </si>
  <si>
    <t>954131</t>
  </si>
  <si>
    <t>992285</t>
  </si>
  <si>
    <t>983059</t>
  </si>
  <si>
    <t>988462</t>
  </si>
  <si>
    <t>975012</t>
  </si>
  <si>
    <t>988907</t>
  </si>
  <si>
    <t>954160</t>
  </si>
  <si>
    <t>982068</t>
  </si>
  <si>
    <t>992281</t>
  </si>
  <si>
    <t>972070</t>
  </si>
  <si>
    <t>989191</t>
  </si>
  <si>
    <t>966010</t>
  </si>
  <si>
    <t>982120</t>
  </si>
  <si>
    <t>995021</t>
  </si>
  <si>
    <t>954132</t>
  </si>
  <si>
    <t>986237</t>
  </si>
  <si>
    <t>985063</t>
  </si>
  <si>
    <t>988129</t>
  </si>
  <si>
    <t>967014</t>
  </si>
  <si>
    <t>982072</t>
  </si>
  <si>
    <t>988175</t>
  </si>
  <si>
    <t>991015</t>
  </si>
  <si>
    <t>981069</t>
  </si>
  <si>
    <t>969002</t>
  </si>
  <si>
    <t>988780</t>
  </si>
  <si>
    <t>988244</t>
  </si>
  <si>
    <t>966190</t>
  </si>
  <si>
    <t>995025</t>
  </si>
  <si>
    <t>992588</t>
  </si>
  <si>
    <t>992008</t>
  </si>
  <si>
    <t>988729</t>
  </si>
  <si>
    <t>954289</t>
  </si>
  <si>
    <t>966157</t>
  </si>
  <si>
    <t>986511</t>
  </si>
  <si>
    <t>986604</t>
  </si>
  <si>
    <t>988267</t>
  </si>
  <si>
    <t>975108</t>
  </si>
  <si>
    <t>977037</t>
  </si>
  <si>
    <t>989010</t>
  </si>
  <si>
    <t>986107</t>
  </si>
  <si>
    <t>988940</t>
  </si>
  <si>
    <t>995066</t>
  </si>
  <si>
    <t>972031</t>
  </si>
  <si>
    <t>992514</t>
  </si>
  <si>
    <t>989021</t>
  </si>
  <si>
    <t>992291</t>
  </si>
  <si>
    <t>975078</t>
  </si>
  <si>
    <t>988145</t>
  </si>
  <si>
    <t>992509</t>
  </si>
  <si>
    <t>988611</t>
  </si>
  <si>
    <t>981050</t>
  </si>
  <si>
    <t>992774</t>
  </si>
  <si>
    <t>966013</t>
  </si>
  <si>
    <t>954042</t>
  </si>
  <si>
    <t>988953</t>
  </si>
  <si>
    <t>995101</t>
  </si>
  <si>
    <t>954130</t>
  </si>
  <si>
    <t>986045</t>
  </si>
  <si>
    <t>988043</t>
  </si>
  <si>
    <t>989058</t>
  </si>
  <si>
    <t>986608</t>
  </si>
  <si>
    <t>995009</t>
  </si>
  <si>
    <t>954161</t>
  </si>
  <si>
    <t>980211</t>
  </si>
  <si>
    <t>981103</t>
  </si>
  <si>
    <t>997004</t>
  </si>
  <si>
    <t>988901</t>
  </si>
  <si>
    <t>988220</t>
  </si>
  <si>
    <t>986012</t>
  </si>
  <si>
    <t>995109</t>
  </si>
  <si>
    <t>986275</t>
  </si>
  <si>
    <t>992584</t>
  </si>
  <si>
    <t>988982</t>
  </si>
  <si>
    <t>985048</t>
  </si>
  <si>
    <t>955142</t>
  </si>
  <si>
    <t>992202</t>
  </si>
  <si>
    <t>954287</t>
  </si>
  <si>
    <t>958030</t>
  </si>
  <si>
    <t>969013</t>
  </si>
  <si>
    <t>972068</t>
  </si>
  <si>
    <t>986486</t>
  </si>
  <si>
    <t>954049</t>
  </si>
  <si>
    <t>940056</t>
  </si>
  <si>
    <t>995197</t>
  </si>
  <si>
    <t>986563</t>
  </si>
  <si>
    <t>992321</t>
  </si>
  <si>
    <t>996069</t>
  </si>
  <si>
    <t>940074</t>
  </si>
  <si>
    <t>984032</t>
  </si>
  <si>
    <t>966064</t>
  </si>
  <si>
    <t>954023</t>
  </si>
  <si>
    <t>984122</t>
  </si>
  <si>
    <t>992184</t>
  </si>
  <si>
    <t>988991</t>
  </si>
  <si>
    <t>989076</t>
  </si>
  <si>
    <t>980012</t>
  </si>
  <si>
    <t>971083</t>
  </si>
  <si>
    <t>995204</t>
  </si>
  <si>
    <t>986139</t>
  </si>
  <si>
    <t>988427</t>
  </si>
  <si>
    <t>992632</t>
  </si>
  <si>
    <t>992812</t>
  </si>
  <si>
    <t>976037</t>
  </si>
  <si>
    <t>996194</t>
  </si>
  <si>
    <t>986552</t>
  </si>
  <si>
    <t>985085</t>
  </si>
  <si>
    <t>982256</t>
  </si>
  <si>
    <t>989274</t>
  </si>
  <si>
    <t>986443</t>
  </si>
  <si>
    <t>988240</t>
  </si>
  <si>
    <t>985052</t>
  </si>
  <si>
    <t>995212</t>
  </si>
  <si>
    <t>954064</t>
  </si>
  <si>
    <t>988758</t>
  </si>
  <si>
    <t>986176</t>
  </si>
  <si>
    <t>985072</t>
  </si>
  <si>
    <t>976067</t>
  </si>
  <si>
    <t>992470</t>
  </si>
  <si>
    <t>954027</t>
  </si>
  <si>
    <t>978065</t>
  </si>
  <si>
    <t>955064</t>
  </si>
  <si>
    <t>993086</t>
  </si>
  <si>
    <t>996294</t>
  </si>
  <si>
    <t>988809</t>
  </si>
  <si>
    <t>940013</t>
  </si>
  <si>
    <t>995225</t>
  </si>
  <si>
    <t>954133</t>
  </si>
  <si>
    <t>954280</t>
  </si>
  <si>
    <t>982164</t>
  </si>
  <si>
    <t>988419</t>
  </si>
  <si>
    <t>992725</t>
  </si>
  <si>
    <t>986526</t>
  </si>
  <si>
    <t>992134</t>
  </si>
  <si>
    <t>974003</t>
  </si>
  <si>
    <t>954012</t>
  </si>
  <si>
    <t>969003</t>
  </si>
  <si>
    <t>966108</t>
  </si>
  <si>
    <t>966140</t>
  </si>
  <si>
    <t>966189</t>
  </si>
  <si>
    <t>995229</t>
  </si>
  <si>
    <t>954162</t>
  </si>
  <si>
    <t>988410</t>
  </si>
  <si>
    <t>960038</t>
  </si>
  <si>
    <t>995262</t>
  </si>
  <si>
    <t>954053</t>
  </si>
  <si>
    <t>992151</t>
  </si>
  <si>
    <t>992179</t>
  </si>
  <si>
    <t>995100</t>
  </si>
  <si>
    <t>992021</t>
  </si>
  <si>
    <t>955160</t>
  </si>
  <si>
    <t>996181</t>
  </si>
  <si>
    <t>971057</t>
  </si>
  <si>
    <t>956021</t>
  </si>
  <si>
    <t>995232</t>
  </si>
  <si>
    <t>992160</t>
  </si>
  <si>
    <t>982128</t>
  </si>
  <si>
    <t>988403</t>
  </si>
  <si>
    <t>996078</t>
  </si>
  <si>
    <t>955075</t>
  </si>
  <si>
    <t>986546</t>
  </si>
  <si>
    <t>992624</t>
  </si>
  <si>
    <t>995158</t>
  </si>
  <si>
    <t>979055</t>
  </si>
  <si>
    <t>992056</t>
  </si>
  <si>
    <t>993060</t>
  </si>
  <si>
    <t>982076</t>
  </si>
  <si>
    <t>982117</t>
  </si>
  <si>
    <t>995234</t>
  </si>
  <si>
    <t>982099</t>
  </si>
  <si>
    <t>988440</t>
  </si>
  <si>
    <t>988904</t>
  </si>
  <si>
    <t>982156</t>
  </si>
  <si>
    <t>955147</t>
  </si>
  <si>
    <t>993031</t>
  </si>
  <si>
    <t>986246</t>
  </si>
  <si>
    <t>955150</t>
  </si>
  <si>
    <t>992317</t>
  </si>
  <si>
    <t>992463</t>
  </si>
  <si>
    <t>989183</t>
  </si>
  <si>
    <t>986420</t>
  </si>
  <si>
    <t>986051</t>
  </si>
  <si>
    <t>995236</t>
  </si>
  <si>
    <t>982100</t>
  </si>
  <si>
    <t>988445</t>
  </si>
  <si>
    <t>995314</t>
  </si>
  <si>
    <t>985030</t>
  </si>
  <si>
    <t>986530</t>
  </si>
  <si>
    <t>993032</t>
  </si>
  <si>
    <t>954026</t>
  </si>
  <si>
    <t>955047</t>
  </si>
  <si>
    <t>988319</t>
  </si>
  <si>
    <t>972074</t>
  </si>
  <si>
    <t>986459</t>
  </si>
  <si>
    <t>988916</t>
  </si>
  <si>
    <t>992659</t>
  </si>
  <si>
    <t>995325</t>
  </si>
  <si>
    <t>982101</t>
  </si>
  <si>
    <t>982129</t>
  </si>
  <si>
    <t>996032</t>
  </si>
  <si>
    <t>988119</t>
  </si>
  <si>
    <t>982208</t>
  </si>
  <si>
    <t>986508</t>
  </si>
  <si>
    <t>993023</t>
  </si>
  <si>
    <t>955149</t>
  </si>
  <si>
    <t>992093</t>
  </si>
  <si>
    <t>975169</t>
  </si>
  <si>
    <t>986469</t>
  </si>
  <si>
    <t>988243</t>
  </si>
  <si>
    <t>992300</t>
  </si>
  <si>
    <t>996013</t>
  </si>
  <si>
    <t>992436</t>
  </si>
  <si>
    <t>977018</t>
  </si>
  <si>
    <t>988434</t>
  </si>
  <si>
    <t>988128</t>
  </si>
  <si>
    <t>940083</t>
  </si>
  <si>
    <t>986554</t>
  </si>
  <si>
    <t>986250</t>
  </si>
  <si>
    <t>955154</t>
  </si>
  <si>
    <t>992583</t>
  </si>
  <si>
    <t>984006</t>
  </si>
  <si>
    <t>992703</t>
  </si>
  <si>
    <t>986390</t>
  </si>
  <si>
    <t>988241</t>
  </si>
  <si>
    <t>996019</t>
  </si>
  <si>
    <t>992223</t>
  </si>
  <si>
    <t>992121</t>
  </si>
  <si>
    <t>991173</t>
  </si>
  <si>
    <t>988354</t>
  </si>
  <si>
    <t>985076</t>
  </si>
  <si>
    <t>986555</t>
  </si>
  <si>
    <t>956029</t>
  </si>
  <si>
    <t>955152</t>
  </si>
  <si>
    <t>993109</t>
  </si>
  <si>
    <t>990062</t>
  </si>
  <si>
    <t>992283</t>
  </si>
  <si>
    <t>991093</t>
  </si>
  <si>
    <t>994068</t>
  </si>
  <si>
    <t>996021</t>
  </si>
  <si>
    <t>992293</t>
  </si>
  <si>
    <t>988067</t>
  </si>
  <si>
    <t>975013</t>
  </si>
  <si>
    <t>995151</t>
  </si>
  <si>
    <t>996083</t>
  </si>
  <si>
    <t>988156</t>
  </si>
  <si>
    <t>993020</t>
  </si>
  <si>
    <t>955007</t>
  </si>
  <si>
    <t>992548</t>
  </si>
  <si>
    <t>982268</t>
  </si>
  <si>
    <t>981062</t>
  </si>
  <si>
    <t>975092</t>
  </si>
  <si>
    <t>982121</t>
  </si>
  <si>
    <t>996022</t>
  </si>
  <si>
    <t>998122</t>
  </si>
  <si>
    <t>986273</t>
  </si>
  <si>
    <t>975022</t>
  </si>
  <si>
    <t>996096</t>
  </si>
  <si>
    <t>986163</t>
  </si>
  <si>
    <t>980172</t>
  </si>
  <si>
    <t>954266</t>
  </si>
  <si>
    <t>955191</t>
  </si>
  <si>
    <t>988818</t>
  </si>
  <si>
    <t>992786</t>
  </si>
  <si>
    <t>980185</t>
  </si>
  <si>
    <t>989349</t>
  </si>
  <si>
    <t>990029</t>
  </si>
  <si>
    <t>996023</t>
  </si>
  <si>
    <t>975178</t>
  </si>
  <si>
    <t>995102</t>
  </si>
  <si>
    <t>989143</t>
  </si>
  <si>
    <t>988459</t>
  </si>
  <si>
    <t>992580</t>
  </si>
  <si>
    <t>988717</t>
  </si>
  <si>
    <t>989064</t>
  </si>
  <si>
    <t>955099</t>
  </si>
  <si>
    <t>940093</t>
  </si>
  <si>
    <t>993085</t>
  </si>
  <si>
    <t>980099</t>
  </si>
  <si>
    <t>998032</t>
  </si>
  <si>
    <t>956017</t>
  </si>
  <si>
    <t>996026</t>
  </si>
  <si>
    <t>954181</t>
  </si>
  <si>
    <t>989028</t>
  </si>
  <si>
    <t>995018</t>
  </si>
  <si>
    <t>988509</t>
  </si>
  <si>
    <t>982205</t>
  </si>
  <si>
    <t>986512</t>
  </si>
  <si>
    <t>991130</t>
  </si>
  <si>
    <t>955203</t>
  </si>
  <si>
    <t>982079</t>
  </si>
  <si>
    <t>992723</t>
  </si>
  <si>
    <t>989182</t>
  </si>
  <si>
    <t>998177</t>
  </si>
  <si>
    <t>996151</t>
  </si>
  <si>
    <t>996072</t>
  </si>
  <si>
    <t>988099</t>
  </si>
  <si>
    <t>986217</t>
  </si>
  <si>
    <t>982163</t>
  </si>
  <si>
    <t>986078</t>
  </si>
  <si>
    <t>984002</t>
  </si>
  <si>
    <t>992483</t>
  </si>
  <si>
    <t>982196</t>
  </si>
  <si>
    <t>955044</t>
  </si>
  <si>
    <t>988845</t>
  </si>
  <si>
    <t>967036</t>
  </si>
  <si>
    <t>954243</t>
  </si>
  <si>
    <t>981076</t>
  </si>
  <si>
    <t>994060</t>
  </si>
  <si>
    <t>996147</t>
  </si>
  <si>
    <t>955077</t>
  </si>
  <si>
    <t>992227</t>
  </si>
  <si>
    <t>995146</t>
  </si>
  <si>
    <t>992010</t>
  </si>
  <si>
    <t>988471</t>
  </si>
  <si>
    <t>988515</t>
  </si>
  <si>
    <t>990042</t>
  </si>
  <si>
    <t>955195</t>
  </si>
  <si>
    <t>982078</t>
  </si>
  <si>
    <t>992784</t>
  </si>
  <si>
    <t>986483</t>
  </si>
  <si>
    <t>975134</t>
  </si>
  <si>
    <t>992699</t>
  </si>
  <si>
    <t>996166</t>
  </si>
  <si>
    <t>954114</t>
  </si>
  <si>
    <t>986106</t>
  </si>
  <si>
    <t>992796</t>
  </si>
  <si>
    <t>992012</t>
  </si>
  <si>
    <t>954155</t>
  </si>
  <si>
    <t>979014</t>
  </si>
  <si>
    <t>982195</t>
  </si>
  <si>
    <t>955041</t>
  </si>
  <si>
    <t>988708</t>
  </si>
  <si>
    <t>984111</t>
  </si>
  <si>
    <t>996299</t>
  </si>
  <si>
    <t>992571</t>
  </si>
  <si>
    <t>986391</t>
  </si>
  <si>
    <t>996385</t>
  </si>
  <si>
    <t>955117</t>
  </si>
  <si>
    <t>990028</t>
  </si>
  <si>
    <t>982162</t>
  </si>
  <si>
    <t>992045</t>
  </si>
  <si>
    <t>996148</t>
  </si>
  <si>
    <t>992034</t>
  </si>
  <si>
    <t>992439</t>
  </si>
  <si>
    <t>955207</t>
  </si>
  <si>
    <t>992264</t>
  </si>
  <si>
    <t>981023</t>
  </si>
  <si>
    <t>996202</t>
  </si>
  <si>
    <t>988215</t>
  </si>
  <si>
    <t>988795</t>
  </si>
  <si>
    <t>996401</t>
  </si>
  <si>
    <t>995291</t>
  </si>
  <si>
    <t>986220</t>
  </si>
  <si>
    <t>992498</t>
  </si>
  <si>
    <t>992143</t>
  </si>
  <si>
    <t>986221</t>
  </si>
  <si>
    <t>986509</t>
  </si>
  <si>
    <t>996198</t>
  </si>
  <si>
    <t>955082</t>
  </si>
  <si>
    <t>992547</t>
  </si>
  <si>
    <t>986362</t>
  </si>
  <si>
    <t>979033</t>
  </si>
  <si>
    <t>966212</t>
  </si>
  <si>
    <t>988564</t>
  </si>
  <si>
    <t>996402</t>
  </si>
  <si>
    <t>972072</t>
  </si>
  <si>
    <t>988713</t>
  </si>
  <si>
    <t>992210</t>
  </si>
  <si>
    <t>992058</t>
  </si>
  <si>
    <t>992572</t>
  </si>
  <si>
    <t>992033</t>
  </si>
  <si>
    <t>988141</t>
  </si>
  <si>
    <t>978046</t>
  </si>
  <si>
    <t>979017</t>
  </si>
  <si>
    <t>994025</t>
  </si>
  <si>
    <t>996293</t>
  </si>
  <si>
    <t>981054</t>
  </si>
  <si>
    <t>966059</t>
  </si>
  <si>
    <t>998040</t>
  </si>
  <si>
    <t>972076</t>
  </si>
  <si>
    <t>995185</t>
  </si>
  <si>
    <t>960012</t>
  </si>
  <si>
    <t>966118</t>
  </si>
  <si>
    <t>988387</t>
  </si>
  <si>
    <t>954039</t>
  </si>
  <si>
    <t>988181</t>
  </si>
  <si>
    <t>984019</t>
  </si>
  <si>
    <t>992241</t>
  </si>
  <si>
    <t>990012</t>
  </si>
  <si>
    <t>986433</t>
  </si>
  <si>
    <t>975035</t>
  </si>
  <si>
    <t>954169</t>
  </si>
  <si>
    <t>998068</t>
  </si>
  <si>
    <t>967041</t>
  </si>
  <si>
    <t>972060</t>
  </si>
  <si>
    <t>992488</t>
  </si>
  <si>
    <t>994018</t>
  </si>
  <si>
    <t>996146</t>
  </si>
  <si>
    <t>989065</t>
  </si>
  <si>
    <t>988526</t>
  </si>
  <si>
    <t>984069</t>
  </si>
  <si>
    <t>940052</t>
  </si>
  <si>
    <t>988341</t>
  </si>
  <si>
    <t>988167</t>
  </si>
  <si>
    <t>975046</t>
  </si>
  <si>
    <t>994084</t>
  </si>
  <si>
    <t>998164</t>
  </si>
  <si>
    <t>940054</t>
  </si>
  <si>
    <t>972020</t>
  </si>
  <si>
    <t>975060</t>
  </si>
  <si>
    <t>991072</t>
  </si>
  <si>
    <t>982206</t>
  </si>
  <si>
    <t>986545</t>
  </si>
  <si>
    <t>975072</t>
  </si>
  <si>
    <t>984082</t>
  </si>
  <si>
    <t>992252</t>
  </si>
  <si>
    <t>990070</t>
  </si>
  <si>
    <t>988173</t>
  </si>
  <si>
    <t>992238</t>
  </si>
  <si>
    <t>986011</t>
  </si>
  <si>
    <t>954004</t>
  </si>
  <si>
    <t>992788</t>
  </si>
  <si>
    <t>982272</t>
  </si>
  <si>
    <t>980085</t>
  </si>
  <si>
    <t>989227</t>
  </si>
  <si>
    <t>994016</t>
  </si>
  <si>
    <t>987003</t>
  </si>
  <si>
    <t>996408</t>
  </si>
  <si>
    <t>996256</t>
  </si>
  <si>
    <t>988348</t>
  </si>
  <si>
    <t>996186</t>
  </si>
  <si>
    <t>990027</t>
  </si>
  <si>
    <t>998063</t>
  </si>
  <si>
    <t>954013</t>
  </si>
  <si>
    <t>984051</t>
  </si>
  <si>
    <t>959063</t>
  </si>
  <si>
    <t>984022</t>
  </si>
  <si>
    <t>992158</t>
  </si>
  <si>
    <t>954171</t>
  </si>
  <si>
    <t>986510</t>
  </si>
  <si>
    <t>987008</t>
  </si>
  <si>
    <t>984117</t>
  </si>
  <si>
    <t>982089</t>
  </si>
  <si>
    <t>982145</t>
  </si>
  <si>
    <t>996311</t>
  </si>
  <si>
    <t>985010</t>
  </si>
  <si>
    <t>994097</t>
  </si>
  <si>
    <t>953020</t>
  </si>
  <si>
    <t>986014</t>
  </si>
  <si>
    <t>962011</t>
  </si>
  <si>
    <t>988774</t>
  </si>
  <si>
    <t>988728</t>
  </si>
  <si>
    <t>988926</t>
  </si>
  <si>
    <t>998058</t>
  </si>
  <si>
    <t>986541</t>
  </si>
  <si>
    <t>988938</t>
  </si>
  <si>
    <t>982088</t>
  </si>
  <si>
    <t>994065</t>
  </si>
  <si>
    <t>986432</t>
  </si>
  <si>
    <t>982056</t>
  </si>
  <si>
    <t>982113</t>
  </si>
  <si>
    <t>953021</t>
  </si>
  <si>
    <t>992540</t>
  </si>
  <si>
    <t>963005</t>
  </si>
  <si>
    <t>991181</t>
  </si>
  <si>
    <t>988740</t>
  </si>
  <si>
    <t>992037</t>
  </si>
  <si>
    <t>983062</t>
  </si>
  <si>
    <t>954063</t>
  </si>
  <si>
    <t>992666</t>
  </si>
  <si>
    <t>992023</t>
  </si>
  <si>
    <t>994067</t>
  </si>
  <si>
    <t>985011</t>
  </si>
  <si>
    <t>982055</t>
  </si>
  <si>
    <t>986049</t>
  </si>
  <si>
    <t>953025</t>
  </si>
  <si>
    <t>988715</t>
  </si>
  <si>
    <t>966051</t>
  </si>
  <si>
    <t>960045</t>
  </si>
  <si>
    <t>988455</t>
  </si>
  <si>
    <t>986489</t>
  </si>
  <si>
    <t>992322</t>
  </si>
  <si>
    <t>989226</t>
  </si>
  <si>
    <t>978030</t>
  </si>
  <si>
    <t>992690</t>
  </si>
  <si>
    <t>992190</t>
  </si>
  <si>
    <t>989011</t>
  </si>
  <si>
    <t>956011</t>
  </si>
  <si>
    <t>986404</t>
  </si>
  <si>
    <t>953028</t>
  </si>
  <si>
    <t>980015</t>
  </si>
  <si>
    <t>985089</t>
  </si>
  <si>
    <t>972030</t>
  </si>
  <si>
    <t>991098</t>
  </si>
  <si>
    <t>988412</t>
  </si>
  <si>
    <t>989244</t>
  </si>
  <si>
    <t>996264</t>
  </si>
  <si>
    <t>955222</t>
  </si>
  <si>
    <t>988865</t>
  </si>
  <si>
    <t>992219</t>
  </si>
  <si>
    <t>989180</t>
  </si>
  <si>
    <t>996176</t>
  </si>
  <si>
    <t>980043</t>
  </si>
  <si>
    <t>972087</t>
  </si>
  <si>
    <t>988478</t>
  </si>
  <si>
    <t>992824</t>
  </si>
  <si>
    <t>972009</t>
  </si>
  <si>
    <t>992638</t>
  </si>
  <si>
    <t>992489</t>
  </si>
  <si>
    <t>975194</t>
  </si>
  <si>
    <t>998105</t>
  </si>
  <si>
    <t>981100</t>
  </si>
  <si>
    <t>988883</t>
  </si>
  <si>
    <t>992797</t>
  </si>
  <si>
    <t>995074</t>
  </si>
  <si>
    <t>982057</t>
  </si>
  <si>
    <t>982116</t>
  </si>
  <si>
    <t>940116</t>
  </si>
  <si>
    <t>981001</t>
  </si>
  <si>
    <t>992822</t>
  </si>
  <si>
    <t>972041</t>
  </si>
  <si>
    <t>992007</t>
  </si>
  <si>
    <t>988408</t>
  </si>
  <si>
    <t>986518</t>
  </si>
  <si>
    <t>994033</t>
  </si>
  <si>
    <t>940033</t>
  </si>
  <si>
    <t>954248</t>
  </si>
  <si>
    <t>954047</t>
  </si>
  <si>
    <t>998132</t>
  </si>
  <si>
    <t>988804</t>
  </si>
  <si>
    <t>966206</t>
  </si>
  <si>
    <t>992670</t>
  </si>
  <si>
    <t>954200</t>
  </si>
  <si>
    <t>995111</t>
  </si>
  <si>
    <t>989048</t>
  </si>
  <si>
    <t>993131</t>
  </si>
  <si>
    <t>976044</t>
  </si>
  <si>
    <t>991059</t>
  </si>
  <si>
    <t>991115</t>
  </si>
  <si>
    <t>992274</t>
  </si>
  <si>
    <t>988914</t>
  </si>
  <si>
    <t>983063</t>
  </si>
  <si>
    <t>992296</t>
  </si>
  <si>
    <t>988582</t>
  </si>
  <si>
    <t>995334</t>
  </si>
  <si>
    <t>992271</t>
  </si>
  <si>
    <t>989209</t>
  </si>
  <si>
    <t>995120</t>
  </si>
  <si>
    <t>982207</t>
  </si>
  <si>
    <t>986586</t>
  </si>
  <si>
    <t>954290</t>
  </si>
  <si>
    <t>978051</t>
  </si>
  <si>
    <t>992092</t>
  </si>
  <si>
    <t>993071</t>
  </si>
  <si>
    <t>986507</t>
  </si>
  <si>
    <t>954048</t>
  </si>
  <si>
    <t>988802</t>
  </si>
  <si>
    <t>982147</t>
  </si>
  <si>
    <t>982271</t>
  </si>
  <si>
    <t>988127</t>
  </si>
  <si>
    <t>992735</t>
  </si>
  <si>
    <t>980118</t>
  </si>
  <si>
    <t>975002</t>
  </si>
  <si>
    <t>967019</t>
  </si>
  <si>
    <t>982175</t>
  </si>
  <si>
    <t>988853</t>
  </si>
  <si>
    <t>995156</t>
  </si>
  <si>
    <t>994081</t>
  </si>
  <si>
    <t>966106</t>
  </si>
  <si>
    <t>982148</t>
  </si>
  <si>
    <t>990018</t>
  </si>
  <si>
    <t>981021</t>
  </si>
  <si>
    <t>986223</t>
  </si>
  <si>
    <t>988139</t>
  </si>
  <si>
    <t>988182</t>
  </si>
  <si>
    <t>978054</t>
  </si>
  <si>
    <t>955188</t>
  </si>
  <si>
    <t>992581</t>
  </si>
  <si>
    <t>967010</t>
  </si>
  <si>
    <t>996057</t>
  </si>
  <si>
    <t>993044</t>
  </si>
  <si>
    <t>986520</t>
  </si>
  <si>
    <t>986396</t>
  </si>
  <si>
    <t>992164</t>
  </si>
  <si>
    <t>954149</t>
  </si>
  <si>
    <t>992161</t>
  </si>
  <si>
    <t>988532</t>
  </si>
  <si>
    <t>972078</t>
  </si>
  <si>
    <t>992764</t>
  </si>
  <si>
    <t>988670</t>
  </si>
  <si>
    <t>998110</t>
  </si>
  <si>
    <t>982077</t>
  </si>
  <si>
    <t>980151</t>
  </si>
  <si>
    <t>989132</t>
  </si>
  <si>
    <t>980136</t>
  </si>
  <si>
    <t>996103</t>
  </si>
  <si>
    <t>978076</t>
  </si>
  <si>
    <t>992371</t>
  </si>
  <si>
    <t>954032</t>
  </si>
  <si>
    <t>990021</t>
  </si>
  <si>
    <t>992048</t>
  </si>
  <si>
    <t>954192</t>
  </si>
  <si>
    <t>981039</t>
  </si>
  <si>
    <t>988919</t>
  </si>
  <si>
    <t>986407</t>
  </si>
  <si>
    <t>989137</t>
  </si>
  <si>
    <t>955066</t>
  </si>
  <si>
    <t>954120</t>
  </si>
  <si>
    <t>982224</t>
  </si>
  <si>
    <t>966101</t>
  </si>
  <si>
    <t>954069</t>
  </si>
  <si>
    <t>993080</t>
  </si>
  <si>
    <t>992052</t>
  </si>
  <si>
    <t>988872</t>
  </si>
  <si>
    <t>994037</t>
  </si>
  <si>
    <t>998111</t>
  </si>
  <si>
    <t>986405</t>
  </si>
  <si>
    <t>989140</t>
  </si>
  <si>
    <t>986170</t>
  </si>
  <si>
    <t>988730</t>
  </si>
  <si>
    <t>992554</t>
  </si>
  <si>
    <t>955097</t>
  </si>
  <si>
    <t>981035</t>
  </si>
  <si>
    <t>978067</t>
  </si>
  <si>
    <t>968007</t>
  </si>
  <si>
    <t>978014</t>
  </si>
  <si>
    <t>997009</t>
  </si>
  <si>
    <t>990067</t>
  </si>
  <si>
    <t>988198</t>
  </si>
  <si>
    <t>982146</t>
  </si>
  <si>
    <t>974007</t>
  </si>
  <si>
    <t>988359</t>
  </si>
  <si>
    <t>955101</t>
  </si>
  <si>
    <t>988778</t>
  </si>
  <si>
    <t>981029</t>
  </si>
  <si>
    <t>940022</t>
  </si>
  <si>
    <t>980199</t>
  </si>
  <si>
    <t>982143</t>
  </si>
  <si>
    <t>980142</t>
  </si>
  <si>
    <t>955181</t>
  </si>
  <si>
    <t>966135</t>
  </si>
  <si>
    <t>992527</t>
  </si>
  <si>
    <t>988362</t>
  </si>
  <si>
    <t>975090</t>
  </si>
  <si>
    <t>993123</t>
  </si>
  <si>
    <t>968006</t>
  </si>
  <si>
    <t>954212</t>
  </si>
  <si>
    <t>989277</t>
  </si>
  <si>
    <t>940039</t>
  </si>
  <si>
    <t>988710</t>
  </si>
  <si>
    <t>986465</t>
  </si>
  <si>
    <t>988894</t>
  </si>
  <si>
    <t>975044</t>
  </si>
  <si>
    <t>988102</t>
  </si>
  <si>
    <t>986165</t>
  </si>
  <si>
    <t>989158</t>
  </si>
  <si>
    <t>998120</t>
  </si>
  <si>
    <t>986528</t>
  </si>
  <si>
    <t>988788</t>
  </si>
  <si>
    <t>989281</t>
  </si>
  <si>
    <t>940037</t>
  </si>
  <si>
    <t>988342</t>
  </si>
  <si>
    <t>986466</t>
  </si>
  <si>
    <t>988796</t>
  </si>
  <si>
    <t>992216</t>
  </si>
  <si>
    <t>995036</t>
  </si>
  <si>
    <t>976097</t>
  </si>
  <si>
    <t>992686</t>
  </si>
  <si>
    <t>984109</t>
  </si>
  <si>
    <t>986529</t>
  </si>
  <si>
    <t>998190</t>
  </si>
  <si>
    <t>989282</t>
  </si>
  <si>
    <t>992755</t>
  </si>
  <si>
    <t>988299</t>
  </si>
  <si>
    <t>986467</t>
  </si>
  <si>
    <t>994061</t>
  </si>
  <si>
    <t>979023</t>
  </si>
  <si>
    <t>988754</t>
  </si>
  <si>
    <t>976098</t>
  </si>
  <si>
    <t>992809</t>
  </si>
  <si>
    <t>978048</t>
  </si>
  <si>
    <t>986531</t>
  </si>
  <si>
    <t>989242</t>
  </si>
  <si>
    <t>989283</t>
  </si>
  <si>
    <t>982177</t>
  </si>
  <si>
    <t>980010</t>
  </si>
  <si>
    <t>988912</t>
  </si>
  <si>
    <t>994100</t>
  </si>
  <si>
    <t>994080</t>
  </si>
  <si>
    <t>992351</t>
  </si>
  <si>
    <t>992197</t>
  </si>
  <si>
    <t>989014</t>
  </si>
  <si>
    <t>992233</t>
  </si>
  <si>
    <t>972064</t>
  </si>
  <si>
    <t>989284</t>
  </si>
  <si>
    <t>978028</t>
  </si>
  <si>
    <t>980089</t>
  </si>
  <si>
    <t>996304</t>
  </si>
  <si>
    <t>986388</t>
  </si>
  <si>
    <t>966021</t>
  </si>
  <si>
    <t>996158</t>
  </si>
  <si>
    <t>984057</t>
  </si>
  <si>
    <t>986054</t>
  </si>
  <si>
    <t>989305</t>
  </si>
  <si>
    <t>986524</t>
  </si>
  <si>
    <t>985087</t>
  </si>
  <si>
    <t>989294</t>
  </si>
  <si>
    <t>986309</t>
  </si>
  <si>
    <t>976065</t>
  </si>
  <si>
    <t>995327</t>
  </si>
  <si>
    <t>986402</t>
  </si>
  <si>
    <t>986050</t>
  </si>
  <si>
    <t>967017</t>
  </si>
  <si>
    <t>989344</t>
  </si>
  <si>
    <t>986144</t>
  </si>
  <si>
    <t>976029</t>
  </si>
  <si>
    <t>982061</t>
  </si>
  <si>
    <t>985084</t>
  </si>
  <si>
    <t>989295</t>
  </si>
  <si>
    <t>954084</t>
  </si>
  <si>
    <t>980132</t>
  </si>
  <si>
    <t>996309</t>
  </si>
  <si>
    <t>982232</t>
  </si>
  <si>
    <t>986053</t>
  </si>
  <si>
    <t>977017</t>
  </si>
  <si>
    <t>988775</t>
  </si>
  <si>
    <t>986188</t>
  </si>
  <si>
    <t>984024</t>
  </si>
  <si>
    <t>986547</t>
  </si>
  <si>
    <t>991184</t>
  </si>
  <si>
    <t>989301</t>
  </si>
  <si>
    <t>988686</t>
  </si>
  <si>
    <t>986030</t>
  </si>
  <si>
    <t>989002</t>
  </si>
  <si>
    <t>986394</t>
  </si>
  <si>
    <t>954196</t>
  </si>
  <si>
    <t>992046</t>
  </si>
  <si>
    <t>992163</t>
  </si>
  <si>
    <t>995028</t>
  </si>
  <si>
    <t>955104</t>
  </si>
  <si>
    <t>988143</t>
  </si>
  <si>
    <t>976032</t>
  </si>
  <si>
    <t>992044</t>
  </si>
  <si>
    <t>965011</t>
  </si>
  <si>
    <t>988844</t>
  </si>
  <si>
    <t>954209</t>
  </si>
  <si>
    <t>982138</t>
  </si>
  <si>
    <t>966097</t>
  </si>
  <si>
    <t>988529</t>
  </si>
  <si>
    <t>986244</t>
  </si>
  <si>
    <t>995052</t>
  </si>
  <si>
    <t>958024</t>
  </si>
  <si>
    <t>989189</t>
  </si>
  <si>
    <t>963003</t>
  </si>
  <si>
    <t>986358</t>
  </si>
  <si>
    <t>988646</t>
  </si>
  <si>
    <t>954061</t>
  </si>
  <si>
    <t>954210</t>
  </si>
  <si>
    <t>955059</t>
  </si>
  <si>
    <t>986020</t>
  </si>
  <si>
    <t>977019</t>
  </si>
  <si>
    <t>989220</t>
  </si>
  <si>
    <t>992030</t>
  </si>
  <si>
    <t>998018</t>
  </si>
  <si>
    <t>993135</t>
  </si>
  <si>
    <t>972032</t>
  </si>
  <si>
    <t>988266</t>
  </si>
  <si>
    <t>992738</t>
  </si>
  <si>
    <t>992221</t>
  </si>
  <si>
    <t>986460</t>
  </si>
  <si>
    <t>966149</t>
  </si>
  <si>
    <t>988239</t>
  </si>
  <si>
    <t>992361</t>
  </si>
  <si>
    <t>995106</t>
  </si>
  <si>
    <t>998124</t>
  </si>
  <si>
    <t>955144</t>
  </si>
  <si>
    <t>988464</t>
  </si>
  <si>
    <t>972044</t>
  </si>
  <si>
    <t>988274</t>
  </si>
  <si>
    <t>978015</t>
  </si>
  <si>
    <t>988442</t>
  </si>
  <si>
    <t>986463</t>
  </si>
  <si>
    <t>994063</t>
  </si>
  <si>
    <t>988250</t>
  </si>
  <si>
    <t>988750</t>
  </si>
  <si>
    <t>989324</t>
  </si>
  <si>
    <t>986159</t>
  </si>
  <si>
    <t>992769</t>
  </si>
  <si>
    <t>982062</t>
  </si>
  <si>
    <t>986497</t>
  </si>
  <si>
    <t>966048</t>
  </si>
  <si>
    <t>965013</t>
  </si>
  <si>
    <t>996261</t>
  </si>
  <si>
    <t>986553</t>
  </si>
  <si>
    <t>986385</t>
  </si>
  <si>
    <t>966132</t>
  </si>
  <si>
    <t>993040</t>
  </si>
  <si>
    <t>960040</t>
  </si>
  <si>
    <t>988494</t>
  </si>
  <si>
    <t>992574</t>
  </si>
  <si>
    <t>988974</t>
  </si>
  <si>
    <t>988150</t>
  </si>
  <si>
    <t>966061</t>
  </si>
  <si>
    <t>992199</t>
  </si>
  <si>
    <t>996272</t>
  </si>
  <si>
    <t>976078</t>
  </si>
  <si>
    <t>992185</t>
  </si>
  <si>
    <t>975045</t>
  </si>
  <si>
    <t>998014</t>
  </si>
  <si>
    <t>954207</t>
  </si>
  <si>
    <t>992146</t>
  </si>
  <si>
    <t>992090</t>
  </si>
  <si>
    <t>954235</t>
  </si>
  <si>
    <t>994047</t>
  </si>
  <si>
    <t>966120</t>
  </si>
  <si>
    <t>986334</t>
  </si>
  <si>
    <t>986354</t>
  </si>
  <si>
    <t>986473</t>
  </si>
  <si>
    <t>955062</t>
  </si>
  <si>
    <t>989200</t>
  </si>
  <si>
    <t>966019</t>
  </si>
  <si>
    <t>996093</t>
  </si>
  <si>
    <t>992578</t>
  </si>
  <si>
    <t>954107</t>
  </si>
  <si>
    <t>989195</t>
  </si>
  <si>
    <t>994048</t>
  </si>
  <si>
    <t>966183</t>
  </si>
  <si>
    <t>984021</t>
  </si>
  <si>
    <t>991035</t>
  </si>
  <si>
    <t>982166</t>
  </si>
  <si>
    <t>986384</t>
  </si>
  <si>
    <t>982118</t>
  </si>
  <si>
    <t>991111</t>
  </si>
  <si>
    <t>988116</t>
  </si>
  <si>
    <t>986031</t>
  </si>
  <si>
    <t>995255</t>
  </si>
  <si>
    <t>992393</t>
  </si>
  <si>
    <t>992246</t>
  </si>
  <si>
    <t>966209</t>
  </si>
  <si>
    <t>988843</t>
  </si>
  <si>
    <t>996268</t>
  </si>
  <si>
    <t>982165</t>
  </si>
  <si>
    <t>982174</t>
  </si>
  <si>
    <t>988223</t>
  </si>
  <si>
    <t>989142</t>
  </si>
  <si>
    <t>988493</t>
  </si>
  <si>
    <t>988498</t>
  </si>
  <si>
    <t>967018</t>
  </si>
  <si>
    <t>988160</t>
  </si>
  <si>
    <t>980049</t>
  </si>
  <si>
    <t>989233</t>
  </si>
  <si>
    <t>980121</t>
  </si>
  <si>
    <t>956004</t>
  </si>
  <si>
    <t>982263</t>
  </si>
  <si>
    <t>998199</t>
  </si>
  <si>
    <t>988585</t>
  </si>
  <si>
    <t>992280</t>
  </si>
  <si>
    <t>986240</t>
  </si>
  <si>
    <t>954215</t>
  </si>
  <si>
    <t>986228</t>
  </si>
  <si>
    <t>954090</t>
  </si>
  <si>
    <t>975025</t>
  </si>
  <si>
    <t>996128</t>
  </si>
  <si>
    <t>988675</t>
  </si>
  <si>
    <t>954083</t>
  </si>
  <si>
    <t>994043</t>
  </si>
  <si>
    <t>982217</t>
  </si>
  <si>
    <t>988785</t>
  </si>
  <si>
    <t>992079</t>
  </si>
  <si>
    <t>991108</t>
  </si>
  <si>
    <t>986283</t>
  </si>
  <si>
    <t>966067</t>
  </si>
  <si>
    <t>988945</t>
  </si>
  <si>
    <t>980205</t>
  </si>
  <si>
    <t>992257</t>
  </si>
  <si>
    <t>954101</t>
  </si>
  <si>
    <t>988850</t>
  </si>
  <si>
    <t>988960</t>
  </si>
  <si>
    <t>966117</t>
  </si>
  <si>
    <t>986462</t>
  </si>
  <si>
    <t>980109</t>
  </si>
  <si>
    <t>983114</t>
  </si>
  <si>
    <t>986147</t>
  </si>
  <si>
    <t>969011</t>
  </si>
  <si>
    <t>972077</t>
  </si>
  <si>
    <t>990036</t>
  </si>
  <si>
    <t>992137</t>
  </si>
  <si>
    <t>996254</t>
  </si>
  <si>
    <t>995254</t>
  </si>
  <si>
    <t>995063</t>
  </si>
  <si>
    <t>966072</t>
  </si>
  <si>
    <t>966107</t>
  </si>
  <si>
    <t>988819</t>
  </si>
  <si>
    <t>991144</t>
  </si>
  <si>
    <t>988917</t>
  </si>
  <si>
    <t>998011</t>
  </si>
  <si>
    <t>986090</t>
  </si>
  <si>
    <t>988474</t>
  </si>
  <si>
    <t>988674</t>
  </si>
  <si>
    <t>992362</t>
  </si>
  <si>
    <t>978007</t>
  </si>
  <si>
    <t>966191</t>
  </si>
  <si>
    <t>985007</t>
  </si>
  <si>
    <t>988222</t>
  </si>
  <si>
    <t>966098</t>
  </si>
  <si>
    <t>968010</t>
  </si>
  <si>
    <t>998159</t>
  </si>
  <si>
    <t>992062</t>
  </si>
  <si>
    <t>982063</t>
  </si>
  <si>
    <t>989243</t>
  </si>
  <si>
    <t>988253</t>
  </si>
  <si>
    <t>978008</t>
  </si>
  <si>
    <t>966142</t>
  </si>
  <si>
    <t>966194</t>
  </si>
  <si>
    <t>982169</t>
  </si>
  <si>
    <t>982119</t>
  </si>
  <si>
    <t>992372</t>
  </si>
  <si>
    <t>955014</t>
  </si>
  <si>
    <t>988137</t>
  </si>
  <si>
    <t>954094</t>
  </si>
  <si>
    <t>988961</t>
  </si>
  <si>
    <t>992105</t>
  </si>
  <si>
    <t>988264</t>
  </si>
  <si>
    <t>995166</t>
  </si>
  <si>
    <t>978005</t>
  </si>
  <si>
    <t>980029</t>
  </si>
  <si>
    <t>940031</t>
  </si>
  <si>
    <t>992683</t>
  </si>
  <si>
    <t>982203</t>
  </si>
  <si>
    <t>988602</t>
  </si>
  <si>
    <t>984026</t>
  </si>
  <si>
    <t>988922</t>
  </si>
  <si>
    <t>991086</t>
  </si>
  <si>
    <t>988272</t>
  </si>
  <si>
    <t>995170</t>
  </si>
  <si>
    <t>992207</t>
  </si>
  <si>
    <t>980183</t>
  </si>
  <si>
    <t>982171</t>
  </si>
  <si>
    <t>954188</t>
  </si>
  <si>
    <t>996035</t>
  </si>
  <si>
    <t>975168</t>
  </si>
  <si>
    <t>992383</t>
  </si>
  <si>
    <t>998121</t>
  </si>
  <si>
    <t>971044</t>
  </si>
  <si>
    <t>989071</t>
  </si>
  <si>
    <t>988280</t>
  </si>
  <si>
    <t>978004</t>
  </si>
  <si>
    <t>985025</t>
  </si>
  <si>
    <t>993061</t>
  </si>
  <si>
    <t>987017</t>
  </si>
  <si>
    <t>991177</t>
  </si>
  <si>
    <t>988733</t>
  </si>
  <si>
    <t>995142</t>
  </si>
  <si>
    <t>988124</t>
  </si>
  <si>
    <t>954158</t>
  </si>
  <si>
    <t>954152</t>
  </si>
  <si>
    <t>994054</t>
  </si>
  <si>
    <t>988285</t>
  </si>
  <si>
    <t>992138</t>
  </si>
  <si>
    <t>988613</t>
  </si>
  <si>
    <t>986577</t>
  </si>
  <si>
    <t>995078</t>
  </si>
  <si>
    <t>988208</t>
  </si>
  <si>
    <t>988506</t>
  </si>
  <si>
    <t>995226</t>
  </si>
  <si>
    <t>979054</t>
  </si>
  <si>
    <t>972061</t>
  </si>
  <si>
    <t>979018</t>
  </si>
  <si>
    <t>982202</t>
  </si>
  <si>
    <t>988293</t>
  </si>
  <si>
    <t>985080</t>
  </si>
  <si>
    <t>985019</t>
  </si>
  <si>
    <t>989299</t>
  </si>
  <si>
    <t>989204</t>
  </si>
  <si>
    <t>989319</t>
  </si>
  <si>
    <t>992209</t>
  </si>
  <si>
    <t>986556</t>
  </si>
  <si>
    <t>989307</t>
  </si>
  <si>
    <t>972011</t>
  </si>
  <si>
    <t>954234</t>
  </si>
  <si>
    <t>981085</t>
  </si>
  <si>
    <t>988834</t>
  </si>
  <si>
    <t>966184</t>
  </si>
  <si>
    <t>988688</t>
  </si>
  <si>
    <t>988937</t>
  </si>
  <si>
    <t>975095</t>
  </si>
  <si>
    <t>992226</t>
  </si>
  <si>
    <t>998167</t>
  </si>
  <si>
    <t>995319</t>
  </si>
  <si>
    <t>955185</t>
  </si>
  <si>
    <t>966153</t>
  </si>
  <si>
    <t>989083</t>
  </si>
  <si>
    <t>989336</t>
  </si>
  <si>
    <t>981024</t>
  </si>
  <si>
    <t>995214</t>
  </si>
  <si>
    <t>995168</t>
  </si>
  <si>
    <t>988965</t>
  </si>
  <si>
    <t>996227</t>
  </si>
  <si>
    <t>975182</t>
  </si>
  <si>
    <t>972013</t>
  </si>
  <si>
    <t>998154</t>
  </si>
  <si>
    <t>980176</t>
  </si>
  <si>
    <t>954293</t>
  </si>
  <si>
    <t>990047</t>
  </si>
  <si>
    <t>954020</t>
  </si>
  <si>
    <t>989175</t>
  </si>
  <si>
    <t>982179</t>
  </si>
  <si>
    <t>995169</t>
  </si>
  <si>
    <t>986445</t>
  </si>
  <si>
    <t>996031</t>
  </si>
  <si>
    <t>966082</t>
  </si>
  <si>
    <t>998203</t>
  </si>
  <si>
    <t>992653</t>
  </si>
  <si>
    <t>986564</t>
  </si>
  <si>
    <t>959012</t>
  </si>
  <si>
    <t>993025</t>
  </si>
  <si>
    <t>989074</t>
  </si>
  <si>
    <t>992329</t>
  </si>
  <si>
    <t>992806</t>
  </si>
  <si>
    <t>996118</t>
  </si>
  <si>
    <t>982242</t>
  </si>
  <si>
    <t>982170</t>
  </si>
  <si>
    <t>982251</t>
  </si>
  <si>
    <t>975067</t>
  </si>
  <si>
    <t>995191</t>
  </si>
  <si>
    <t>992422</t>
  </si>
  <si>
    <t>959035</t>
  </si>
  <si>
    <t>996196</t>
  </si>
  <si>
    <t>954295</t>
  </si>
  <si>
    <t>992590</t>
  </si>
  <si>
    <t>996251</t>
  </si>
  <si>
    <t>996120</t>
  </si>
  <si>
    <t>989302</t>
  </si>
  <si>
    <t>988211</t>
  </si>
  <si>
    <t>991132</t>
  </si>
  <si>
    <t>975055</t>
  </si>
  <si>
    <t>992353</t>
  </si>
  <si>
    <t>989017</t>
  </si>
  <si>
    <t>959050</t>
  </si>
  <si>
    <t>986532</t>
  </si>
  <si>
    <t>959011</t>
  </si>
  <si>
    <t>996121</t>
  </si>
  <si>
    <t>996252</t>
  </si>
  <si>
    <t>985078</t>
  </si>
  <si>
    <t>966185</t>
  </si>
  <si>
    <t>988549</t>
  </si>
  <si>
    <t>986286</t>
  </si>
  <si>
    <t>975056</t>
  </si>
  <si>
    <t>988734</t>
  </si>
  <si>
    <t>982038</t>
  </si>
  <si>
    <t>976101</t>
  </si>
  <si>
    <t>986521</t>
  </si>
  <si>
    <t>959057</t>
  </si>
  <si>
    <t>996127</t>
  </si>
  <si>
    <t>996253</t>
  </si>
  <si>
    <t>988301</t>
  </si>
  <si>
    <t>995300</t>
  </si>
  <si>
    <t>988920</t>
  </si>
  <si>
    <t>955017</t>
  </si>
  <si>
    <t>966181</t>
  </si>
  <si>
    <t>988714</t>
  </si>
  <si>
    <t>992205</t>
  </si>
  <si>
    <t>986609</t>
  </si>
  <si>
    <t>998043</t>
  </si>
  <si>
    <t>959062</t>
  </si>
  <si>
    <t>996130</t>
  </si>
  <si>
    <t>996255</t>
  </si>
  <si>
    <t>982142</t>
  </si>
  <si>
    <t>954029</t>
  </si>
  <si>
    <t>940106</t>
  </si>
  <si>
    <t>975175</t>
  </si>
  <si>
    <t>975080</t>
  </si>
  <si>
    <t>954227</t>
  </si>
  <si>
    <t>991142</t>
  </si>
  <si>
    <t>940111</t>
  </si>
  <si>
    <t>989260</t>
  </si>
  <si>
    <t>962013</t>
  </si>
  <si>
    <t>988591</t>
  </si>
  <si>
    <t>996258</t>
  </si>
  <si>
    <t>988871</t>
  </si>
  <si>
    <t>967040</t>
  </si>
  <si>
    <t>986576</t>
  </si>
  <si>
    <t>966168</t>
  </si>
  <si>
    <t>955116</t>
  </si>
  <si>
    <t>989341</t>
  </si>
  <si>
    <t>968012</t>
  </si>
  <si>
    <t>991191</t>
  </si>
  <si>
    <t>995084</t>
  </si>
  <si>
    <t>984125</t>
  </si>
  <si>
    <t>989116</t>
  </si>
  <si>
    <t>954102</t>
  </si>
  <si>
    <t>988683</t>
  </si>
  <si>
    <t>978068</t>
  </si>
  <si>
    <t>992772</t>
  </si>
  <si>
    <t>986430</t>
  </si>
  <si>
    <t>956009</t>
  </si>
  <si>
    <t>996025</t>
  </si>
  <si>
    <t>992099</t>
  </si>
  <si>
    <t>981063</t>
  </si>
  <si>
    <t>986513</t>
  </si>
  <si>
    <t>991192</t>
  </si>
  <si>
    <t>979013</t>
  </si>
  <si>
    <t>982178</t>
  </si>
  <si>
    <t>940075</t>
  </si>
  <si>
    <t>986440</t>
  </si>
  <si>
    <t>976026</t>
  </si>
  <si>
    <t>986542</t>
  </si>
  <si>
    <t>975129</t>
  </si>
  <si>
    <t>988049</t>
  </si>
  <si>
    <t>986070</t>
  </si>
  <si>
    <t>986612</t>
  </si>
  <si>
    <t>955216</t>
  </si>
  <si>
    <t>966084</t>
  </si>
  <si>
    <t>988333</t>
  </si>
  <si>
    <t>981046</t>
  </si>
  <si>
    <t>993125</t>
  </si>
  <si>
    <t>995277</t>
  </si>
  <si>
    <t>998135</t>
  </si>
  <si>
    <t>958026</t>
  </si>
  <si>
    <t>995198</t>
  </si>
  <si>
    <t>954123</t>
  </si>
  <si>
    <t>992826</t>
  </si>
  <si>
    <t>989186</t>
  </si>
  <si>
    <t>992259</t>
  </si>
  <si>
    <t>980194</t>
  </si>
  <si>
    <t>972002</t>
  </si>
  <si>
    <t>986435</t>
  </si>
  <si>
    <t>975149</t>
  </si>
  <si>
    <t>986048</t>
  </si>
  <si>
    <t>975037</t>
  </si>
  <si>
    <t>954278</t>
  </si>
  <si>
    <t>954138</t>
  </si>
  <si>
    <t>996107</t>
  </si>
  <si>
    <t>989008</t>
  </si>
  <si>
    <t>992255</t>
  </si>
  <si>
    <t>979038</t>
  </si>
  <si>
    <t>972003</t>
  </si>
  <si>
    <t>995244</t>
  </si>
  <si>
    <t>990057</t>
  </si>
  <si>
    <t>966015</t>
  </si>
  <si>
    <t>956018</t>
  </si>
  <si>
    <t>995136</t>
  </si>
  <si>
    <t>940097</t>
  </si>
  <si>
    <t>993116</t>
  </si>
  <si>
    <t>988607</t>
  </si>
  <si>
    <t>986307</t>
  </si>
  <si>
    <t>972025</t>
  </si>
  <si>
    <t>997006</t>
  </si>
  <si>
    <t>966165</t>
  </si>
  <si>
    <t>966031</t>
  </si>
  <si>
    <t>966099</t>
  </si>
  <si>
    <t>995172</t>
  </si>
  <si>
    <t>992047</t>
  </si>
  <si>
    <t>996391</t>
  </si>
  <si>
    <t>962008</t>
  </si>
  <si>
    <t>967026</t>
  </si>
  <si>
    <t>972021</t>
  </si>
  <si>
    <t>982262</t>
  </si>
  <si>
    <t>992762</t>
  </si>
  <si>
    <t>986413</t>
  </si>
  <si>
    <t>966121</t>
  </si>
  <si>
    <t>995181</t>
  </si>
  <si>
    <t>988135</t>
  </si>
  <si>
    <t>955080</t>
  </si>
  <si>
    <t>992260</t>
  </si>
  <si>
    <t>988334</t>
  </si>
  <si>
    <t>989346</t>
  </si>
  <si>
    <t>989300</t>
  </si>
  <si>
    <t>983109</t>
  </si>
  <si>
    <t>994031</t>
  </si>
  <si>
    <t>958023</t>
  </si>
  <si>
    <t>995174</t>
  </si>
  <si>
    <t>991030</t>
  </si>
  <si>
    <t>955058</t>
  </si>
  <si>
    <t>966053</t>
  </si>
  <si>
    <t>982176</t>
  </si>
  <si>
    <t>940084</t>
  </si>
  <si>
    <t>989310</t>
  </si>
  <si>
    <t>992236</t>
  </si>
  <si>
    <t>986431</t>
  </si>
  <si>
    <t>998179</t>
  </si>
  <si>
    <t>976094</t>
  </si>
  <si>
    <t>985037</t>
  </si>
  <si>
    <t>985056</t>
  </si>
  <si>
    <t>986366</t>
  </si>
  <si>
    <t>989322</t>
  </si>
  <si>
    <t>966093</t>
  </si>
  <si>
    <t>991152</t>
  </si>
  <si>
    <t>955011</t>
  </si>
  <si>
    <t>994085</t>
  </si>
  <si>
    <t>988751</t>
  </si>
  <si>
    <t>995012</t>
  </si>
  <si>
    <t>991134</t>
  </si>
  <si>
    <t>992460</t>
  </si>
  <si>
    <t>996124</t>
  </si>
  <si>
    <t>984010</t>
  </si>
  <si>
    <t>986355</t>
  </si>
  <si>
    <t>993094</t>
  </si>
  <si>
    <t>984033</t>
  </si>
  <si>
    <t>980143</t>
  </si>
  <si>
    <t>988724</t>
  </si>
  <si>
    <t>980048</t>
  </si>
  <si>
    <t>992335</t>
  </si>
  <si>
    <t>998107</t>
  </si>
  <si>
    <t>996126</t>
  </si>
  <si>
    <t>955189</t>
  </si>
  <si>
    <t>976055</t>
  </si>
  <si>
    <t>981094</t>
  </si>
  <si>
    <t>996224</t>
  </si>
  <si>
    <t>989166</t>
  </si>
  <si>
    <t>955165</t>
  </si>
  <si>
    <t>992704</t>
  </si>
  <si>
    <t>975027</t>
  </si>
  <si>
    <t>992471</t>
  </si>
  <si>
    <t>996129</t>
  </si>
  <si>
    <t>988879</t>
  </si>
  <si>
    <t>990059</t>
  </si>
  <si>
    <t>940088</t>
  </si>
  <si>
    <t>996225</t>
  </si>
  <si>
    <t>991105</t>
  </si>
  <si>
    <t>979020</t>
  </si>
  <si>
    <t>985064</t>
  </si>
  <si>
    <t>975088</t>
  </si>
  <si>
    <t>986548</t>
  </si>
  <si>
    <t>986313</t>
  </si>
  <si>
    <t>989081</t>
  </si>
  <si>
    <t>988335</t>
  </si>
  <si>
    <t>966151</t>
  </si>
  <si>
    <t>996228</t>
  </si>
  <si>
    <t>980037</t>
  </si>
  <si>
    <t>940011</t>
  </si>
  <si>
    <t>995140</t>
  </si>
  <si>
    <t>998138</t>
  </si>
  <si>
    <t>992192</t>
  </si>
  <si>
    <t>940072</t>
  </si>
  <si>
    <t>955172</t>
  </si>
  <si>
    <t>995165</t>
  </si>
  <si>
    <t>956027</t>
  </si>
  <si>
    <t>982168</t>
  </si>
  <si>
    <t>986403</t>
  </si>
  <si>
    <t>982194</t>
  </si>
  <si>
    <t>996008</t>
  </si>
  <si>
    <t>940082</t>
  </si>
  <si>
    <t>986501</t>
  </si>
  <si>
    <t>988262</t>
  </si>
  <si>
    <t>992434</t>
  </si>
  <si>
    <t>980066</t>
  </si>
  <si>
    <t>992813</t>
  </si>
  <si>
    <t>996226</t>
  </si>
  <si>
    <t>988584</t>
  </si>
  <si>
    <t>998095</t>
  </si>
  <si>
    <t>956016</t>
  </si>
  <si>
    <t>954119</t>
  </si>
  <si>
    <t>992598</t>
  </si>
  <si>
    <t>988265</t>
  </si>
  <si>
    <t>980102</t>
  </si>
  <si>
    <t>978006</t>
  </si>
  <si>
    <t>994104</t>
  </si>
  <si>
    <t>988237</t>
  </si>
  <si>
    <t>988230</t>
  </si>
  <si>
    <t>998189</t>
  </si>
  <si>
    <t>995138</t>
  </si>
  <si>
    <t>988501</t>
  </si>
  <si>
    <t>975065</t>
  </si>
  <si>
    <t>988270</t>
  </si>
  <si>
    <t>984115</t>
  </si>
  <si>
    <t>976074</t>
  </si>
  <si>
    <t>955210</t>
  </si>
  <si>
    <t>996174</t>
  </si>
  <si>
    <t>998142</t>
  </si>
  <si>
    <t>979046</t>
  </si>
  <si>
    <t>996056</t>
  </si>
  <si>
    <t>986184</t>
  </si>
  <si>
    <t>992644</t>
  </si>
  <si>
    <t>988283</t>
  </si>
  <si>
    <t>992792</t>
  </si>
  <si>
    <t>982223</t>
  </si>
  <si>
    <t>955060</t>
  </si>
  <si>
    <t>966075</t>
  </si>
  <si>
    <t>966063</t>
  </si>
  <si>
    <t>996396</t>
  </si>
  <si>
    <t>959006</t>
  </si>
  <si>
    <t>992492</t>
  </si>
  <si>
    <t>993026</t>
  </si>
  <si>
    <t>988289</t>
  </si>
  <si>
    <t>940020</t>
  </si>
  <si>
    <t>992741</t>
  </si>
  <si>
    <t>966208</t>
  </si>
  <si>
    <t>994014</t>
  </si>
  <si>
    <t>954214</t>
  </si>
  <si>
    <t>940027</t>
  </si>
  <si>
    <t>959032</t>
  </si>
  <si>
    <t>954197</t>
  </si>
  <si>
    <t>986500</t>
  </si>
  <si>
    <t>988290</t>
  </si>
  <si>
    <t>990033</t>
  </si>
  <si>
    <t>954091</t>
  </si>
  <si>
    <t>966134</t>
  </si>
  <si>
    <t>991163</t>
  </si>
  <si>
    <t>954204</t>
  </si>
  <si>
    <t>977042</t>
  </si>
  <si>
    <t>959036</t>
  </si>
  <si>
    <t>996092</t>
  </si>
  <si>
    <t>984007</t>
  </si>
  <si>
    <t>988603</t>
  </si>
  <si>
    <t>982185</t>
  </si>
  <si>
    <t>979028</t>
  </si>
  <si>
    <t>955211</t>
  </si>
  <si>
    <t>967025</t>
  </si>
  <si>
    <t>988976</t>
  </si>
  <si>
    <t>992081</t>
  </si>
  <si>
    <t>959047</t>
  </si>
  <si>
    <t>998134</t>
  </si>
  <si>
    <t>975019</t>
  </si>
  <si>
    <t>988625</t>
  </si>
  <si>
    <t>994013</t>
  </si>
  <si>
    <t>979059</t>
  </si>
  <si>
    <t>966009</t>
  </si>
  <si>
    <t>966050</t>
  </si>
  <si>
    <t>966083</t>
  </si>
  <si>
    <t>954075</t>
  </si>
  <si>
    <t>967047</t>
  </si>
  <si>
    <t>954002</t>
  </si>
  <si>
    <t>996406</t>
  </si>
  <si>
    <t>988628</t>
  </si>
  <si>
    <t>994011</t>
  </si>
  <si>
    <t>988662</t>
  </si>
  <si>
    <t>975094</t>
  </si>
  <si>
    <t>996223</t>
  </si>
  <si>
    <t>954216</t>
  </si>
  <si>
    <t>992294</t>
  </si>
  <si>
    <t>976108</t>
  </si>
  <si>
    <t>960021</t>
  </si>
  <si>
    <t>966092</t>
  </si>
  <si>
    <t>988832</t>
  </si>
  <si>
    <t>940017</t>
  </si>
  <si>
    <t>982144</t>
  </si>
  <si>
    <t>975076</t>
  </si>
  <si>
    <t>986052</t>
  </si>
  <si>
    <t>985012</t>
  </si>
  <si>
    <t>984056</t>
  </si>
  <si>
    <t>940112</t>
  </si>
  <si>
    <t>988928</t>
  </si>
  <si>
    <t>940045</t>
  </si>
  <si>
    <t>988924</t>
  </si>
  <si>
    <t>989308</t>
  </si>
  <si>
    <t>940102</t>
  </si>
  <si>
    <t>996221</t>
  </si>
  <si>
    <t>988203</t>
  </si>
  <si>
    <t>992369</t>
  </si>
  <si>
    <t>992816</t>
  </si>
  <si>
    <t>996094</t>
  </si>
  <si>
    <t>988480</t>
  </si>
  <si>
    <t>993027</t>
  </si>
  <si>
    <t>992619</t>
  </si>
  <si>
    <t>988852</t>
  </si>
  <si>
    <t>966006</t>
  </si>
  <si>
    <t>996222</t>
  </si>
  <si>
    <t>988217</t>
  </si>
  <si>
    <t>983061</t>
  </si>
  <si>
    <t>953018</t>
  </si>
  <si>
    <t>955228</t>
  </si>
  <si>
    <t>954154</t>
  </si>
  <si>
    <t>986377</t>
  </si>
  <si>
    <t>978052</t>
  </si>
  <si>
    <t>988868</t>
  </si>
  <si>
    <t>966141</t>
  </si>
  <si>
    <t>996232</t>
  </si>
  <si>
    <t>998041</t>
  </si>
  <si>
    <t>992299</t>
  </si>
  <si>
    <t>985088</t>
  </si>
  <si>
    <t>989347</t>
  </si>
  <si>
    <t>954072</t>
  </si>
  <si>
    <t>986380</t>
  </si>
  <si>
    <t>978060</t>
  </si>
  <si>
    <t>994012</t>
  </si>
  <si>
    <t>956008</t>
  </si>
  <si>
    <t>996233</t>
  </si>
  <si>
    <t>966137</t>
  </si>
  <si>
    <t>982198</t>
  </si>
  <si>
    <t>988984</t>
  </si>
  <si>
    <t>980158</t>
  </si>
  <si>
    <t>998205</t>
  </si>
  <si>
    <t>992341</t>
  </si>
  <si>
    <t>984100</t>
  </si>
  <si>
    <t>986346</t>
  </si>
  <si>
    <t>994093</t>
  </si>
  <si>
    <t>996234</t>
  </si>
  <si>
    <t>986397</t>
  </si>
  <si>
    <t>982200</t>
  </si>
  <si>
    <t>986200</t>
  </si>
  <si>
    <t>988158</t>
  </si>
  <si>
    <t>988287</t>
  </si>
  <si>
    <t>986292</t>
  </si>
  <si>
    <t>985017</t>
  </si>
  <si>
    <t>955128</t>
  </si>
  <si>
    <t>996235</t>
  </si>
  <si>
    <t>986411</t>
  </si>
  <si>
    <t>989134</t>
  </si>
  <si>
    <t>986506</t>
  </si>
  <si>
    <t>958029</t>
  </si>
  <si>
    <t>993140</t>
  </si>
  <si>
    <t>992577</t>
  </si>
  <si>
    <t>966129</t>
  </si>
  <si>
    <t>994092</t>
  </si>
  <si>
    <t>996271</t>
  </si>
  <si>
    <t>991094</t>
  </si>
  <si>
    <t>989136</t>
  </si>
  <si>
    <t>995283</t>
  </si>
  <si>
    <t>955177</t>
  </si>
  <si>
    <t>986368</t>
  </si>
  <si>
    <t>992721</t>
  </si>
  <si>
    <t>975049</t>
  </si>
  <si>
    <t>966008</t>
  </si>
  <si>
    <t>986075</t>
  </si>
  <si>
    <t>975121</t>
  </si>
  <si>
    <t>989138</t>
  </si>
  <si>
    <t>976018</t>
  </si>
  <si>
    <t>978037</t>
  </si>
  <si>
    <t>989115</t>
  </si>
  <si>
    <t>992253</t>
  </si>
  <si>
    <t>984071</t>
  </si>
  <si>
    <t>994094</t>
  </si>
  <si>
    <t>992376</t>
  </si>
  <si>
    <t>954024</t>
  </si>
  <si>
    <t>992144</t>
  </si>
  <si>
    <t>989030</t>
  </si>
  <si>
    <t>988944</t>
  </si>
  <si>
    <t>996217</t>
  </si>
  <si>
    <t>992622</t>
  </si>
  <si>
    <t>982141</t>
  </si>
  <si>
    <t>956012</t>
  </si>
  <si>
    <t>988216</t>
  </si>
  <si>
    <t>988583</t>
  </si>
  <si>
    <t>993096</t>
  </si>
  <si>
    <t>982102</t>
  </si>
  <si>
    <t>992752</t>
  </si>
  <si>
    <t>996218</t>
  </si>
  <si>
    <t>955166</t>
  </si>
  <si>
    <t>991139</t>
  </si>
  <si>
    <t>955170</t>
  </si>
  <si>
    <t>995042</t>
  </si>
  <si>
    <t>992166</t>
  </si>
  <si>
    <t>982201</t>
  </si>
  <si>
    <t>940046</t>
  </si>
  <si>
    <t>982122</t>
  </si>
  <si>
    <t>996219</t>
  </si>
  <si>
    <t>986310</t>
  </si>
  <si>
    <t>955118</t>
  </si>
  <si>
    <t>966004</t>
  </si>
  <si>
    <t>998099</t>
  </si>
  <si>
    <t>986033</t>
  </si>
  <si>
    <t>992575</t>
  </si>
  <si>
    <t>998066</t>
  </si>
  <si>
    <t>992213</t>
  </si>
  <si>
    <t>986055</t>
  </si>
  <si>
    <t>967035</t>
  </si>
  <si>
    <t>984113</t>
  </si>
  <si>
    <t>954274</t>
  </si>
  <si>
    <t>988555</t>
  </si>
  <si>
    <t>989096</t>
  </si>
  <si>
    <t>988059</t>
  </si>
  <si>
    <t>972054</t>
  </si>
  <si>
    <t>975081</t>
  </si>
  <si>
    <t>986029</t>
  </si>
  <si>
    <t>992684</t>
  </si>
  <si>
    <t>980129</t>
  </si>
  <si>
    <t>954030</t>
  </si>
  <si>
    <t>988576</t>
  </si>
  <si>
    <t>988231</t>
  </si>
  <si>
    <t>990017</t>
  </si>
  <si>
    <t>988757</t>
  </si>
  <si>
    <t>986534</t>
  </si>
  <si>
    <t>991063</t>
  </si>
  <si>
    <t>969007</t>
  </si>
  <si>
    <t>993029</t>
  </si>
  <si>
    <t>988172</t>
  </si>
  <si>
    <t>955215</t>
  </si>
  <si>
    <t>988229</t>
  </si>
  <si>
    <t>967008</t>
  </si>
  <si>
    <t>954294</t>
  </si>
  <si>
    <t>984066</t>
  </si>
  <si>
    <t>986367</t>
  </si>
  <si>
    <t>990068</t>
  </si>
  <si>
    <t>940036</t>
  </si>
  <si>
    <t>966065</t>
  </si>
  <si>
    <t>966037</t>
  </si>
  <si>
    <t>994095</t>
  </si>
  <si>
    <t>982199</t>
  </si>
  <si>
    <t>959056</t>
  </si>
  <si>
    <t>996134</t>
  </si>
  <si>
    <t>988597</t>
  </si>
  <si>
    <t>991168</t>
  </si>
  <si>
    <t>993103</t>
  </si>
  <si>
    <t>986444</t>
  </si>
  <si>
    <t>995116</t>
  </si>
  <si>
    <t>992603</t>
  </si>
  <si>
    <t>982197</t>
  </si>
  <si>
    <t>940108</t>
  </si>
  <si>
    <t>989231</t>
  </si>
  <si>
    <t>988599</t>
  </si>
  <si>
    <t>992526</t>
  </si>
  <si>
    <t>956026</t>
  </si>
  <si>
    <t>992719</t>
  </si>
  <si>
    <t>966147</t>
  </si>
  <si>
    <t>982132</t>
  </si>
  <si>
    <t>988490</t>
  </si>
  <si>
    <t>953003</t>
  </si>
  <si>
    <t>992325</t>
  </si>
  <si>
    <t>989219</t>
  </si>
  <si>
    <t>958011</t>
  </si>
  <si>
    <t>988877</t>
  </si>
  <si>
    <t>988525</t>
  </si>
  <si>
    <t>975096</t>
  </si>
  <si>
    <t>994066</t>
  </si>
  <si>
    <t>992097</t>
  </si>
  <si>
    <t>953007</t>
  </si>
  <si>
    <t>996135</t>
  </si>
  <si>
    <t>989221</t>
  </si>
  <si>
    <t>976034</t>
  </si>
  <si>
    <t>992654</t>
  </si>
  <si>
    <t>996317</t>
  </si>
  <si>
    <t>988236</t>
  </si>
  <si>
    <t>986373</t>
  </si>
  <si>
    <t>988098</t>
  </si>
  <si>
    <t>953010</t>
  </si>
  <si>
    <t>990007</t>
  </si>
  <si>
    <t>989104</t>
  </si>
  <si>
    <t>986037</t>
  </si>
  <si>
    <t>982270</t>
  </si>
  <si>
    <t>982167</t>
  </si>
  <si>
    <t>988232</t>
  </si>
  <si>
    <t>981057</t>
  </si>
  <si>
    <t>988475</t>
  </si>
  <si>
    <t>953013</t>
  </si>
  <si>
    <t>981028</t>
  </si>
  <si>
    <t>989107</t>
  </si>
  <si>
    <t>980208</t>
  </si>
  <si>
    <t>954011</t>
  </si>
  <si>
    <t>992088</t>
  </si>
  <si>
    <t>988577</t>
  </si>
  <si>
    <t>966017</t>
  </si>
  <si>
    <t>986499</t>
  </si>
  <si>
    <t>953015</t>
  </si>
  <si>
    <t>991180</t>
  </si>
  <si>
    <t>989121</t>
  </si>
  <si>
    <t>966182</t>
  </si>
  <si>
    <t>982016</t>
  </si>
  <si>
    <t>988798</t>
  </si>
  <si>
    <t>992799</t>
  </si>
  <si>
    <t>966024</t>
  </si>
  <si>
    <t>998166</t>
  </si>
  <si>
    <t>953023</t>
  </si>
  <si>
    <t>980173</t>
  </si>
  <si>
    <t>989122</t>
  </si>
  <si>
    <t>966143</t>
  </si>
  <si>
    <t>988649</t>
  </si>
  <si>
    <t>988908</t>
  </si>
  <si>
    <t>986429</t>
  </si>
  <si>
    <t>988801</t>
  </si>
  <si>
    <t>992693</t>
  </si>
  <si>
    <t>972084</t>
  </si>
  <si>
    <t>985013</t>
  </si>
  <si>
    <t>989124</t>
  </si>
  <si>
    <t>992182</t>
  </si>
  <si>
    <t>984046</t>
  </si>
  <si>
    <t>982240</t>
  </si>
  <si>
    <t>992128</t>
  </si>
  <si>
    <t>992228</t>
  </si>
  <si>
    <t>991084</t>
  </si>
  <si>
    <t>977054</t>
  </si>
  <si>
    <t>975040</t>
  </si>
  <si>
    <t>989202</t>
  </si>
  <si>
    <t>978026</t>
  </si>
  <si>
    <t>975104</t>
  </si>
  <si>
    <t>982248</t>
  </si>
  <si>
    <t>981005</t>
  </si>
  <si>
    <t>988571</t>
  </si>
  <si>
    <t>967042</t>
  </si>
  <si>
    <t>982274</t>
  </si>
  <si>
    <t>979025</t>
  </si>
  <si>
    <t>989223</t>
  </si>
  <si>
    <t>988633</t>
  </si>
  <si>
    <t>989254</t>
  </si>
  <si>
    <t>996316</t>
  </si>
  <si>
    <t>981064</t>
  </si>
  <si>
    <t>956030</t>
  </si>
  <si>
    <t>955038</t>
  </si>
  <si>
    <t>982276</t>
  </si>
  <si>
    <t>956007</t>
  </si>
  <si>
    <t>989289</t>
  </si>
  <si>
    <t>988295</t>
  </si>
  <si>
    <t>954195</t>
  </si>
  <si>
    <t>988176</t>
  </si>
  <si>
    <t>966199</t>
  </si>
  <si>
    <t>988540</t>
  </si>
  <si>
    <t>975057</t>
  </si>
  <si>
    <t>940117</t>
  </si>
  <si>
    <t>992506</t>
  </si>
  <si>
    <t>989201</t>
  </si>
  <si>
    <t>988304</t>
  </si>
  <si>
    <t>992301</t>
  </si>
  <si>
    <t>958022</t>
  </si>
  <si>
    <t>954284</t>
  </si>
  <si>
    <t>986398</t>
  </si>
  <si>
    <t>955137</t>
  </si>
  <si>
    <t>992825</t>
  </si>
  <si>
    <t>992640</t>
  </si>
  <si>
    <t>989335</t>
  </si>
  <si>
    <t>988340</t>
  </si>
  <si>
    <t>988881</t>
  </si>
  <si>
    <t>991190</t>
  </si>
  <si>
    <t>995114</t>
  </si>
  <si>
    <t>955227</t>
  </si>
  <si>
    <t>990058</t>
  </si>
  <si>
    <t>992828</t>
  </si>
  <si>
    <t>996177</t>
  </si>
  <si>
    <t>989108</t>
  </si>
  <si>
    <t>988635</t>
  </si>
  <si>
    <t>988849</t>
  </si>
  <si>
    <t>953017</t>
  </si>
  <si>
    <t>988550</t>
  </si>
  <si>
    <t>988547</t>
  </si>
  <si>
    <t>966068</t>
  </si>
  <si>
    <t>955050</t>
  </si>
  <si>
    <t>989120</t>
  </si>
  <si>
    <t>988659</t>
  </si>
  <si>
    <t>984028</t>
  </si>
  <si>
    <t>966216</t>
  </si>
  <si>
    <t>991087</t>
  </si>
  <si>
    <t>982218</t>
  </si>
  <si>
    <t>954258</t>
  </si>
  <si>
    <t>954156</t>
  </si>
  <si>
    <t>940080</t>
  </si>
  <si>
    <t>995210</t>
  </si>
  <si>
    <t>992066</t>
  </si>
  <si>
    <t>990074</t>
  </si>
  <si>
    <t>960046</t>
  </si>
  <si>
    <t>988800</t>
  </si>
  <si>
    <t>996172</t>
  </si>
  <si>
    <t>985083</t>
  </si>
  <si>
    <t>988263</t>
  </si>
  <si>
    <t>988634</t>
  </si>
  <si>
    <t>988873</t>
  </si>
  <si>
    <t>979034</t>
  </si>
  <si>
    <t>956023</t>
  </si>
  <si>
    <t>992334</t>
  </si>
  <si>
    <t>986533</t>
  </si>
  <si>
    <t>988269</t>
  </si>
  <si>
    <t>992050</t>
  </si>
  <si>
    <t>996262</t>
  </si>
  <si>
    <t>996229</t>
  </si>
  <si>
    <t>959002</t>
  </si>
  <si>
    <t>992566</t>
  </si>
  <si>
    <t>998072</t>
  </si>
  <si>
    <t>988279</t>
  </si>
  <si>
    <t>992022</t>
  </si>
  <si>
    <t>966145</t>
  </si>
  <si>
    <t>996230</t>
  </si>
  <si>
    <t>940114</t>
  </si>
  <si>
    <t>980070</t>
  </si>
  <si>
    <t>986516</t>
  </si>
  <si>
    <t>988609</t>
  </si>
  <si>
    <t>996243</t>
  </si>
  <si>
    <t>954253</t>
  </si>
  <si>
    <t>994096</t>
  </si>
  <si>
    <t>994111</t>
  </si>
  <si>
    <t>975006</t>
  </si>
  <si>
    <t>992404</t>
  </si>
  <si>
    <t>988616</t>
  </si>
  <si>
    <t>996247</t>
  </si>
  <si>
    <t>955145</t>
  </si>
  <si>
    <t>996404</t>
  </si>
  <si>
    <t>955161</t>
  </si>
  <si>
    <t>955053</t>
  </si>
  <si>
    <t>988622</t>
  </si>
  <si>
    <t>954241</t>
  </si>
  <si>
    <t>992069</t>
  </si>
  <si>
    <t>980011</t>
  </si>
  <si>
    <t>992071</t>
  </si>
  <si>
    <t>988504</t>
  </si>
  <si>
    <t>992290</t>
  </si>
  <si>
    <t>992528</t>
  </si>
  <si>
    <t>988343</t>
  </si>
  <si>
    <t>954236</t>
  </si>
  <si>
    <t>975099</t>
  </si>
  <si>
    <t>986567</t>
  </si>
  <si>
    <t>989106</t>
  </si>
  <si>
    <t>988854</t>
  </si>
  <si>
    <t>975151</t>
  </si>
  <si>
    <t>956024</t>
  </si>
  <si>
    <t>954076</t>
  </si>
  <si>
    <t>979041</t>
  </si>
  <si>
    <t>989113</t>
  </si>
  <si>
    <t>954201</t>
  </si>
  <si>
    <t>984027</t>
  </si>
  <si>
    <t>987014</t>
  </si>
  <si>
    <t>966091</t>
  </si>
  <si>
    <t>993099</t>
  </si>
  <si>
    <t>989114</t>
  </si>
  <si>
    <t>984011</t>
  </si>
  <si>
    <t>969005</t>
  </si>
  <si>
    <t>955187</t>
  </si>
  <si>
    <t>988760</t>
  </si>
  <si>
    <t>986549</t>
  </si>
  <si>
    <t>992803</t>
  </si>
  <si>
    <t>986323</t>
  </si>
  <si>
    <t>992748</t>
  </si>
  <si>
    <t>955086</t>
  </si>
  <si>
    <t>992655</t>
  </si>
  <si>
    <t>980077</t>
  </si>
  <si>
    <t>975192</t>
  </si>
  <si>
    <t>940091</t>
  </si>
  <si>
    <t>986594</t>
  </si>
  <si>
    <t>981104</t>
  </si>
  <si>
    <t>975051</t>
  </si>
  <si>
    <t>996138</t>
  </si>
  <si>
    <t>984121</t>
  </si>
  <si>
    <t>996248</t>
  </si>
  <si>
    <t>969010</t>
  </si>
  <si>
    <t>959058</t>
  </si>
  <si>
    <t>955143</t>
  </si>
  <si>
    <t>953009</t>
  </si>
  <si>
    <t>986003</t>
  </si>
  <si>
    <t>988317</t>
  </si>
  <si>
    <t>955146</t>
  </si>
  <si>
    <t>976104</t>
  </si>
  <si>
    <t>975132</t>
  </si>
  <si>
    <t>953016</t>
  </si>
  <si>
    <t>988833</t>
  </si>
  <si>
    <t>978002</t>
  </si>
  <si>
    <t>992140</t>
  </si>
  <si>
    <t>976106</t>
  </si>
  <si>
    <t>966124</t>
  </si>
  <si>
    <t>953026</t>
  </si>
  <si>
    <t>966130</t>
  </si>
  <si>
    <t>986311</t>
  </si>
  <si>
    <t>992746</t>
  </si>
  <si>
    <t>981105</t>
  </si>
  <si>
    <t>996160</t>
  </si>
  <si>
    <t>954296</t>
  </si>
  <si>
    <t>940050</t>
  </si>
  <si>
    <t>980041</t>
  </si>
  <si>
    <t>992747</t>
  </si>
  <si>
    <t>953027</t>
  </si>
  <si>
    <t>959003</t>
  </si>
  <si>
    <t>959022</t>
  </si>
  <si>
    <t>982017</t>
  </si>
  <si>
    <t>954249</t>
  </si>
  <si>
    <t>986598</t>
  </si>
  <si>
    <t>975199</t>
  </si>
  <si>
    <t>959046</t>
  </si>
  <si>
    <t>972086</t>
  </si>
  <si>
    <t>955223</t>
  </si>
  <si>
    <t>988300</t>
  </si>
  <si>
    <t>986583</t>
  </si>
  <si>
    <t>982278</t>
  </si>
  <si>
    <t>959052</t>
  </si>
  <si>
    <t>980212</t>
  </si>
  <si>
    <t>988829</t>
  </si>
  <si>
    <t>988878</t>
  </si>
  <si>
    <t>996237</t>
  </si>
  <si>
    <t>991195</t>
  </si>
  <si>
    <t>976023</t>
  </si>
  <si>
    <t>940120</t>
  </si>
  <si>
    <t>988658</t>
  </si>
  <si>
    <t>975004</t>
  </si>
  <si>
    <t>940115</t>
  </si>
  <si>
    <t>991189</t>
  </si>
  <si>
    <t>992565</t>
  </si>
  <si>
    <t>982180</t>
  </si>
  <si>
    <t>982049</t>
  </si>
  <si>
    <t>991188</t>
  </si>
  <si>
    <t>992820</t>
  </si>
  <si>
    <t>988814</t>
  </si>
  <si>
    <t>988297</t>
  </si>
  <si>
    <t>992407</t>
  </si>
  <si>
    <t>992487</t>
  </si>
  <si>
    <t>995331</t>
  </si>
  <si>
    <t>996132</t>
  </si>
  <si>
    <t>990060</t>
  </si>
  <si>
    <t>982053</t>
  </si>
  <si>
    <t>952001</t>
  </si>
  <si>
    <t>996411</t>
  </si>
  <si>
    <t>986353</t>
  </si>
  <si>
    <t>992544</t>
  </si>
  <si>
    <t>954124</t>
  </si>
  <si>
    <t>995332</t>
  </si>
  <si>
    <t>998206</t>
  </si>
  <si>
    <t>966148</t>
  </si>
  <si>
    <t>982184</t>
  </si>
  <si>
    <t>978013</t>
  </si>
  <si>
    <t>995335</t>
  </si>
  <si>
    <t>986348</t>
  </si>
  <si>
    <t>996250</t>
  </si>
  <si>
    <t>988840</t>
  </si>
  <si>
    <t>988822</t>
  </si>
  <si>
    <t>996257</t>
  </si>
  <si>
    <t>984065</t>
  </si>
  <si>
    <t>988256</t>
  </si>
  <si>
    <t>992379</t>
  </si>
  <si>
    <t>992345</t>
  </si>
  <si>
    <t>966054</t>
  </si>
  <si>
    <t>988294</t>
  </si>
  <si>
    <t>991162</t>
  </si>
  <si>
    <t>982018</t>
  </si>
  <si>
    <t>975100</t>
  </si>
  <si>
    <t>996245</t>
  </si>
  <si>
    <t>993014</t>
  </si>
  <si>
    <t>996117</t>
  </si>
  <si>
    <t>985021</t>
  </si>
  <si>
    <t>966138</t>
  </si>
  <si>
    <t>989103</t>
  </si>
  <si>
    <t>988684</t>
  </si>
  <si>
    <t>986349</t>
  </si>
  <si>
    <t>992626</t>
  </si>
  <si>
    <t>993057</t>
  </si>
  <si>
    <t>988606</t>
  </si>
  <si>
    <t>988303</t>
  </si>
  <si>
    <t>992546</t>
  </si>
  <si>
    <t>988794</t>
  </si>
  <si>
    <t>988842</t>
  </si>
  <si>
    <t>992125</t>
  </si>
  <si>
    <t>966039</t>
  </si>
  <si>
    <t>966087</t>
  </si>
  <si>
    <t>988638</t>
  </si>
  <si>
    <t>966047</t>
  </si>
  <si>
    <t>984013</t>
  </si>
  <si>
    <t>992084</t>
  </si>
  <si>
    <t>984097</t>
  </si>
  <si>
    <t>984068</t>
  </si>
  <si>
    <t>984003</t>
  </si>
  <si>
    <t>992532</t>
  </si>
  <si>
    <t>977010</t>
  </si>
  <si>
    <t>982051</t>
  </si>
  <si>
    <t>977038</t>
  </si>
  <si>
    <t>988663</t>
  </si>
  <si>
    <t>978023</t>
  </si>
  <si>
    <t>992768</t>
  </si>
  <si>
    <t>954081</t>
  </si>
  <si>
    <t>986299</t>
  </si>
  <si>
    <t>978064</t>
  </si>
  <si>
    <t>988643</t>
  </si>
  <si>
    <t>992503</t>
  </si>
  <si>
    <t>989317</t>
  </si>
  <si>
    <t>992437</t>
  </si>
  <si>
    <t>988839</t>
  </si>
  <si>
    <t>972055</t>
  </si>
  <si>
    <t>991061</t>
  </si>
  <si>
    <t>988344</t>
  </si>
  <si>
    <t>982040</t>
  </si>
  <si>
    <t>991081</t>
  </si>
  <si>
    <t>980180</t>
  </si>
  <si>
    <t>985060</t>
  </si>
  <si>
    <t>996240</t>
  </si>
  <si>
    <t>966018</t>
  </si>
  <si>
    <t>985061</t>
  </si>
  <si>
    <t>996259</t>
  </si>
  <si>
    <t>988698</t>
  </si>
  <si>
    <t>986579</t>
  </si>
  <si>
    <t>992525</t>
  </si>
  <si>
    <t>988644</t>
  </si>
  <si>
    <t>992760</t>
  </si>
  <si>
    <t>988325</t>
  </si>
  <si>
    <t>992432</t>
  </si>
  <si>
    <t>984084</t>
  </si>
  <si>
    <t>980090</t>
  </si>
  <si>
    <t>988642</t>
  </si>
  <si>
    <t>986344</t>
  </si>
  <si>
    <t>992811</t>
  </si>
  <si>
    <t>982052</t>
  </si>
  <si>
    <t>972047</t>
  </si>
  <si>
    <t>984004</t>
  </si>
  <si>
    <t>997010</t>
  </si>
  <si>
    <t>971040</t>
  </si>
  <si>
    <t>982186</t>
  </si>
  <si>
    <t>988867</t>
  </si>
  <si>
    <t>989258</t>
  </si>
  <si>
    <t>982182</t>
  </si>
  <si>
    <t>988302</t>
  </si>
  <si>
    <t>990071</t>
  </si>
  <si>
    <t>992800</t>
  </si>
  <si>
    <t>982050</t>
  </si>
  <si>
    <t>979010</t>
  </si>
  <si>
    <t>996244</t>
  </si>
  <si>
    <t>988864</t>
  </si>
  <si>
    <t>988255</t>
  </si>
  <si>
    <t>988323</t>
  </si>
  <si>
    <t>996239</t>
  </si>
  <si>
    <t>988824</t>
  </si>
  <si>
    <t>954104</t>
  </si>
  <si>
    <t>956028</t>
  </si>
  <si>
    <t>986365</t>
  </si>
  <si>
    <t>954126</t>
  </si>
  <si>
    <t>980091</t>
  </si>
  <si>
    <t>990024</t>
  </si>
  <si>
    <t>991107</t>
  </si>
  <si>
    <t>988880</t>
  </si>
  <si>
    <t>954247</t>
  </si>
  <si>
    <t>992481</t>
  </si>
  <si>
    <t>992665</t>
  </si>
  <si>
    <t>954233</t>
  </si>
  <si>
    <t>989059</t>
  </si>
  <si>
    <t>986333</t>
  </si>
  <si>
    <t>954238</t>
  </si>
  <si>
    <t>954286</t>
  </si>
  <si>
    <t>955171</t>
  </si>
  <si>
    <t>986379</t>
  </si>
  <si>
    <t>992660</t>
  </si>
  <si>
    <t>975162</t>
  </si>
  <si>
    <t>988825</t>
  </si>
  <si>
    <t>984043</t>
  </si>
  <si>
    <t>975157</t>
  </si>
  <si>
    <t>978017</t>
  </si>
  <si>
    <t>988636</t>
  </si>
  <si>
    <t>975160</t>
  </si>
  <si>
    <t>982039</t>
  </si>
  <si>
    <t>994078</t>
  </si>
  <si>
    <t>984094</t>
  </si>
  <si>
    <t>992409</t>
  </si>
  <si>
    <t>988631</t>
  </si>
  <si>
    <t>981081</t>
  </si>
  <si>
    <t>997005</t>
  </si>
  <si>
    <t>980115</t>
  </si>
  <si>
    <t>995294</t>
  </si>
  <si>
    <t>954019</t>
  </si>
  <si>
    <t>991182</t>
  </si>
  <si>
    <t>980082</t>
  </si>
  <si>
    <t>996131</t>
  </si>
  <si>
    <t>992443</t>
  </si>
  <si>
    <t>971046</t>
  </si>
  <si>
    <t>986363</t>
  </si>
  <si>
    <t>978027</t>
  </si>
  <si>
    <t>990019</t>
  </si>
  <si>
    <t>992649</t>
  </si>
  <si>
    <t>985027</t>
  </si>
  <si>
    <t>978009</t>
  </si>
  <si>
    <t>986350</t>
  </si>
  <si>
    <t>984018</t>
  </si>
  <si>
    <t>966089</t>
  </si>
  <si>
    <t>992615</t>
  </si>
  <si>
    <t>988921</t>
  </si>
  <si>
    <t>986318</t>
  </si>
  <si>
    <t>982041</t>
  </si>
  <si>
    <t>954144</t>
  </si>
  <si>
    <t>988671</t>
  </si>
  <si>
    <t>995167</t>
  </si>
  <si>
    <t>940071</t>
  </si>
  <si>
    <t>975039</t>
  </si>
  <si>
    <t>980126</t>
  </si>
  <si>
    <t>988689</t>
  </si>
  <si>
    <t>989199</t>
  </si>
  <si>
    <t>992570</t>
  </si>
  <si>
    <t>995022</t>
  </si>
  <si>
    <t>975105</t>
  </si>
  <si>
    <t>988826</t>
  </si>
  <si>
    <t>954129</t>
  </si>
  <si>
    <t>989253</t>
  </si>
  <si>
    <t>991131</t>
  </si>
  <si>
    <t>992458</t>
  </si>
  <si>
    <t>992200</t>
  </si>
  <si>
    <t>989105</t>
  </si>
  <si>
    <t>965015</t>
  </si>
  <si>
    <t>992178</t>
  </si>
  <si>
    <t>993003</t>
  </si>
  <si>
    <t>965010</t>
  </si>
  <si>
    <t>985022</t>
  </si>
  <si>
    <t>954017</t>
  </si>
  <si>
    <t>975054</t>
  </si>
  <si>
    <t>985023</t>
  </si>
  <si>
    <t>972037</t>
  </si>
  <si>
    <t>988682</t>
  </si>
  <si>
    <t>985024</t>
  </si>
  <si>
    <t>978039</t>
  </si>
  <si>
    <t>954125</t>
  </si>
  <si>
    <t>986317</t>
  </si>
  <si>
    <t>986376</t>
  </si>
  <si>
    <t>984009</t>
  </si>
  <si>
    <t>988441</t>
  </si>
  <si>
    <t>988277</t>
  </si>
  <si>
    <t>989229</t>
  </si>
  <si>
    <t>988347</t>
  </si>
  <si>
    <t>988624</t>
  </si>
  <si>
    <t>992807</t>
  </si>
  <si>
    <t>989311</t>
  </si>
  <si>
    <t>988617</t>
  </si>
  <si>
    <t>966162</t>
  </si>
  <si>
    <t>966122</t>
  </si>
  <si>
    <t>982047</t>
  </si>
  <si>
    <t>992505</t>
  </si>
  <si>
    <t>984099</t>
  </si>
  <si>
    <t>988837</t>
  </si>
  <si>
    <t>979006</t>
  </si>
  <si>
    <t>992303</t>
  </si>
  <si>
    <t>989123</t>
  </si>
  <si>
    <t>992582</t>
  </si>
  <si>
    <t>992232</t>
  </si>
  <si>
    <t>988848</t>
  </si>
  <si>
    <t>989290</t>
  </si>
  <si>
    <t>984023</t>
  </si>
  <si>
    <t>980127</t>
  </si>
  <si>
    <t>992595</t>
  </si>
  <si>
    <t>992308</t>
  </si>
  <si>
    <t>988968</t>
  </si>
  <si>
    <t>992714</t>
  </si>
  <si>
    <t>992731</t>
  </si>
  <si>
    <t>989285</t>
  </si>
  <si>
    <t>992673</t>
  </si>
  <si>
    <t>940007</t>
  </si>
  <si>
    <t>988813</t>
  </si>
  <si>
    <t>984072</t>
  </si>
  <si>
    <t>992307</t>
  </si>
  <si>
    <t>966139</t>
  </si>
  <si>
    <t>954141</t>
  </si>
  <si>
    <t>954103</t>
  </si>
  <si>
    <t>988257</t>
  </si>
  <si>
    <t>988911</t>
  </si>
  <si>
    <t>992754</t>
  </si>
  <si>
    <t>966071</t>
  </si>
  <si>
    <t>988980</t>
  </si>
  <si>
    <t>940024</t>
  </si>
  <si>
    <t>940015</t>
  </si>
  <si>
    <t>992157</t>
  </si>
  <si>
    <t>954105</t>
  </si>
  <si>
    <t>995090</t>
  </si>
  <si>
    <t>988309</t>
  </si>
  <si>
    <t>992810</t>
  </si>
  <si>
    <t>978031</t>
  </si>
  <si>
    <t>988705</t>
  </si>
  <si>
    <t>992464</t>
  </si>
  <si>
    <t>986095</t>
  </si>
  <si>
    <t>988637</t>
  </si>
  <si>
    <t>980128</t>
  </si>
  <si>
    <t>988627</t>
  </si>
  <si>
    <t>980084</t>
  </si>
  <si>
    <t>940078</t>
  </si>
  <si>
    <t>988273</t>
  </si>
  <si>
    <t>975177</t>
  </si>
  <si>
    <t>984075</t>
  </si>
  <si>
    <t>988948</t>
  </si>
  <si>
    <t>966029</t>
  </si>
  <si>
    <t>988882</t>
  </si>
  <si>
    <t>990064</t>
  </si>
  <si>
    <t>992645</t>
  </si>
  <si>
    <t>992089</t>
  </si>
  <si>
    <t>982123</t>
  </si>
  <si>
    <t>992024</t>
  </si>
  <si>
    <t>975005</t>
  </si>
  <si>
    <t>991135</t>
  </si>
  <si>
    <t>955193</t>
  </si>
  <si>
    <t>989131</t>
  </si>
  <si>
    <t>982124</t>
  </si>
  <si>
    <t>982216</t>
  </si>
  <si>
    <t>992346</t>
  </si>
  <si>
    <t>980186</t>
  </si>
  <si>
    <t>996119</t>
  </si>
  <si>
    <t>991183</t>
  </si>
  <si>
    <t>981002</t>
  </si>
  <si>
    <t>955194</t>
  </si>
  <si>
    <t>988863</t>
  </si>
  <si>
    <t>988589</t>
  </si>
  <si>
    <t>988846</t>
  </si>
  <si>
    <t>988975</t>
  </si>
  <si>
    <t>988254</t>
  </si>
  <si>
    <t>992074</t>
  </si>
  <si>
    <t>954213</t>
  </si>
  <si>
    <t>988896</t>
  </si>
  <si>
    <t>954058</t>
  </si>
  <si>
    <t>984016</t>
  </si>
  <si>
    <t>988933</t>
  </si>
  <si>
    <t>955087</t>
  </si>
  <si>
    <t>992320</t>
  </si>
  <si>
    <t>988588</t>
  </si>
  <si>
    <t>992609</t>
  </si>
  <si>
    <t>979042</t>
  </si>
  <si>
    <t>966057</t>
  </si>
  <si>
    <t>988847</t>
  </si>
  <si>
    <t>988691</t>
  </si>
  <si>
    <t>995088</t>
  </si>
  <si>
    <t>955229</t>
  </si>
  <si>
    <t>980123</t>
  </si>
  <si>
    <t>995270</t>
  </si>
  <si>
    <t>958032</t>
  </si>
  <si>
    <t>954297</t>
  </si>
  <si>
    <t>985043</t>
  </si>
  <si>
    <t>959007</t>
  </si>
  <si>
    <t>955105</t>
  </si>
  <si>
    <t>993115</t>
  </si>
  <si>
    <t>959014</t>
  </si>
  <si>
    <t>959010</t>
  </si>
  <si>
    <t>968003</t>
  </si>
  <si>
    <t>959028</t>
  </si>
  <si>
    <t>959027</t>
  </si>
  <si>
    <t>955182</t>
  </si>
  <si>
    <t>959045</t>
  </si>
  <si>
    <t>959030</t>
  </si>
  <si>
    <t>988836</t>
  </si>
  <si>
    <t>959055</t>
  </si>
  <si>
    <t>959034</t>
  </si>
  <si>
    <t>940090</t>
  </si>
  <si>
    <t>959061</t>
  </si>
  <si>
    <t>959040</t>
  </si>
  <si>
    <t>992753</t>
  </si>
  <si>
    <t>966215</t>
  </si>
  <si>
    <t>959051</t>
  </si>
  <si>
    <t>955042</t>
  </si>
  <si>
    <t>976102</t>
  </si>
  <si>
    <t>962012</t>
  </si>
  <si>
    <t>966034</t>
  </si>
  <si>
    <t>984124</t>
  </si>
  <si>
    <t>975197</t>
  </si>
  <si>
    <t>988275</t>
  </si>
  <si>
    <t>992814</t>
  </si>
  <si>
    <t>976105</t>
  </si>
  <si>
    <t>982136</t>
  </si>
  <si>
    <t>953014</t>
  </si>
  <si>
    <t>976100</t>
  </si>
  <si>
    <t>982137</t>
  </si>
  <si>
    <t>953030</t>
  </si>
  <si>
    <t>981106</t>
  </si>
  <si>
    <t>966200</t>
  </si>
  <si>
    <t>953031</t>
  </si>
  <si>
    <t>984123</t>
  </si>
  <si>
    <t>988815</t>
  </si>
  <si>
    <t>977052</t>
  </si>
  <si>
    <t>940110</t>
  </si>
  <si>
    <t>966115</t>
  </si>
  <si>
    <t>986616</t>
  </si>
  <si>
    <t>991186</t>
  </si>
  <si>
    <t>978070</t>
  </si>
  <si>
    <t>992827</t>
  </si>
  <si>
    <t>992817</t>
  </si>
  <si>
    <t>993139</t>
  </si>
  <si>
    <t>992818</t>
  </si>
  <si>
    <t>955043</t>
  </si>
  <si>
    <t>953005</t>
  </si>
  <si>
    <t>989112</t>
  </si>
  <si>
    <t>953006</t>
  </si>
  <si>
    <t>993114</t>
  </si>
  <si>
    <t>953008</t>
  </si>
  <si>
    <t>955155</t>
  </si>
  <si>
    <t>953011</t>
  </si>
  <si>
    <t>966044</t>
  </si>
  <si>
    <t>953029</t>
  </si>
  <si>
    <t>981038</t>
  </si>
  <si>
    <t>975201</t>
  </si>
  <si>
    <t>988838</t>
  </si>
  <si>
    <t>979063</t>
  </si>
  <si>
    <t>989272</t>
  </si>
  <si>
    <t>984126</t>
  </si>
  <si>
    <t>966166</t>
  </si>
  <si>
    <t>986611</t>
  </si>
  <si>
    <t>984077</t>
  </si>
  <si>
    <t>993079</t>
  </si>
  <si>
    <t>988943</t>
  </si>
  <si>
    <t>989306</t>
  </si>
  <si>
    <t>992177</t>
  </si>
  <si>
    <t>992559</t>
  </si>
  <si>
    <t>992552</t>
  </si>
  <si>
    <t>995305</t>
  </si>
  <si>
    <t>980147</t>
  </si>
  <si>
    <t>954143</t>
  </si>
  <si>
    <t>986596</t>
  </si>
  <si>
    <t>991158</t>
  </si>
  <si>
    <t>996123</t>
  </si>
  <si>
    <t>955046</t>
  </si>
  <si>
    <t>955045</t>
  </si>
  <si>
    <t>985016</t>
  </si>
  <si>
    <t>997007</t>
  </si>
  <si>
    <t>940040</t>
  </si>
  <si>
    <t>993008</t>
  </si>
  <si>
    <t>975036</t>
  </si>
  <si>
    <t>993016</t>
  </si>
  <si>
    <t>988816</t>
  </si>
  <si>
    <t>988821</t>
  </si>
  <si>
    <t>989110</t>
  </si>
  <si>
    <t>989117</t>
  </si>
  <si>
    <t>967009</t>
  </si>
  <si>
    <t>982211</t>
  </si>
  <si>
    <t>989101</t>
  </si>
  <si>
    <t>989031</t>
  </si>
  <si>
    <t>980103</t>
  </si>
  <si>
    <t>982214</t>
  </si>
  <si>
    <t>992115</t>
  </si>
  <si>
    <t>996201</t>
  </si>
  <si>
    <t>982213</t>
  </si>
  <si>
    <t>980112</t>
  </si>
  <si>
    <t>988820</t>
  </si>
  <si>
    <t>986347</t>
  </si>
  <si>
    <t>989119</t>
  </si>
  <si>
    <t>978020</t>
  </si>
  <si>
    <t>993004</t>
  </si>
  <si>
    <t>993012</t>
  </si>
  <si>
    <t>993015</t>
  </si>
  <si>
    <t>991079</t>
  </si>
  <si>
    <t>988292</t>
  </si>
  <si>
    <t>988823</t>
  </si>
  <si>
    <t>966027</t>
  </si>
  <si>
    <t>996125</t>
  </si>
  <si>
    <t>988619</t>
  </si>
  <si>
    <t>988612</t>
  </si>
  <si>
    <t>988610</t>
  </si>
  <si>
    <t>966052</t>
  </si>
  <si>
    <t>996122</t>
  </si>
  <si>
    <t>986325</t>
  </si>
  <si>
    <t>986370</t>
  </si>
  <si>
    <t>954205</t>
  </si>
  <si>
    <t>940098</t>
  </si>
  <si>
    <t>988831</t>
  </si>
  <si>
    <t>996116</t>
  </si>
  <si>
    <t>966016</t>
  </si>
  <si>
    <t>979044</t>
  </si>
  <si>
    <t>992479</t>
  </si>
  <si>
    <t>982209</t>
  </si>
  <si>
    <t>986374</t>
  </si>
  <si>
    <t>982215</t>
  </si>
  <si>
    <t>958031</t>
  </si>
  <si>
    <t>959013</t>
  </si>
  <si>
    <t>959017</t>
  </si>
  <si>
    <t>959019</t>
  </si>
  <si>
    <t>959021</t>
  </si>
  <si>
    <t>959025</t>
  </si>
  <si>
    <t>959042</t>
  </si>
  <si>
    <t>959048</t>
  </si>
  <si>
    <t>980213</t>
  </si>
  <si>
    <t>987018</t>
  </si>
  <si>
    <t>987019</t>
  </si>
  <si>
    <t>940107</t>
  </si>
  <si>
    <t>940113</t>
  </si>
  <si>
    <t>991187</t>
  </si>
  <si>
    <t>953004</t>
  </si>
  <si>
    <t>953012</t>
  </si>
  <si>
    <t>978077</t>
  </si>
  <si>
    <t>982277</t>
  </si>
  <si>
    <t>989351</t>
  </si>
  <si>
    <t>992819</t>
  </si>
  <si>
    <t>950002</t>
  </si>
  <si>
    <t>950021</t>
  </si>
  <si>
    <t>950022</t>
  </si>
  <si>
    <t>950065</t>
  </si>
  <si>
    <t>950082</t>
  </si>
  <si>
    <t>950080</t>
  </si>
  <si>
    <t>950083</t>
  </si>
  <si>
    <t>991196</t>
  </si>
  <si>
    <t>950074</t>
  </si>
  <si>
    <t>983128</t>
  </si>
  <si>
    <t>983129</t>
  </si>
  <si>
    <t>983130</t>
  </si>
  <si>
    <t>950076</t>
  </si>
  <si>
    <t>950070</t>
  </si>
  <si>
    <t>971102</t>
  </si>
  <si>
    <t>971101</t>
  </si>
  <si>
    <t>950004</t>
  </si>
  <si>
    <t>950046</t>
  </si>
  <si>
    <t>950062</t>
  </si>
  <si>
    <t>950095</t>
  </si>
  <si>
    <t>950099</t>
  </si>
  <si>
    <t>958034</t>
  </si>
  <si>
    <t>940124</t>
  </si>
  <si>
    <t>950044</t>
  </si>
  <si>
    <t>950090</t>
  </si>
  <si>
    <t>950098</t>
  </si>
  <si>
    <t>950001</t>
  </si>
  <si>
    <t>940131</t>
  </si>
  <si>
    <t>950043</t>
  </si>
  <si>
    <t>950015</t>
  </si>
  <si>
    <t>950061</t>
  </si>
  <si>
    <t>950048</t>
  </si>
  <si>
    <t>940130</t>
  </si>
  <si>
    <t>950005</t>
  </si>
  <si>
    <t>950054</t>
  </si>
  <si>
    <t>991208</t>
  </si>
  <si>
    <t>950050</t>
  </si>
  <si>
    <t>950059</t>
  </si>
  <si>
    <t>991213</t>
  </si>
  <si>
    <t>950087</t>
  </si>
  <si>
    <t>959064</t>
  </si>
  <si>
    <t>992832</t>
  </si>
  <si>
    <t>950092</t>
  </si>
  <si>
    <t>959067</t>
  </si>
  <si>
    <t>940122</t>
  </si>
  <si>
    <t>940123</t>
  </si>
  <si>
    <t>996413</t>
  </si>
  <si>
    <t>998207</t>
  </si>
  <si>
    <t>991212</t>
  </si>
  <si>
    <t>950014</t>
  </si>
  <si>
    <t>950003</t>
  </si>
  <si>
    <t>950017</t>
  </si>
  <si>
    <t>950041</t>
  </si>
  <si>
    <t>950039</t>
  </si>
  <si>
    <t>950045</t>
  </si>
  <si>
    <t>950079</t>
  </si>
  <si>
    <t>950047</t>
  </si>
  <si>
    <t>983131</t>
  </si>
  <si>
    <t>950060</t>
  </si>
  <si>
    <t>940136</t>
  </si>
  <si>
    <t>950091</t>
  </si>
  <si>
    <t>940143</t>
  </si>
  <si>
    <t>967048</t>
  </si>
  <si>
    <t>990075</t>
  </si>
  <si>
    <t>985090</t>
  </si>
  <si>
    <t>993147</t>
  </si>
  <si>
    <t>940134</t>
  </si>
  <si>
    <t>940144</t>
  </si>
  <si>
    <t>993151</t>
  </si>
  <si>
    <t>950013</t>
  </si>
  <si>
    <t>950034</t>
  </si>
  <si>
    <t>950035</t>
  </si>
  <si>
    <t>950037</t>
  </si>
  <si>
    <t>950040</t>
  </si>
  <si>
    <t>950052</t>
  </si>
  <si>
    <t>950081</t>
  </si>
  <si>
    <t>950088</t>
  </si>
  <si>
    <t>975203</t>
  </si>
  <si>
    <t>984127</t>
  </si>
  <si>
    <t>940129</t>
  </si>
  <si>
    <t>950042</t>
  </si>
  <si>
    <t>950077</t>
  </si>
  <si>
    <t>950093</t>
  </si>
  <si>
    <t>940133</t>
  </si>
  <si>
    <t>992833</t>
  </si>
  <si>
    <t>995338</t>
  </si>
  <si>
    <t>950011</t>
  </si>
  <si>
    <t>950032</t>
  </si>
  <si>
    <t>950016</t>
  </si>
  <si>
    <t>959065</t>
  </si>
  <si>
    <t>950056</t>
  </si>
  <si>
    <t>940141</t>
  </si>
  <si>
    <t>982280</t>
  </si>
  <si>
    <t>950006</t>
  </si>
  <si>
    <t>991198</t>
  </si>
  <si>
    <t>991209</t>
  </si>
  <si>
    <t>950018</t>
  </si>
  <si>
    <t>991199</t>
  </si>
  <si>
    <t>993149</t>
  </si>
  <si>
    <t>950064</t>
  </si>
  <si>
    <t>992829</t>
  </si>
  <si>
    <t>950073</t>
  </si>
  <si>
    <t>950097</t>
  </si>
  <si>
    <t>950100</t>
  </si>
  <si>
    <t>975204</t>
  </si>
  <si>
    <t>940128</t>
  </si>
  <si>
    <t>940142</t>
  </si>
  <si>
    <t>989352</t>
  </si>
  <si>
    <t>992831</t>
  </si>
  <si>
    <t>950019</t>
  </si>
  <si>
    <t>950020</t>
  </si>
  <si>
    <t>950049</t>
  </si>
  <si>
    <t>950007</t>
  </si>
  <si>
    <t>950051</t>
  </si>
  <si>
    <t>950023</t>
  </si>
  <si>
    <t>950053</t>
  </si>
  <si>
    <t>950012</t>
  </si>
  <si>
    <t>950055</t>
  </si>
  <si>
    <t>950071</t>
  </si>
  <si>
    <t>950033</t>
  </si>
  <si>
    <t>950057</t>
  </si>
  <si>
    <t>950085</t>
  </si>
  <si>
    <t>950036</t>
  </si>
  <si>
    <t>950075</t>
  </si>
  <si>
    <t>950086</t>
  </si>
  <si>
    <t>950038</t>
  </si>
  <si>
    <t>960063</t>
  </si>
  <si>
    <t>959066</t>
  </si>
  <si>
    <t>950066</t>
  </si>
  <si>
    <t>975202</t>
  </si>
  <si>
    <t>985091</t>
  </si>
  <si>
    <t>950072</t>
  </si>
  <si>
    <t>981107</t>
  </si>
  <si>
    <t>991197</t>
  </si>
  <si>
    <t>950084</t>
  </si>
  <si>
    <t>960062</t>
  </si>
  <si>
    <t>986617</t>
  </si>
  <si>
    <t>940127</t>
  </si>
  <si>
    <t>978078</t>
  </si>
  <si>
    <t>940137</t>
  </si>
  <si>
    <t>940125</t>
  </si>
  <si>
    <t>991210</t>
  </si>
  <si>
    <t>940135</t>
  </si>
  <si>
    <t>993150</t>
  </si>
  <si>
    <t>940139</t>
  </si>
  <si>
    <t>995339</t>
  </si>
  <si>
    <t>950008</t>
  </si>
  <si>
    <t>950030</t>
  </si>
  <si>
    <t>950031</t>
  </si>
  <si>
    <t>950058</t>
  </si>
  <si>
    <t>950063</t>
  </si>
  <si>
    <t>950096</t>
  </si>
  <si>
    <t>958035</t>
  </si>
  <si>
    <t>978080</t>
  </si>
  <si>
    <t>950009</t>
  </si>
  <si>
    <t>984129</t>
  </si>
  <si>
    <t>950010</t>
  </si>
  <si>
    <t>940132</t>
  </si>
  <si>
    <t>950024</t>
  </si>
  <si>
    <t>991205</t>
  </si>
  <si>
    <t>950025</t>
  </si>
  <si>
    <t>991207</t>
  </si>
  <si>
    <t>950026</t>
  </si>
  <si>
    <t>991211</t>
  </si>
  <si>
    <t>950068</t>
  </si>
  <si>
    <t>950069</t>
  </si>
  <si>
    <t>950078</t>
  </si>
  <si>
    <t>974013</t>
  </si>
  <si>
    <t>984128</t>
  </si>
  <si>
    <t>940140</t>
  </si>
  <si>
    <t>991201</t>
  </si>
  <si>
    <t>991206</t>
  </si>
  <si>
    <t>992830</t>
  </si>
  <si>
    <t>995337</t>
  </si>
  <si>
    <t>950027</t>
  </si>
  <si>
    <t>950028</t>
  </si>
  <si>
    <t>950029</t>
  </si>
  <si>
    <t>950067</t>
  </si>
  <si>
    <t>950089</t>
  </si>
  <si>
    <t>950094</t>
  </si>
  <si>
    <t>978079</t>
  </si>
  <si>
    <t>940126</t>
  </si>
  <si>
    <t>940138</t>
  </si>
  <si>
    <t>991200</t>
  </si>
  <si>
    <t>991202</t>
  </si>
  <si>
    <t>991203</t>
  </si>
  <si>
    <t>991204</t>
  </si>
  <si>
    <t>993148</t>
  </si>
  <si>
    <t>995336</t>
  </si>
  <si>
    <t>996412</t>
  </si>
  <si>
    <t>G7252813</t>
  </si>
  <si>
    <t>[3사업단] - 김민호</t>
  </si>
  <si>
    <t>951003</t>
  </si>
  <si>
    <t>951004</t>
  </si>
  <si>
    <t>951005</t>
  </si>
  <si>
    <t>951014</t>
  </si>
  <si>
    <t>951011</t>
  </si>
  <si>
    <t>951026</t>
  </si>
  <si>
    <t>951039</t>
  </si>
  <si>
    <t>951027</t>
  </si>
  <si>
    <t>951015</t>
  </si>
  <si>
    <t>951018</t>
  </si>
  <si>
    <t>951020</t>
  </si>
  <si>
    <t>951036</t>
  </si>
  <si>
    <t>951038</t>
  </si>
  <si>
    <t>951040</t>
  </si>
  <si>
    <t>951041</t>
  </si>
  <si>
    <t>951042</t>
  </si>
  <si>
    <t>951010</t>
  </si>
  <si>
    <t>951021</t>
  </si>
  <si>
    <t>951008</t>
  </si>
  <si>
    <t>951012</t>
  </si>
  <si>
    <t>951025</t>
  </si>
  <si>
    <t>951028</t>
  </si>
  <si>
    <t>951029</t>
  </si>
  <si>
    <t>951030</t>
  </si>
  <si>
    <t>951031</t>
  </si>
  <si>
    <t>951032</t>
  </si>
  <si>
    <t>951033</t>
  </si>
  <si>
    <t>951034</t>
  </si>
  <si>
    <t>951035</t>
  </si>
  <si>
    <t>951037</t>
  </si>
  <si>
    <t>951016</t>
  </si>
  <si>
    <t>951006</t>
  </si>
  <si>
    <t>951013</t>
  </si>
  <si>
    <t>951007</t>
  </si>
  <si>
    <t>951009</t>
  </si>
  <si>
    <t>951017</t>
  </si>
  <si>
    <t>951022</t>
  </si>
  <si>
    <t>951024</t>
  </si>
  <si>
    <t>951023</t>
  </si>
  <si>
    <t>951019</t>
  </si>
  <si>
    <t>(무)하나로누리는건강보험(해약환급금 미지급형, 355간편심사형)</t>
  </si>
  <si>
    <t>(무)하나로누리는건강보험(해약환급금 미지급형, 335간편심사형)</t>
  </si>
  <si>
    <t>(무)하나로누리는건강보험(해약환급금 미지급형, 305간편심사형)</t>
  </si>
  <si>
    <t>(무)하나로누리는건강보험(갱신형, 355간편심사형, 최초계약)</t>
  </si>
  <si>
    <t>(무)하나로누리는건강보험(갱신형, 335간편심사형, 최초계약)</t>
  </si>
  <si>
    <t>(무)하나로누리는건강보험(갱신형, 305간편심사형, 최초계약)</t>
  </si>
  <si>
    <t>(무)하나로누리는건강보험(표준형, 일반심사형)</t>
  </si>
  <si>
    <t>(무)하나로누리는건강보험(표준형, 355간편심사형)</t>
  </si>
  <si>
    <t>(무)하나로누리는건강보험(표준형, 335간편심사형)</t>
  </si>
  <si>
    <t>(무)하나로누리는건강보험(표준형, 305간편심사형)</t>
  </si>
  <si>
    <t>(무)하나로라이트3.10.5 간편건강보험(표준형)</t>
  </si>
  <si>
    <t>(무)하나로라이트3.10.5 간편건강보험(갱신형, 최초계약)</t>
    <phoneticPr fontId="2" type="noConversion"/>
  </si>
  <si>
    <t>[2사업단] - 이성규</t>
  </si>
  <si>
    <t>950101</t>
  </si>
  <si>
    <t>950104</t>
  </si>
  <si>
    <t>967050</t>
  </si>
  <si>
    <t>982283</t>
  </si>
  <si>
    <t>998208</t>
  </si>
  <si>
    <t>998210</t>
  </si>
  <si>
    <t>958036</t>
  </si>
  <si>
    <t>971103</t>
  </si>
  <si>
    <t>991215</t>
  </si>
  <si>
    <t>967049</t>
  </si>
  <si>
    <t>986618</t>
  </si>
  <si>
    <t>940146</t>
  </si>
  <si>
    <t>982281</t>
  </si>
  <si>
    <t>998211</t>
  </si>
  <si>
    <t>959068</t>
  </si>
  <si>
    <t>975205</t>
  </si>
  <si>
    <t>994112</t>
  </si>
  <si>
    <t>992839</t>
  </si>
  <si>
    <t>981108</t>
  </si>
  <si>
    <t>991219</t>
  </si>
  <si>
    <t>992837</t>
  </si>
  <si>
    <t>998209</t>
  </si>
  <si>
    <t>958037</t>
  </si>
  <si>
    <t>989353</t>
  </si>
  <si>
    <t>991216</t>
  </si>
  <si>
    <t>992840</t>
  </si>
  <si>
    <t>982284</t>
  </si>
  <si>
    <t>982285</t>
  </si>
  <si>
    <t>991214</t>
  </si>
  <si>
    <t>992835</t>
  </si>
  <si>
    <t>993153</t>
  </si>
  <si>
    <t>981110</t>
  </si>
  <si>
    <t>940147</t>
  </si>
  <si>
    <t>996414</t>
  </si>
  <si>
    <t>985092</t>
  </si>
  <si>
    <t>982282</t>
  </si>
  <si>
    <t>940148</t>
  </si>
  <si>
    <t>986619</t>
  </si>
  <si>
    <t>991222</t>
  </si>
  <si>
    <t>954298</t>
  </si>
  <si>
    <t>991220</t>
  </si>
  <si>
    <t>991221</t>
  </si>
  <si>
    <t>953032</t>
  </si>
  <si>
    <t>982286</t>
  </si>
  <si>
    <t>984130</t>
  </si>
  <si>
    <t>991218</t>
  </si>
  <si>
    <t>996415</t>
  </si>
  <si>
    <t>950103</t>
  </si>
  <si>
    <t>995340</t>
  </si>
  <si>
    <t>966218</t>
  </si>
  <si>
    <t>992836</t>
  </si>
  <si>
    <t>992841</t>
  </si>
  <si>
    <t>950102</t>
  </si>
  <si>
    <t>979066</t>
  </si>
  <si>
    <t>979065</t>
  </si>
  <si>
    <t>984131</t>
  </si>
  <si>
    <t>992838</t>
  </si>
  <si>
    <t>979067</t>
  </si>
  <si>
    <t>981109</t>
  </si>
  <si>
    <t>940145</t>
  </si>
  <si>
    <t>940149</t>
  </si>
  <si>
    <t>991217</t>
  </si>
  <si>
    <t>993152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</si>
</sst>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name val="Calibri"/>
      <family val="2"/>
    </font>
    <font>
      <sz val="11"/>
      <name val="Calibri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7">
    <xf numFmtId="0" fontId="0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  <xf numFmtId="0" fontId="7" fillId="0" borderId="0"/>
    <xf numFmtId="0" fontId="8" fillId="0" borderId="0"/>
  </cellStyleXfs>
  <cellXfs count="60">
    <xf numFmtId="0" fontId="0" fillId="0" borderId="0" xfId="0">
      <alignment vertical="center"/>
    </xf>
    <xf numFmtId="0" fontId="5" fillId="2" borderId="10" xfId="0" applyFont="1" applyFill="1" applyBorder="1" applyAlignment="1">
      <alignment horizontal="centerContinuous" vertical="center" shrinkToFit="1"/>
    </xf>
    <xf numFmtId="0" fontId="4" fillId="2" borderId="2" xfId="0" applyFont="1" applyFill="1" applyBorder="1" applyAlignment="1">
      <alignment horizontal="centerContinuous" vertical="center" shrinkToFit="1"/>
    </xf>
    <xf numFmtId="0" fontId="4" fillId="2" borderId="13" xfId="0" applyFont="1" applyFill="1" applyBorder="1" applyAlignment="1">
      <alignment horizontal="centerContinuous" vertical="center" shrinkToFit="1"/>
    </xf>
    <xf numFmtId="0" fontId="5" fillId="2" borderId="1" xfId="0" applyFont="1" applyFill="1" applyBorder="1" applyAlignment="1">
      <alignment horizontal="centerContinuous" vertical="center" shrinkToFit="1"/>
    </xf>
    <xf numFmtId="0" fontId="4" fillId="2" borderId="3" xfId="0" applyFont="1" applyFill="1" applyBorder="1" applyAlignment="1">
      <alignment horizontal="centerContinuous" vertical="center" shrinkToFit="1"/>
    </xf>
    <xf numFmtId="0" fontId="4" fillId="0" borderId="0" xfId="0" applyFont="1">
      <alignment vertical="center"/>
    </xf>
    <xf numFmtId="0" fontId="5" fillId="2" borderId="12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4" fillId="2" borderId="15" xfId="0" applyFont="1" applyFill="1" applyBorder="1" applyAlignment="1">
      <alignment horizontal="center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41" fontId="5" fillId="0" borderId="22" xfId="1" applyFont="1" applyBorder="1" applyAlignment="1">
      <alignment vertical="center" shrinkToFit="1"/>
    </xf>
    <xf numFmtId="41" fontId="5" fillId="0" borderId="23" xfId="1" applyFont="1" applyBorder="1" applyAlignment="1">
      <alignment vertical="center" shrinkToFit="1"/>
    </xf>
    <xf numFmtId="41" fontId="4" fillId="0" borderId="20" xfId="1" applyFont="1" applyBorder="1" applyAlignment="1">
      <alignment vertical="center" shrinkToFit="1"/>
    </xf>
    <xf numFmtId="41" fontId="4" fillId="0" borderId="21" xfId="1" applyFont="1" applyBorder="1" applyAlignment="1">
      <alignment vertical="center" shrinkToFit="1"/>
    </xf>
    <xf numFmtId="176" fontId="5" fillId="0" borderId="19" xfId="1" applyNumberFormat="1" applyFont="1" applyBorder="1" applyAlignment="1">
      <alignment vertical="center" shrinkToFit="1"/>
    </xf>
    <xf numFmtId="176" fontId="4" fillId="0" borderId="20" xfId="1" applyNumberFormat="1" applyFont="1" applyBorder="1" applyAlignment="1">
      <alignment vertical="center" shrinkToFit="1"/>
    </xf>
    <xf numFmtId="176" fontId="4" fillId="0" borderId="21" xfId="1" applyNumberFormat="1" applyFont="1" applyBorder="1" applyAlignment="1">
      <alignment vertical="center" shrinkToFit="1"/>
    </xf>
    <xf numFmtId="176" fontId="4" fillId="0" borderId="24" xfId="1" applyNumberFormat="1" applyFont="1" applyBorder="1" applyAlignment="1">
      <alignment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41" fontId="5" fillId="0" borderId="17" xfId="1" applyFont="1" applyBorder="1" applyAlignment="1">
      <alignment vertical="center" shrinkToFit="1"/>
    </xf>
    <xf numFmtId="41" fontId="5" fillId="0" borderId="11" xfId="1" applyFont="1" applyBorder="1" applyAlignment="1">
      <alignment vertical="center" shrinkToFit="1"/>
    </xf>
    <xf numFmtId="41" fontId="4" fillId="0" borderId="5" xfId="1" applyFont="1" applyBorder="1" applyAlignment="1">
      <alignment vertical="center" shrinkToFit="1"/>
    </xf>
    <xf numFmtId="41" fontId="4" fillId="0" borderId="14" xfId="1" applyFont="1" applyBorder="1" applyAlignment="1">
      <alignment vertical="center" shrinkToFit="1"/>
    </xf>
    <xf numFmtId="176" fontId="5" fillId="0" borderId="4" xfId="1" applyNumberFormat="1" applyFont="1" applyBorder="1" applyAlignment="1">
      <alignment vertical="center" shrinkToFit="1"/>
    </xf>
    <xf numFmtId="176" fontId="4" fillId="0" borderId="5" xfId="1" applyNumberFormat="1" applyFont="1" applyBorder="1" applyAlignment="1">
      <alignment vertical="center" shrinkToFit="1"/>
    </xf>
    <xf numFmtId="176" fontId="4" fillId="0" borderId="14" xfId="1" applyNumberFormat="1" applyFont="1" applyBorder="1" applyAlignment="1">
      <alignment vertical="center" shrinkToFit="1"/>
    </xf>
    <xf numFmtId="176" fontId="4" fillId="0" borderId="6" xfId="1" applyNumberFormat="1" applyFont="1" applyBorder="1" applyAlignment="1">
      <alignment vertical="center" shrinkToFit="1"/>
    </xf>
    <xf numFmtId="176" fontId="5" fillId="0" borderId="5" xfId="1" applyNumberFormat="1" applyFont="1" applyBorder="1" applyAlignment="1">
      <alignment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41" fontId="5" fillId="0" borderId="18" xfId="1" applyFont="1" applyBorder="1" applyAlignment="1">
      <alignment vertical="center" shrinkToFit="1"/>
    </xf>
    <xf numFmtId="41" fontId="5" fillId="0" borderId="12" xfId="1" applyFont="1" applyBorder="1" applyAlignment="1">
      <alignment vertical="center" shrinkToFit="1"/>
    </xf>
    <xf numFmtId="41" fontId="4" fillId="0" borderId="8" xfId="1" applyFont="1" applyBorder="1" applyAlignment="1">
      <alignment vertical="center" shrinkToFit="1"/>
    </xf>
    <xf numFmtId="41" fontId="4" fillId="0" borderId="15" xfId="1" applyFont="1" applyBorder="1" applyAlignment="1">
      <alignment vertical="center" shrinkToFit="1"/>
    </xf>
    <xf numFmtId="176" fontId="5" fillId="0" borderId="7" xfId="1" applyNumberFormat="1" applyFont="1" applyBorder="1" applyAlignment="1">
      <alignment vertical="center" shrinkToFit="1"/>
    </xf>
    <xf numFmtId="176" fontId="4" fillId="0" borderId="8" xfId="1" applyNumberFormat="1" applyFont="1" applyBorder="1" applyAlignment="1">
      <alignment vertical="center" shrinkToFit="1"/>
    </xf>
    <xf numFmtId="176" fontId="4" fillId="0" borderId="15" xfId="1" applyNumberFormat="1" applyFont="1" applyBorder="1" applyAlignment="1">
      <alignment vertical="center" shrinkToFit="1"/>
    </xf>
    <xf numFmtId="176" fontId="4" fillId="0" borderId="9" xfId="1" applyNumberFormat="1" applyFont="1" applyBorder="1" applyAlignment="1">
      <alignment vertical="center" shrinkToFit="1"/>
    </xf>
    <xf numFmtId="41" fontId="5" fillId="0" borderId="0" xfId="1" applyFont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 shrinkToFit="1"/>
    </xf>
    <xf numFmtId="0" fontId="0" fillId="0" borderId="19" xfId="0" applyBorder="1" applyAlignment="1"/>
    <xf numFmtId="0" fontId="4" fillId="2" borderId="13" xfId="0" applyFont="1" applyFill="1" applyBorder="1" applyAlignment="1">
      <alignment horizontal="center" vertical="center" shrinkToFit="1"/>
    </xf>
    <xf numFmtId="0" fontId="0" fillId="0" borderId="21" xfId="0" applyBorder="1" applyAlignment="1"/>
    <xf numFmtId="0" fontId="5" fillId="2" borderId="16" xfId="0" applyFont="1" applyFill="1" applyBorder="1" applyAlignment="1">
      <alignment horizontal="center" vertical="center" shrinkToFit="1"/>
    </xf>
    <xf numFmtId="0" fontId="0" fillId="0" borderId="22" xfId="0" applyBorder="1" applyAlignment="1"/>
    <xf numFmtId="0" fontId="4" fillId="2" borderId="2" xfId="0" applyFont="1" applyFill="1" applyBorder="1" applyAlignment="1">
      <alignment horizontal="center" vertical="center" shrinkToFit="1"/>
    </xf>
    <xf numFmtId="0" fontId="0" fillId="0" borderId="20" xfId="0" applyBorder="1" applyAlignment="1"/>
    <xf numFmtId="0" fontId="8" fillId="0" borderId="0" xfId="6"/>
    <xf numFmtId="0" fontId="9" fillId="0" borderId="0" xfId="6" applyFont="1" applyAlignment="1">
      <alignment horizontal="center"/>
    </xf>
  </cellXfs>
  <cellStyles count="7">
    <cellStyle name="쉼표 [0]" xfId="1" builtinId="6"/>
    <cellStyle name="쉼표 [0] 2" xfId="3" xr:uid="{00000000-0005-0000-0000-000003000000}"/>
    <cellStyle name="표준" xfId="0" builtinId="0"/>
    <cellStyle name="표준 2" xfId="2" xr:uid="{00000000-0005-0000-0000-000002000000}"/>
    <cellStyle name="표준 3" xfId="4" xr:uid="{52D42249-60B1-414E-AB64-7264DDF45F58}"/>
    <cellStyle name="표준 4" xfId="5" xr:uid="{F62F5B8F-BB54-45F0-9834-C78AAAD28A9C}"/>
    <cellStyle name="표준 5" xfId="6" xr:uid="{FA6CC20F-85A0-4EB2-BECD-C484D99EBD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DB4E-0E0B-4258-A816-55BEEFB6CD8C}">
  <dimension ref="A1:X599"/>
  <sheetViews>
    <sheetView tabSelected="1" workbookViewId="0">
      <selection activeCell="D27" sqref="D27"/>
    </sheetView>
  </sheetViews>
  <sheetFormatPr defaultRowHeight="15" x14ac:dyDescent="0.25"/>
  <cols>
    <col min="1" max="8" width="19.375" style="58" bestFit="1" customWidth="1"/>
    <col min="9" max="9" width="17.125" style="58" bestFit="1" customWidth="1"/>
    <col min="10" max="21" width="19.375" style="58" bestFit="1" customWidth="1"/>
    <col min="22" max="22" width="17.125" style="58" bestFit="1" customWidth="1"/>
    <col min="23" max="23" width="19.375" style="58" bestFit="1" customWidth="1"/>
    <col min="24" max="24" width="37.5" style="58" bestFit="1" customWidth="1"/>
    <col min="25" max="16384" width="9" style="58"/>
  </cols>
  <sheetData>
    <row r="1" spans="1:24" ht="17.25" x14ac:dyDescent="0.3">
      <c r="A1" s="59" t="s">
        <v>6</v>
      </c>
      <c r="B1" s="59" t="s">
        <v>29</v>
      </c>
      <c r="C1" s="59" t="s">
        <v>15</v>
      </c>
      <c r="D1" s="59" t="s">
        <v>26</v>
      </c>
      <c r="E1" s="59" t="s">
        <v>4</v>
      </c>
      <c r="F1" s="59" t="s">
        <v>9</v>
      </c>
      <c r="G1" s="59" t="s">
        <v>33</v>
      </c>
      <c r="H1" s="59" t="s">
        <v>2</v>
      </c>
      <c r="I1" s="59" t="s">
        <v>0</v>
      </c>
      <c r="J1" s="59" t="s">
        <v>28</v>
      </c>
      <c r="K1" s="59" t="s">
        <v>37</v>
      </c>
      <c r="L1" s="59" t="s">
        <v>35</v>
      </c>
      <c r="M1" s="59" t="s">
        <v>31</v>
      </c>
      <c r="N1" s="59" t="s">
        <v>341</v>
      </c>
      <c r="O1" s="59" t="s">
        <v>8</v>
      </c>
      <c r="P1" s="59" t="s">
        <v>342</v>
      </c>
      <c r="Q1" s="59" t="s">
        <v>7188</v>
      </c>
      <c r="R1" s="59" t="s">
        <v>13</v>
      </c>
      <c r="S1" s="59" t="s">
        <v>19</v>
      </c>
      <c r="T1" s="59" t="s">
        <v>17</v>
      </c>
      <c r="U1" s="59" t="s">
        <v>11</v>
      </c>
      <c r="V1" s="59" t="s">
        <v>21</v>
      </c>
      <c r="W1" s="59" t="s">
        <v>24</v>
      </c>
      <c r="X1" s="59" t="s">
        <v>42</v>
      </c>
    </row>
    <row r="2" spans="1:24" ht="17.25" x14ac:dyDescent="0.3">
      <c r="A2" s="59" t="s">
        <v>43</v>
      </c>
      <c r="B2" s="59" t="s">
        <v>44</v>
      </c>
      <c r="C2" s="59" t="s">
        <v>45</v>
      </c>
      <c r="D2" s="59" t="s">
        <v>46</v>
      </c>
      <c r="E2" s="59" t="s">
        <v>47</v>
      </c>
      <c r="F2" s="59" t="s">
        <v>7242</v>
      </c>
      <c r="G2" s="59" t="s">
        <v>48</v>
      </c>
      <c r="H2" s="59" t="s">
        <v>50</v>
      </c>
      <c r="I2" s="59" t="s">
        <v>49</v>
      </c>
      <c r="J2" s="59" t="s">
        <v>51</v>
      </c>
      <c r="K2" s="59" t="s">
        <v>52</v>
      </c>
      <c r="L2" s="59" t="s">
        <v>54</v>
      </c>
      <c r="M2" s="59" t="s">
        <v>53</v>
      </c>
      <c r="N2" s="59" t="s">
        <v>55</v>
      </c>
      <c r="O2" s="59" t="s">
        <v>56</v>
      </c>
      <c r="P2" s="59" t="s">
        <v>343</v>
      </c>
      <c r="Q2" s="59" t="s">
        <v>7189</v>
      </c>
      <c r="R2" s="59" t="s">
        <v>57</v>
      </c>
      <c r="S2" s="59" t="s">
        <v>58</v>
      </c>
      <c r="T2" s="59" t="s">
        <v>59</v>
      </c>
      <c r="U2" s="59" t="s">
        <v>344</v>
      </c>
      <c r="V2" s="59" t="s">
        <v>345</v>
      </c>
      <c r="W2" s="59" t="s">
        <v>346</v>
      </c>
      <c r="X2" s="59" t="s">
        <v>60</v>
      </c>
    </row>
    <row r="3" spans="1:24" ht="17.25" x14ac:dyDescent="0.3">
      <c r="A3" s="59" t="s">
        <v>347</v>
      </c>
      <c r="B3" s="59" t="s">
        <v>348</v>
      </c>
      <c r="C3" s="59" t="s">
        <v>349</v>
      </c>
      <c r="D3" s="59" t="s">
        <v>350</v>
      </c>
      <c r="E3" s="59" t="s">
        <v>351</v>
      </c>
      <c r="F3" s="59" t="s">
        <v>352</v>
      </c>
      <c r="G3" s="59" t="s">
        <v>353</v>
      </c>
      <c r="H3" s="59" t="s">
        <v>354</v>
      </c>
      <c r="I3" s="59" t="s">
        <v>355</v>
      </c>
      <c r="J3" s="59" t="s">
        <v>356</v>
      </c>
      <c r="K3" s="59" t="s">
        <v>357</v>
      </c>
      <c r="L3" s="59" t="s">
        <v>358</v>
      </c>
      <c r="M3" s="59" t="s">
        <v>359</v>
      </c>
      <c r="N3" s="59" t="s">
        <v>361</v>
      </c>
      <c r="O3" s="59" t="s">
        <v>362</v>
      </c>
      <c r="P3" s="59" t="s">
        <v>363</v>
      </c>
      <c r="Q3" s="59" t="s">
        <v>6998</v>
      </c>
      <c r="R3" s="59" t="s">
        <v>365</v>
      </c>
      <c r="S3" s="59" t="s">
        <v>366</v>
      </c>
      <c r="T3" s="59" t="s">
        <v>367</v>
      </c>
      <c r="U3" s="59" t="s">
        <v>368</v>
      </c>
      <c r="V3" s="59" t="s">
        <v>369</v>
      </c>
      <c r="W3" s="59" t="s">
        <v>370</v>
      </c>
      <c r="X3" s="59" t="s">
        <v>371</v>
      </c>
    </row>
    <row r="4" spans="1:24" ht="17.25" x14ac:dyDescent="0.3">
      <c r="A4" s="59" t="s">
        <v>372</v>
      </c>
      <c r="B4" s="59" t="s">
        <v>373</v>
      </c>
      <c r="C4" s="59" t="s">
        <v>374</v>
      </c>
      <c r="D4" s="59" t="s">
        <v>375</v>
      </c>
      <c r="E4" s="59" t="s">
        <v>376</v>
      </c>
      <c r="F4" s="59" t="s">
        <v>377</v>
      </c>
      <c r="G4" s="59" t="s">
        <v>378</v>
      </c>
      <c r="H4" s="59" t="s">
        <v>379</v>
      </c>
      <c r="I4" s="59" t="s">
        <v>380</v>
      </c>
      <c r="J4" s="59" t="s">
        <v>381</v>
      </c>
      <c r="K4" s="59" t="s">
        <v>382</v>
      </c>
      <c r="L4" s="59" t="s">
        <v>383</v>
      </c>
      <c r="M4" s="59" t="s">
        <v>384</v>
      </c>
      <c r="N4" s="59" t="s">
        <v>386</v>
      </c>
      <c r="O4" s="59" t="s">
        <v>387</v>
      </c>
      <c r="P4" s="59" t="s">
        <v>388</v>
      </c>
      <c r="Q4" s="59" t="s">
        <v>6999</v>
      </c>
      <c r="R4" s="59" t="s">
        <v>390</v>
      </c>
      <c r="S4" s="59" t="s">
        <v>391</v>
      </c>
      <c r="T4" s="59" t="s">
        <v>392</v>
      </c>
      <c r="U4" s="59" t="s">
        <v>393</v>
      </c>
      <c r="V4" s="59" t="s">
        <v>394</v>
      </c>
      <c r="W4" s="59" t="s">
        <v>395</v>
      </c>
      <c r="X4" s="59" t="s">
        <v>396</v>
      </c>
    </row>
    <row r="5" spans="1:24" ht="17.25" x14ac:dyDescent="0.3">
      <c r="A5" s="59" t="s">
        <v>397</v>
      </c>
      <c r="B5" s="59" t="s">
        <v>398</v>
      </c>
      <c r="C5" s="59" t="s">
        <v>399</v>
      </c>
      <c r="D5" s="59" t="s">
        <v>400</v>
      </c>
      <c r="E5" s="59" t="s">
        <v>401</v>
      </c>
      <c r="F5" s="59" t="s">
        <v>402</v>
      </c>
      <c r="G5" s="59" t="s">
        <v>403</v>
      </c>
      <c r="H5" s="59" t="s">
        <v>404</v>
      </c>
      <c r="I5" s="59" t="s">
        <v>405</v>
      </c>
      <c r="J5" s="59" t="s">
        <v>406</v>
      </c>
      <c r="K5" s="59" t="s">
        <v>407</v>
      </c>
      <c r="L5" s="59" t="s">
        <v>408</v>
      </c>
      <c r="M5" s="59" t="s">
        <v>409</v>
      </c>
      <c r="N5" s="59" t="s">
        <v>411</v>
      </c>
      <c r="O5" s="59" t="s">
        <v>412</v>
      </c>
      <c r="P5" s="59" t="s">
        <v>413</v>
      </c>
      <c r="Q5" s="59" t="s">
        <v>7000</v>
      </c>
      <c r="R5" s="59" t="s">
        <v>415</v>
      </c>
      <c r="S5" s="59" t="s">
        <v>416</v>
      </c>
      <c r="T5" s="59" t="s">
        <v>417</v>
      </c>
      <c r="U5" s="59" t="s">
        <v>418</v>
      </c>
      <c r="V5" s="59" t="s">
        <v>419</v>
      </c>
      <c r="W5" s="59" t="s">
        <v>420</v>
      </c>
      <c r="X5" s="59" t="s">
        <v>421</v>
      </c>
    </row>
    <row r="6" spans="1:24" ht="17.25" x14ac:dyDescent="0.3">
      <c r="A6" s="59" t="s">
        <v>422</v>
      </c>
      <c r="B6" s="59" t="s">
        <v>423</v>
      </c>
      <c r="C6" s="59" t="s">
        <v>424</v>
      </c>
      <c r="D6" s="59" t="s">
        <v>425</v>
      </c>
      <c r="E6" s="59" t="s">
        <v>426</v>
      </c>
      <c r="F6" s="59" t="s">
        <v>427</v>
      </c>
      <c r="G6" s="59" t="s">
        <v>428</v>
      </c>
      <c r="H6" s="59" t="s">
        <v>429</v>
      </c>
      <c r="I6" s="59" t="s">
        <v>430</v>
      </c>
      <c r="J6" s="59" t="s">
        <v>431</v>
      </c>
      <c r="K6" s="59" t="s">
        <v>432</v>
      </c>
      <c r="L6" s="59" t="s">
        <v>433</v>
      </c>
      <c r="M6" s="59" t="s">
        <v>434</v>
      </c>
      <c r="N6" s="59" t="s">
        <v>436</v>
      </c>
      <c r="O6" s="59" t="s">
        <v>437</v>
      </c>
      <c r="P6" s="59" t="s">
        <v>438</v>
      </c>
      <c r="Q6" s="59" t="s">
        <v>5766</v>
      </c>
      <c r="R6" s="59" t="s">
        <v>440</v>
      </c>
      <c r="S6" s="59" t="s">
        <v>441</v>
      </c>
      <c r="T6" s="59" t="s">
        <v>442</v>
      </c>
      <c r="U6" s="59" t="s">
        <v>443</v>
      </c>
      <c r="V6" s="59" t="s">
        <v>444</v>
      </c>
      <c r="W6" s="59" t="s">
        <v>445</v>
      </c>
      <c r="X6" s="59" t="s">
        <v>446</v>
      </c>
    </row>
    <row r="7" spans="1:24" ht="17.25" x14ac:dyDescent="0.3">
      <c r="A7" s="59" t="s">
        <v>447</v>
      </c>
      <c r="B7" s="59" t="s">
        <v>448</v>
      </c>
      <c r="C7" s="59" t="s">
        <v>449</v>
      </c>
      <c r="D7" s="59" t="s">
        <v>450</v>
      </c>
      <c r="E7" s="59" t="s">
        <v>451</v>
      </c>
      <c r="F7" s="59" t="s">
        <v>452</v>
      </c>
      <c r="G7" s="59" t="s">
        <v>453</v>
      </c>
      <c r="H7" s="59" t="s">
        <v>454</v>
      </c>
      <c r="I7" s="59" t="s">
        <v>455</v>
      </c>
      <c r="J7" s="59" t="s">
        <v>456</v>
      </c>
      <c r="K7" s="59" t="s">
        <v>457</v>
      </c>
      <c r="L7" s="59" t="s">
        <v>458</v>
      </c>
      <c r="M7" s="59" t="s">
        <v>459</v>
      </c>
      <c r="N7" s="59" t="s">
        <v>461</v>
      </c>
      <c r="O7" s="59" t="s">
        <v>462</v>
      </c>
      <c r="P7" s="59" t="s">
        <v>463</v>
      </c>
      <c r="Q7" s="59" t="s">
        <v>3867</v>
      </c>
      <c r="R7" s="59" t="s">
        <v>465</v>
      </c>
      <c r="S7" s="59" t="s">
        <v>466</v>
      </c>
      <c r="T7" s="59" t="s">
        <v>467</v>
      </c>
      <c r="U7" s="59" t="s">
        <v>468</v>
      </c>
      <c r="V7" s="59" t="s">
        <v>469</v>
      </c>
      <c r="W7" s="59" t="s">
        <v>470</v>
      </c>
      <c r="X7" s="59" t="s">
        <v>471</v>
      </c>
    </row>
    <row r="8" spans="1:24" ht="17.25" x14ac:dyDescent="0.3">
      <c r="A8" s="59" t="s">
        <v>472</v>
      </c>
      <c r="B8" s="59" t="s">
        <v>473</v>
      </c>
      <c r="C8" s="59" t="s">
        <v>474</v>
      </c>
      <c r="D8" s="59" t="s">
        <v>475</v>
      </c>
      <c r="E8" s="59" t="s">
        <v>476</v>
      </c>
      <c r="F8" s="59" t="s">
        <v>477</v>
      </c>
      <c r="G8" s="59" t="s">
        <v>478</v>
      </c>
      <c r="H8" s="59" t="s">
        <v>479</v>
      </c>
      <c r="I8" s="59" t="s">
        <v>480</v>
      </c>
      <c r="J8" s="59" t="s">
        <v>481</v>
      </c>
      <c r="K8" s="59" t="s">
        <v>482</v>
      </c>
      <c r="L8" s="59" t="s">
        <v>483</v>
      </c>
      <c r="M8" s="59" t="s">
        <v>484</v>
      </c>
      <c r="N8" s="59" t="s">
        <v>486</v>
      </c>
      <c r="O8" s="59" t="s">
        <v>487</v>
      </c>
      <c r="P8" s="59" t="s">
        <v>488</v>
      </c>
      <c r="Q8" s="59" t="s">
        <v>4183</v>
      </c>
      <c r="R8" s="59" t="s">
        <v>490</v>
      </c>
      <c r="S8" s="59" t="s">
        <v>491</v>
      </c>
      <c r="T8" s="59" t="s">
        <v>492</v>
      </c>
      <c r="U8" s="59" t="s">
        <v>493</v>
      </c>
      <c r="V8" s="59" t="s">
        <v>494</v>
      </c>
      <c r="W8" s="59" t="s">
        <v>495</v>
      </c>
      <c r="X8" s="59" t="s">
        <v>496</v>
      </c>
    </row>
    <row r="9" spans="1:24" ht="17.25" x14ac:dyDescent="0.3">
      <c r="A9" s="59" t="s">
        <v>497</v>
      </c>
      <c r="B9" s="59" t="s">
        <v>498</v>
      </c>
      <c r="C9" s="59" t="s">
        <v>499</v>
      </c>
      <c r="D9" s="59" t="s">
        <v>500</v>
      </c>
      <c r="E9" s="59" t="s">
        <v>501</v>
      </c>
      <c r="F9" s="59" t="s">
        <v>502</v>
      </c>
      <c r="G9" s="59" t="s">
        <v>503</v>
      </c>
      <c r="H9" s="59" t="s">
        <v>504</v>
      </c>
      <c r="I9" s="59" t="s">
        <v>505</v>
      </c>
      <c r="J9" s="59" t="s">
        <v>506</v>
      </c>
      <c r="K9" s="59" t="s">
        <v>507</v>
      </c>
      <c r="L9" s="59" t="s">
        <v>508</v>
      </c>
      <c r="M9" s="59" t="s">
        <v>509</v>
      </c>
      <c r="N9" s="59" t="s">
        <v>511</v>
      </c>
      <c r="O9" s="59" t="s">
        <v>512</v>
      </c>
      <c r="P9" s="59" t="s">
        <v>513</v>
      </c>
      <c r="Q9" s="59" t="s">
        <v>4853</v>
      </c>
      <c r="R9" s="59" t="s">
        <v>515</v>
      </c>
      <c r="S9" s="59" t="s">
        <v>516</v>
      </c>
      <c r="T9" s="59" t="s">
        <v>517</v>
      </c>
      <c r="U9" s="59" t="s">
        <v>518</v>
      </c>
      <c r="V9" s="59" t="s">
        <v>519</v>
      </c>
      <c r="W9" s="59" t="s">
        <v>520</v>
      </c>
      <c r="X9" s="59" t="s">
        <v>521</v>
      </c>
    </row>
    <row r="10" spans="1:24" ht="17.25" x14ac:dyDescent="0.3">
      <c r="A10" s="59" t="s">
        <v>522</v>
      </c>
      <c r="B10" s="59" t="s">
        <v>523</v>
      </c>
      <c r="C10" s="59" t="s">
        <v>524</v>
      </c>
      <c r="D10" s="59" t="s">
        <v>525</v>
      </c>
      <c r="E10" s="59" t="s">
        <v>526</v>
      </c>
      <c r="F10" s="59" t="s">
        <v>527</v>
      </c>
      <c r="G10" s="59" t="s">
        <v>528</v>
      </c>
      <c r="H10" s="59" t="s">
        <v>529</v>
      </c>
      <c r="I10" s="59" t="s">
        <v>530</v>
      </c>
      <c r="J10" s="59" t="s">
        <v>531</v>
      </c>
      <c r="K10" s="59" t="s">
        <v>532</v>
      </c>
      <c r="L10" s="59" t="s">
        <v>533</v>
      </c>
      <c r="M10" s="59" t="s">
        <v>534</v>
      </c>
      <c r="N10" s="59" t="s">
        <v>536</v>
      </c>
      <c r="O10" s="59" t="s">
        <v>537</v>
      </c>
      <c r="P10" s="59" t="s">
        <v>538</v>
      </c>
      <c r="Q10" s="59" t="s">
        <v>3182</v>
      </c>
      <c r="R10" s="59" t="s">
        <v>540</v>
      </c>
      <c r="S10" s="59" t="s">
        <v>541</v>
      </c>
      <c r="T10" s="59" t="s">
        <v>542</v>
      </c>
      <c r="U10" s="59" t="s">
        <v>543</v>
      </c>
      <c r="V10" s="59" t="s">
        <v>544</v>
      </c>
      <c r="W10" s="59" t="s">
        <v>545</v>
      </c>
      <c r="X10" s="59" t="s">
        <v>546</v>
      </c>
    </row>
    <row r="11" spans="1:24" ht="17.25" x14ac:dyDescent="0.3">
      <c r="A11" s="59" t="s">
        <v>547</v>
      </c>
      <c r="B11" s="59" t="s">
        <v>548</v>
      </c>
      <c r="C11" s="59" t="s">
        <v>549</v>
      </c>
      <c r="D11" s="59" t="s">
        <v>550</v>
      </c>
      <c r="E11" s="59" t="s">
        <v>551</v>
      </c>
      <c r="F11" s="59" t="s">
        <v>552</v>
      </c>
      <c r="G11" s="59" t="s">
        <v>553</v>
      </c>
      <c r="H11" s="59" t="s">
        <v>554</v>
      </c>
      <c r="I11" s="59" t="s">
        <v>555</v>
      </c>
      <c r="J11" s="59" t="s">
        <v>556</v>
      </c>
      <c r="K11" s="59" t="s">
        <v>557</v>
      </c>
      <c r="L11" s="59" t="s">
        <v>558</v>
      </c>
      <c r="M11" s="59" t="s">
        <v>559</v>
      </c>
      <c r="N11" s="59" t="s">
        <v>561</v>
      </c>
      <c r="O11" s="59" t="s">
        <v>562</v>
      </c>
      <c r="P11" s="59" t="s">
        <v>563</v>
      </c>
      <c r="Q11" s="59" t="s">
        <v>4951</v>
      </c>
      <c r="R11" s="59" t="s">
        <v>565</v>
      </c>
      <c r="S11" s="59" t="s">
        <v>566</v>
      </c>
      <c r="T11" s="59" t="s">
        <v>567</v>
      </c>
      <c r="U11" s="59" t="s">
        <v>568</v>
      </c>
      <c r="V11" s="59" t="s">
        <v>569</v>
      </c>
      <c r="W11" s="59" t="s">
        <v>570</v>
      </c>
      <c r="X11" s="59" t="s">
        <v>571</v>
      </c>
    </row>
    <row r="12" spans="1:24" ht="17.25" x14ac:dyDescent="0.3">
      <c r="A12" s="59" t="s">
        <v>572</v>
      </c>
      <c r="B12" s="59" t="s">
        <v>573</v>
      </c>
      <c r="C12" s="59" t="s">
        <v>574</v>
      </c>
      <c r="D12" s="59" t="s">
        <v>575</v>
      </c>
      <c r="E12" s="59" t="s">
        <v>576</v>
      </c>
      <c r="F12" s="59" t="s">
        <v>577</v>
      </c>
      <c r="G12" s="59" t="s">
        <v>578</v>
      </c>
      <c r="H12" s="59" t="s">
        <v>579</v>
      </c>
      <c r="I12" s="59" t="s">
        <v>580</v>
      </c>
      <c r="J12" s="59" t="s">
        <v>581</v>
      </c>
      <c r="K12" s="59" t="s">
        <v>582</v>
      </c>
      <c r="L12" s="59" t="s">
        <v>583</v>
      </c>
      <c r="M12" s="59" t="s">
        <v>584</v>
      </c>
      <c r="N12" s="59" t="s">
        <v>586</v>
      </c>
      <c r="O12" s="59" t="s">
        <v>587</v>
      </c>
      <c r="P12" s="59" t="s">
        <v>588</v>
      </c>
      <c r="Q12" s="59" t="s">
        <v>4881</v>
      </c>
      <c r="R12" s="59" t="s">
        <v>590</v>
      </c>
      <c r="S12" s="59" t="s">
        <v>591</v>
      </c>
      <c r="T12" s="59" t="s">
        <v>592</v>
      </c>
      <c r="U12" s="59" t="s">
        <v>593</v>
      </c>
      <c r="V12" s="59" t="s">
        <v>594</v>
      </c>
      <c r="W12" s="59" t="s">
        <v>619</v>
      </c>
      <c r="X12" s="59" t="s">
        <v>595</v>
      </c>
    </row>
    <row r="13" spans="1:24" ht="17.25" x14ac:dyDescent="0.3">
      <c r="A13" s="59" t="s">
        <v>596</v>
      </c>
      <c r="B13" s="59" t="s">
        <v>597</v>
      </c>
      <c r="C13" s="59" t="s">
        <v>598</v>
      </c>
      <c r="D13" s="59" t="s">
        <v>599</v>
      </c>
      <c r="E13" s="59" t="s">
        <v>600</v>
      </c>
      <c r="F13" s="59" t="s">
        <v>601</v>
      </c>
      <c r="G13" s="59" t="s">
        <v>602</v>
      </c>
      <c r="H13" s="59" t="s">
        <v>603</v>
      </c>
      <c r="I13" s="59" t="s">
        <v>604</v>
      </c>
      <c r="J13" s="59" t="s">
        <v>605</v>
      </c>
      <c r="K13" s="59" t="s">
        <v>606</v>
      </c>
      <c r="L13" s="59" t="s">
        <v>607</v>
      </c>
      <c r="M13" s="59" t="s">
        <v>608</v>
      </c>
      <c r="N13" s="59" t="s">
        <v>610</v>
      </c>
      <c r="O13" s="59" t="s">
        <v>611</v>
      </c>
      <c r="P13" s="59" t="s">
        <v>612</v>
      </c>
      <c r="Q13" s="59" t="s">
        <v>5360</v>
      </c>
      <c r="R13" s="59" t="s">
        <v>614</v>
      </c>
      <c r="S13" s="59" t="s">
        <v>615</v>
      </c>
      <c r="T13" s="59" t="s">
        <v>616</v>
      </c>
      <c r="U13" s="59" t="s">
        <v>617</v>
      </c>
      <c r="V13" s="59" t="s">
        <v>618</v>
      </c>
      <c r="W13" s="59" t="s">
        <v>644</v>
      </c>
      <c r="X13" s="59" t="s">
        <v>620</v>
      </c>
    </row>
    <row r="14" spans="1:24" ht="17.25" x14ac:dyDescent="0.3">
      <c r="A14" s="59" t="s">
        <v>621</v>
      </c>
      <c r="B14" s="59" t="s">
        <v>622</v>
      </c>
      <c r="C14" s="59" t="s">
        <v>623</v>
      </c>
      <c r="D14" s="59" t="s">
        <v>624</v>
      </c>
      <c r="E14" s="59" t="s">
        <v>625</v>
      </c>
      <c r="F14" s="59" t="s">
        <v>626</v>
      </c>
      <c r="G14" s="59" t="s">
        <v>627</v>
      </c>
      <c r="H14" s="59" t="s">
        <v>628</v>
      </c>
      <c r="I14" s="59" t="s">
        <v>629</v>
      </c>
      <c r="J14" s="59" t="s">
        <v>630</v>
      </c>
      <c r="K14" s="59" t="s">
        <v>631</v>
      </c>
      <c r="L14" s="59" t="s">
        <v>632</v>
      </c>
      <c r="M14" s="59" t="s">
        <v>633</v>
      </c>
      <c r="N14" s="59" t="s">
        <v>635</v>
      </c>
      <c r="O14" s="59" t="s">
        <v>636</v>
      </c>
      <c r="P14" s="59" t="s">
        <v>637</v>
      </c>
      <c r="Q14" s="59" t="s">
        <v>3114</v>
      </c>
      <c r="R14" s="59" t="s">
        <v>639</v>
      </c>
      <c r="S14" s="59" t="s">
        <v>640</v>
      </c>
      <c r="T14" s="59" t="s">
        <v>641</v>
      </c>
      <c r="U14" s="59" t="s">
        <v>642</v>
      </c>
      <c r="V14" s="59" t="s">
        <v>643</v>
      </c>
      <c r="W14" s="59" t="s">
        <v>669</v>
      </c>
      <c r="X14" s="59" t="s">
        <v>645</v>
      </c>
    </row>
    <row r="15" spans="1:24" ht="17.25" x14ac:dyDescent="0.3">
      <c r="A15" s="59" t="s">
        <v>646</v>
      </c>
      <c r="B15" s="59" t="s">
        <v>647</v>
      </c>
      <c r="C15" s="59" t="s">
        <v>648</v>
      </c>
      <c r="D15" s="59" t="s">
        <v>649</v>
      </c>
      <c r="E15" s="59" t="s">
        <v>650</v>
      </c>
      <c r="F15" s="59" t="s">
        <v>651</v>
      </c>
      <c r="G15" s="59" t="s">
        <v>652</v>
      </c>
      <c r="H15" s="59" t="s">
        <v>653</v>
      </c>
      <c r="I15" s="59" t="s">
        <v>654</v>
      </c>
      <c r="J15" s="59" t="s">
        <v>655</v>
      </c>
      <c r="K15" s="59" t="s">
        <v>656</v>
      </c>
      <c r="L15" s="59" t="s">
        <v>657</v>
      </c>
      <c r="M15" s="59" t="s">
        <v>658</v>
      </c>
      <c r="N15" s="59" t="s">
        <v>660</v>
      </c>
      <c r="O15" s="59" t="s">
        <v>661</v>
      </c>
      <c r="P15" s="59" t="s">
        <v>662</v>
      </c>
      <c r="Q15" s="59" t="s">
        <v>5230</v>
      </c>
      <c r="R15" s="59" t="s">
        <v>664</v>
      </c>
      <c r="S15" s="59" t="s">
        <v>665</v>
      </c>
      <c r="T15" s="59" t="s">
        <v>666</v>
      </c>
      <c r="U15" s="59" t="s">
        <v>667</v>
      </c>
      <c r="V15" s="59" t="s">
        <v>668</v>
      </c>
      <c r="W15" s="59" t="s">
        <v>694</v>
      </c>
      <c r="X15" s="59" t="s">
        <v>670</v>
      </c>
    </row>
    <row r="16" spans="1:24" ht="17.25" x14ac:dyDescent="0.3">
      <c r="A16" s="59" t="s">
        <v>671</v>
      </c>
      <c r="B16" s="59" t="s">
        <v>672</v>
      </c>
      <c r="C16" s="59" t="s">
        <v>673</v>
      </c>
      <c r="D16" s="59" t="s">
        <v>674</v>
      </c>
      <c r="E16" s="59" t="s">
        <v>675</v>
      </c>
      <c r="F16" s="59" t="s">
        <v>676</v>
      </c>
      <c r="G16" s="59" t="s">
        <v>677</v>
      </c>
      <c r="H16" s="59" t="s">
        <v>678</v>
      </c>
      <c r="I16" s="59" t="s">
        <v>679</v>
      </c>
      <c r="J16" s="59" t="s">
        <v>680</v>
      </c>
      <c r="K16" s="59" t="s">
        <v>681</v>
      </c>
      <c r="L16" s="59" t="s">
        <v>682</v>
      </c>
      <c r="M16" s="59" t="s">
        <v>683</v>
      </c>
      <c r="N16" s="59" t="s">
        <v>685</v>
      </c>
      <c r="O16" s="59" t="s">
        <v>686</v>
      </c>
      <c r="P16" s="59" t="s">
        <v>687</v>
      </c>
      <c r="Q16" s="59" t="s">
        <v>5372</v>
      </c>
      <c r="R16" s="59" t="s">
        <v>689</v>
      </c>
      <c r="S16" s="59" t="s">
        <v>690</v>
      </c>
      <c r="T16" s="59" t="s">
        <v>691</v>
      </c>
      <c r="U16" s="59" t="s">
        <v>692</v>
      </c>
      <c r="V16" s="59" t="s">
        <v>693</v>
      </c>
      <c r="W16" s="59" t="s">
        <v>719</v>
      </c>
      <c r="X16" s="59" t="s">
        <v>695</v>
      </c>
    </row>
    <row r="17" spans="1:24" ht="17.25" x14ac:dyDescent="0.3">
      <c r="A17" s="59" t="s">
        <v>696</v>
      </c>
      <c r="B17" s="59" t="s">
        <v>697</v>
      </c>
      <c r="C17" s="59" t="s">
        <v>698</v>
      </c>
      <c r="D17" s="59" t="s">
        <v>699</v>
      </c>
      <c r="E17" s="59" t="s">
        <v>700</v>
      </c>
      <c r="F17" s="59" t="s">
        <v>701</v>
      </c>
      <c r="G17" s="59" t="s">
        <v>702</v>
      </c>
      <c r="H17" s="59" t="s">
        <v>703</v>
      </c>
      <c r="I17" s="59" t="s">
        <v>704</v>
      </c>
      <c r="J17" s="59" t="s">
        <v>705</v>
      </c>
      <c r="K17" s="59" t="s">
        <v>706</v>
      </c>
      <c r="L17" s="59" t="s">
        <v>707</v>
      </c>
      <c r="M17" s="59" t="s">
        <v>708</v>
      </c>
      <c r="N17" s="59" t="s">
        <v>710</v>
      </c>
      <c r="O17" s="59" t="s">
        <v>711</v>
      </c>
      <c r="P17" s="59" t="s">
        <v>712</v>
      </c>
      <c r="Q17" s="59" t="s">
        <v>4491</v>
      </c>
      <c r="R17" s="59" t="s">
        <v>714</v>
      </c>
      <c r="S17" s="59" t="s">
        <v>715</v>
      </c>
      <c r="T17" s="59" t="s">
        <v>716</v>
      </c>
      <c r="U17" s="59" t="s">
        <v>717</v>
      </c>
      <c r="V17" s="59" t="s">
        <v>718</v>
      </c>
      <c r="W17" s="59" t="s">
        <v>744</v>
      </c>
      <c r="X17" s="59" t="s">
        <v>720</v>
      </c>
    </row>
    <row r="18" spans="1:24" ht="17.25" x14ac:dyDescent="0.3">
      <c r="A18" s="59" t="s">
        <v>721</v>
      </c>
      <c r="B18" s="59" t="s">
        <v>722</v>
      </c>
      <c r="C18" s="59" t="s">
        <v>748</v>
      </c>
      <c r="D18" s="59" t="s">
        <v>724</v>
      </c>
      <c r="E18" s="59" t="s">
        <v>725</v>
      </c>
      <c r="F18" s="59" t="s">
        <v>726</v>
      </c>
      <c r="G18" s="59" t="s">
        <v>727</v>
      </c>
      <c r="H18" s="59" t="s">
        <v>728</v>
      </c>
      <c r="I18" s="59" t="s">
        <v>729</v>
      </c>
      <c r="J18" s="59" t="s">
        <v>730</v>
      </c>
      <c r="K18" s="59" t="s">
        <v>731</v>
      </c>
      <c r="L18" s="59" t="s">
        <v>732</v>
      </c>
      <c r="M18" s="59" t="s">
        <v>733</v>
      </c>
      <c r="N18" s="59" t="s">
        <v>735</v>
      </c>
      <c r="O18" s="59" t="s">
        <v>736</v>
      </c>
      <c r="P18" s="59" t="s">
        <v>737</v>
      </c>
      <c r="Q18" s="59" t="s">
        <v>2356</v>
      </c>
      <c r="R18" s="59" t="s">
        <v>739</v>
      </c>
      <c r="S18" s="59" t="s">
        <v>740</v>
      </c>
      <c r="T18" s="59" t="s">
        <v>741</v>
      </c>
      <c r="U18" s="59" t="s">
        <v>742</v>
      </c>
      <c r="V18" s="59" t="s">
        <v>743</v>
      </c>
      <c r="W18" s="59" t="s">
        <v>769</v>
      </c>
      <c r="X18" s="59" t="s">
        <v>745</v>
      </c>
    </row>
    <row r="19" spans="1:24" ht="17.25" x14ac:dyDescent="0.3">
      <c r="A19" s="59" t="s">
        <v>746</v>
      </c>
      <c r="B19" s="59" t="s">
        <v>747</v>
      </c>
      <c r="C19" s="59" t="s">
        <v>773</v>
      </c>
      <c r="D19" s="59" t="s">
        <v>749</v>
      </c>
      <c r="E19" s="59" t="s">
        <v>750</v>
      </c>
      <c r="F19" s="59" t="s">
        <v>751</v>
      </c>
      <c r="G19" s="59" t="s">
        <v>752</v>
      </c>
      <c r="H19" s="59" t="s">
        <v>753</v>
      </c>
      <c r="I19" s="59" t="s">
        <v>754</v>
      </c>
      <c r="J19" s="59" t="s">
        <v>755</v>
      </c>
      <c r="K19" s="59" t="s">
        <v>756</v>
      </c>
      <c r="L19" s="59" t="s">
        <v>757</v>
      </c>
      <c r="M19" s="59" t="s">
        <v>758</v>
      </c>
      <c r="N19" s="59" t="s">
        <v>760</v>
      </c>
      <c r="O19" s="59" t="s">
        <v>761</v>
      </c>
      <c r="P19" s="59" t="s">
        <v>762</v>
      </c>
      <c r="Q19" s="59" t="s">
        <v>2476</v>
      </c>
      <c r="R19" s="59" t="s">
        <v>764</v>
      </c>
      <c r="S19" s="59" t="s">
        <v>765</v>
      </c>
      <c r="T19" s="59" t="s">
        <v>766</v>
      </c>
      <c r="U19" s="59" t="s">
        <v>767</v>
      </c>
      <c r="V19" s="59" t="s">
        <v>768</v>
      </c>
      <c r="W19" s="59" t="s">
        <v>794</v>
      </c>
      <c r="X19" s="59" t="s">
        <v>770</v>
      </c>
    </row>
    <row r="20" spans="1:24" ht="17.25" x14ac:dyDescent="0.3">
      <c r="A20" s="59" t="s">
        <v>771</v>
      </c>
      <c r="B20" s="59" t="s">
        <v>772</v>
      </c>
      <c r="C20" s="59" t="s">
        <v>798</v>
      </c>
      <c r="D20" s="59" t="s">
        <v>774</v>
      </c>
      <c r="E20" s="59" t="s">
        <v>775</v>
      </c>
      <c r="F20" s="59" t="s">
        <v>776</v>
      </c>
      <c r="G20" s="59" t="s">
        <v>777</v>
      </c>
      <c r="H20" s="59" t="s">
        <v>778</v>
      </c>
      <c r="I20" s="59" t="s">
        <v>779</v>
      </c>
      <c r="J20" s="59" t="s">
        <v>780</v>
      </c>
      <c r="K20" s="59" t="s">
        <v>781</v>
      </c>
      <c r="L20" s="59" t="s">
        <v>782</v>
      </c>
      <c r="M20" s="59" t="s">
        <v>783</v>
      </c>
      <c r="N20" s="59" t="s">
        <v>785</v>
      </c>
      <c r="O20" s="59" t="s">
        <v>786</v>
      </c>
      <c r="P20" s="59" t="s">
        <v>787</v>
      </c>
      <c r="Q20" s="59" t="s">
        <v>4769</v>
      </c>
      <c r="R20" s="59" t="s">
        <v>789</v>
      </c>
      <c r="S20" s="59" t="s">
        <v>790</v>
      </c>
      <c r="T20" s="59" t="s">
        <v>791</v>
      </c>
      <c r="U20" s="59" t="s">
        <v>792</v>
      </c>
      <c r="V20" s="59" t="s">
        <v>793</v>
      </c>
      <c r="W20" s="59" t="s">
        <v>819</v>
      </c>
      <c r="X20" s="59" t="s">
        <v>795</v>
      </c>
    </row>
    <row r="21" spans="1:24" ht="17.25" x14ac:dyDescent="0.3">
      <c r="A21" s="59" t="s">
        <v>796</v>
      </c>
      <c r="B21" s="59" t="s">
        <v>797</v>
      </c>
      <c r="C21" s="59" t="s">
        <v>823</v>
      </c>
      <c r="D21" s="59" t="s">
        <v>799</v>
      </c>
      <c r="E21" s="59" t="s">
        <v>800</v>
      </c>
      <c r="F21" s="59" t="s">
        <v>801</v>
      </c>
      <c r="G21" s="59" t="s">
        <v>802</v>
      </c>
      <c r="H21" s="59" t="s">
        <v>803</v>
      </c>
      <c r="I21" s="59" t="s">
        <v>804</v>
      </c>
      <c r="J21" s="59" t="s">
        <v>805</v>
      </c>
      <c r="K21" s="59" t="s">
        <v>806</v>
      </c>
      <c r="L21" s="59" t="s">
        <v>807</v>
      </c>
      <c r="M21" s="59" t="s">
        <v>808</v>
      </c>
      <c r="N21" s="59" t="s">
        <v>810</v>
      </c>
      <c r="O21" s="59" t="s">
        <v>811</v>
      </c>
      <c r="P21" s="59" t="s">
        <v>812</v>
      </c>
      <c r="Q21" s="59" t="s">
        <v>4825</v>
      </c>
      <c r="R21" s="59" t="s">
        <v>814</v>
      </c>
      <c r="S21" s="59" t="s">
        <v>815</v>
      </c>
      <c r="T21" s="59" t="s">
        <v>816</v>
      </c>
      <c r="U21" s="59" t="s">
        <v>817</v>
      </c>
      <c r="V21" s="59" t="s">
        <v>818</v>
      </c>
      <c r="W21" s="59" t="s">
        <v>844</v>
      </c>
      <c r="X21" s="59" t="s">
        <v>820</v>
      </c>
    </row>
    <row r="22" spans="1:24" ht="17.25" x14ac:dyDescent="0.3">
      <c r="A22" s="59" t="s">
        <v>821</v>
      </c>
      <c r="B22" s="59" t="s">
        <v>822</v>
      </c>
      <c r="C22" s="59" t="s">
        <v>848</v>
      </c>
      <c r="D22" s="59" t="s">
        <v>824</v>
      </c>
      <c r="E22" s="59" t="s">
        <v>825</v>
      </c>
      <c r="F22" s="59" t="s">
        <v>826</v>
      </c>
      <c r="G22" s="59" t="s">
        <v>827</v>
      </c>
      <c r="H22" s="59" t="s">
        <v>828</v>
      </c>
      <c r="I22" s="59" t="s">
        <v>829</v>
      </c>
      <c r="J22" s="59" t="s">
        <v>830</v>
      </c>
      <c r="K22" s="59" t="s">
        <v>831</v>
      </c>
      <c r="L22" s="59" t="s">
        <v>832</v>
      </c>
      <c r="M22" s="59" t="s">
        <v>833</v>
      </c>
      <c r="N22" s="59" t="s">
        <v>835</v>
      </c>
      <c r="O22" s="59" t="s">
        <v>836</v>
      </c>
      <c r="P22" s="59" t="s">
        <v>837</v>
      </c>
      <c r="Q22" s="59" t="s">
        <v>4202</v>
      </c>
      <c r="R22" s="59" t="s">
        <v>839</v>
      </c>
      <c r="S22" s="59" t="s">
        <v>840</v>
      </c>
      <c r="T22" s="59" t="s">
        <v>841</v>
      </c>
      <c r="U22" s="59" t="s">
        <v>842</v>
      </c>
      <c r="V22" s="59" t="s">
        <v>843</v>
      </c>
      <c r="W22" s="59" t="s">
        <v>869</v>
      </c>
      <c r="X22" s="59" t="s">
        <v>845</v>
      </c>
    </row>
    <row r="23" spans="1:24" ht="17.25" x14ac:dyDescent="0.3">
      <c r="A23" s="59" t="s">
        <v>846</v>
      </c>
      <c r="B23" s="59" t="s">
        <v>847</v>
      </c>
      <c r="C23" s="59" t="s">
        <v>873</v>
      </c>
      <c r="D23" s="59" t="s">
        <v>849</v>
      </c>
      <c r="E23" s="59" t="s">
        <v>850</v>
      </c>
      <c r="F23" s="59" t="s">
        <v>851</v>
      </c>
      <c r="G23" s="59" t="s">
        <v>852</v>
      </c>
      <c r="H23" s="59" t="s">
        <v>853</v>
      </c>
      <c r="I23" s="59" t="s">
        <v>854</v>
      </c>
      <c r="J23" s="59" t="s">
        <v>855</v>
      </c>
      <c r="K23" s="59" t="s">
        <v>856</v>
      </c>
      <c r="L23" s="59" t="s">
        <v>857</v>
      </c>
      <c r="M23" s="59" t="s">
        <v>858</v>
      </c>
      <c r="N23" s="59" t="s">
        <v>860</v>
      </c>
      <c r="O23" s="59" t="s">
        <v>861</v>
      </c>
      <c r="P23" s="59" t="s">
        <v>862</v>
      </c>
      <c r="Q23" s="59" t="s">
        <v>1878</v>
      </c>
      <c r="R23" s="59" t="s">
        <v>864</v>
      </c>
      <c r="S23" s="59" t="s">
        <v>865</v>
      </c>
      <c r="T23" s="59" t="s">
        <v>866</v>
      </c>
      <c r="U23" s="59" t="s">
        <v>867</v>
      </c>
      <c r="V23" s="59" t="s">
        <v>868</v>
      </c>
      <c r="W23" s="59" t="s">
        <v>894</v>
      </c>
      <c r="X23" s="59" t="s">
        <v>870</v>
      </c>
    </row>
    <row r="24" spans="1:24" ht="17.25" x14ac:dyDescent="0.3">
      <c r="A24" s="59" t="s">
        <v>871</v>
      </c>
      <c r="B24" s="59" t="s">
        <v>872</v>
      </c>
      <c r="C24" s="59" t="s">
        <v>898</v>
      </c>
      <c r="D24" s="59" t="s">
        <v>874</v>
      </c>
      <c r="E24" s="59" t="s">
        <v>875</v>
      </c>
      <c r="F24" s="59" t="s">
        <v>876</v>
      </c>
      <c r="G24" s="59" t="s">
        <v>877</v>
      </c>
      <c r="H24" s="59" t="s">
        <v>878</v>
      </c>
      <c r="I24" s="59" t="s">
        <v>879</v>
      </c>
      <c r="J24" s="59" t="s">
        <v>880</v>
      </c>
      <c r="K24" s="59" t="s">
        <v>881</v>
      </c>
      <c r="L24" s="59" t="s">
        <v>882</v>
      </c>
      <c r="M24" s="59" t="s">
        <v>883</v>
      </c>
      <c r="N24" s="59" t="s">
        <v>885</v>
      </c>
      <c r="O24" s="59" t="s">
        <v>911</v>
      </c>
      <c r="P24" s="59" t="s">
        <v>887</v>
      </c>
      <c r="Q24" s="59" t="s">
        <v>4461</v>
      </c>
      <c r="R24" s="59" t="s">
        <v>889</v>
      </c>
      <c r="S24" s="59" t="s">
        <v>890</v>
      </c>
      <c r="T24" s="59" t="s">
        <v>891</v>
      </c>
      <c r="U24" s="59" t="s">
        <v>892</v>
      </c>
      <c r="V24" s="59" t="s">
        <v>893</v>
      </c>
      <c r="W24" s="59" t="s">
        <v>919</v>
      </c>
      <c r="X24" s="59" t="s">
        <v>895</v>
      </c>
    </row>
    <row r="25" spans="1:24" ht="17.25" x14ac:dyDescent="0.3">
      <c r="A25" s="59" t="s">
        <v>896</v>
      </c>
      <c r="B25" s="59" t="s">
        <v>897</v>
      </c>
      <c r="C25" s="59" t="s">
        <v>923</v>
      </c>
      <c r="D25" s="59" t="s">
        <v>899</v>
      </c>
      <c r="E25" s="59" t="s">
        <v>900</v>
      </c>
      <c r="F25" s="59" t="s">
        <v>901</v>
      </c>
      <c r="G25" s="59" t="s">
        <v>902</v>
      </c>
      <c r="H25" s="59" t="s">
        <v>903</v>
      </c>
      <c r="I25" s="59" t="s">
        <v>904</v>
      </c>
      <c r="J25" s="59" t="s">
        <v>905</v>
      </c>
      <c r="K25" s="59" t="s">
        <v>906</v>
      </c>
      <c r="L25" s="59" t="s">
        <v>907</v>
      </c>
      <c r="M25" s="59" t="s">
        <v>908</v>
      </c>
      <c r="N25" s="59" t="s">
        <v>910</v>
      </c>
      <c r="O25" s="59" t="s">
        <v>936</v>
      </c>
      <c r="P25" s="59" t="s">
        <v>912</v>
      </c>
      <c r="Q25" s="59" t="s">
        <v>5408</v>
      </c>
      <c r="R25" s="59" t="s">
        <v>914</v>
      </c>
      <c r="S25" s="59" t="s">
        <v>915</v>
      </c>
      <c r="T25" s="59" t="s">
        <v>916</v>
      </c>
      <c r="U25" s="59" t="s">
        <v>917</v>
      </c>
      <c r="V25" s="59" t="s">
        <v>918</v>
      </c>
      <c r="W25" s="59" t="s">
        <v>944</v>
      </c>
      <c r="X25" s="59" t="s">
        <v>920</v>
      </c>
    </row>
    <row r="26" spans="1:24" ht="17.25" x14ac:dyDescent="0.3">
      <c r="A26" s="59" t="s">
        <v>921</v>
      </c>
      <c r="B26" s="59" t="s">
        <v>922</v>
      </c>
      <c r="C26" s="59" t="s">
        <v>948</v>
      </c>
      <c r="D26" s="59" t="s">
        <v>924</v>
      </c>
      <c r="E26" s="59" t="s">
        <v>925</v>
      </c>
      <c r="F26" s="59" t="s">
        <v>926</v>
      </c>
      <c r="G26" s="59" t="s">
        <v>927</v>
      </c>
      <c r="H26" s="59" t="s">
        <v>928</v>
      </c>
      <c r="I26" s="59" t="s">
        <v>929</v>
      </c>
      <c r="J26" s="59" t="s">
        <v>930</v>
      </c>
      <c r="K26" s="59" t="s">
        <v>931</v>
      </c>
      <c r="L26" s="59" t="s">
        <v>932</v>
      </c>
      <c r="M26" s="59" t="s">
        <v>933</v>
      </c>
      <c r="N26" s="59" t="s">
        <v>935</v>
      </c>
      <c r="O26" s="59" t="s">
        <v>960</v>
      </c>
      <c r="P26" s="59" t="s">
        <v>937</v>
      </c>
      <c r="Q26" s="59" t="s">
        <v>4505</v>
      </c>
      <c r="R26" s="59" t="s">
        <v>939</v>
      </c>
      <c r="S26" s="59" t="s">
        <v>940</v>
      </c>
      <c r="T26" s="59" t="s">
        <v>941</v>
      </c>
      <c r="U26" s="59" t="s">
        <v>942</v>
      </c>
      <c r="V26" s="59" t="s">
        <v>943</v>
      </c>
      <c r="W26" s="59" t="s">
        <v>968</v>
      </c>
      <c r="X26" s="59" t="s">
        <v>945</v>
      </c>
    </row>
    <row r="27" spans="1:24" ht="17.25" x14ac:dyDescent="0.3">
      <c r="A27" s="59" t="s">
        <v>946</v>
      </c>
      <c r="B27" s="59" t="s">
        <v>947</v>
      </c>
      <c r="C27" s="59" t="s">
        <v>972</v>
      </c>
      <c r="D27" s="59" t="s">
        <v>949</v>
      </c>
      <c r="E27" s="59" t="s">
        <v>950</v>
      </c>
      <c r="F27" s="59" t="s">
        <v>951</v>
      </c>
      <c r="G27" s="59" t="s">
        <v>952</v>
      </c>
      <c r="H27" s="59" t="s">
        <v>953</v>
      </c>
      <c r="I27" s="59" t="s">
        <v>954</v>
      </c>
      <c r="J27" s="59" t="s">
        <v>955</v>
      </c>
      <c r="K27" s="59" t="s">
        <v>956</v>
      </c>
      <c r="L27" s="59" t="s">
        <v>957</v>
      </c>
      <c r="M27" s="59" t="s">
        <v>958</v>
      </c>
      <c r="N27" s="59" t="s">
        <v>959</v>
      </c>
      <c r="O27" s="59" t="s">
        <v>985</v>
      </c>
      <c r="P27" s="59" t="s">
        <v>961</v>
      </c>
      <c r="Q27" s="59" t="s">
        <v>4699</v>
      </c>
      <c r="R27" s="59" t="s">
        <v>963</v>
      </c>
      <c r="S27" s="59" t="s">
        <v>964</v>
      </c>
      <c r="T27" s="59" t="s">
        <v>965</v>
      </c>
      <c r="U27" s="59" t="s">
        <v>966</v>
      </c>
      <c r="V27" s="59" t="s">
        <v>967</v>
      </c>
      <c r="W27" s="59" t="s">
        <v>993</v>
      </c>
      <c r="X27" s="59" t="s">
        <v>969</v>
      </c>
    </row>
    <row r="28" spans="1:24" ht="17.25" x14ac:dyDescent="0.3">
      <c r="A28" s="59" t="s">
        <v>970</v>
      </c>
      <c r="B28" s="59" t="s">
        <v>971</v>
      </c>
      <c r="C28" s="59" t="s">
        <v>997</v>
      </c>
      <c r="D28" s="59" t="s">
        <v>973</v>
      </c>
      <c r="E28" s="59" t="s">
        <v>974</v>
      </c>
      <c r="F28" s="59" t="s">
        <v>975</v>
      </c>
      <c r="G28" s="59" t="s">
        <v>976</v>
      </c>
      <c r="H28" s="59" t="s">
        <v>977</v>
      </c>
      <c r="I28" s="59" t="s">
        <v>978</v>
      </c>
      <c r="J28" s="59" t="s">
        <v>979</v>
      </c>
      <c r="K28" s="59" t="s">
        <v>980</v>
      </c>
      <c r="L28" s="59" t="s">
        <v>981</v>
      </c>
      <c r="M28" s="59" t="s">
        <v>982</v>
      </c>
      <c r="N28" s="59" t="s">
        <v>984</v>
      </c>
      <c r="O28" s="59" t="s">
        <v>1010</v>
      </c>
      <c r="P28" s="59" t="s">
        <v>986</v>
      </c>
      <c r="Q28" s="59" t="s">
        <v>2261</v>
      </c>
      <c r="R28" s="59" t="s">
        <v>988</v>
      </c>
      <c r="S28" s="59" t="s">
        <v>989</v>
      </c>
      <c r="T28" s="59" t="s">
        <v>990</v>
      </c>
      <c r="U28" s="59" t="s">
        <v>991</v>
      </c>
      <c r="V28" s="59" t="s">
        <v>992</v>
      </c>
      <c r="W28" s="59" t="s">
        <v>1018</v>
      </c>
      <c r="X28" s="59" t="s">
        <v>994</v>
      </c>
    </row>
    <row r="29" spans="1:24" ht="17.25" x14ac:dyDescent="0.3">
      <c r="A29" s="59" t="s">
        <v>995</v>
      </c>
      <c r="B29" s="59" t="s">
        <v>996</v>
      </c>
      <c r="C29" s="59" t="s">
        <v>1022</v>
      </c>
      <c r="D29" s="59" t="s">
        <v>998</v>
      </c>
      <c r="E29" s="59" t="s">
        <v>999</v>
      </c>
      <c r="F29" s="59" t="s">
        <v>1000</v>
      </c>
      <c r="G29" s="59" t="s">
        <v>1001</v>
      </c>
      <c r="H29" s="59" t="s">
        <v>1002</v>
      </c>
      <c r="I29" s="59" t="s">
        <v>1003</v>
      </c>
      <c r="J29" s="59" t="s">
        <v>1004</v>
      </c>
      <c r="K29" s="59" t="s">
        <v>1005</v>
      </c>
      <c r="L29" s="59" t="s">
        <v>1006</v>
      </c>
      <c r="M29" s="59" t="s">
        <v>1007</v>
      </c>
      <c r="N29" s="59" t="s">
        <v>1009</v>
      </c>
      <c r="O29" s="59" t="s">
        <v>1035</v>
      </c>
      <c r="P29" s="59" t="s">
        <v>1011</v>
      </c>
      <c r="Q29" s="59" t="s">
        <v>5021</v>
      </c>
      <c r="R29" s="59" t="s">
        <v>1013</v>
      </c>
      <c r="S29" s="59" t="s">
        <v>1014</v>
      </c>
      <c r="T29" s="59" t="s">
        <v>1015</v>
      </c>
      <c r="U29" s="59" t="s">
        <v>1016</v>
      </c>
      <c r="V29" s="59" t="s">
        <v>1017</v>
      </c>
      <c r="W29" s="59" t="s">
        <v>1043</v>
      </c>
      <c r="X29" s="59" t="s">
        <v>1019</v>
      </c>
    </row>
    <row r="30" spans="1:24" ht="17.25" x14ac:dyDescent="0.3">
      <c r="A30" s="59" t="s">
        <v>1020</v>
      </c>
      <c r="B30" s="59" t="s">
        <v>1021</v>
      </c>
      <c r="C30" s="59" t="s">
        <v>1047</v>
      </c>
      <c r="D30" s="59" t="s">
        <v>1023</v>
      </c>
      <c r="E30" s="59" t="s">
        <v>1024</v>
      </c>
      <c r="F30" s="59" t="s">
        <v>1025</v>
      </c>
      <c r="G30" s="59" t="s">
        <v>1026</v>
      </c>
      <c r="H30" s="59" t="s">
        <v>1027</v>
      </c>
      <c r="I30" s="59" t="s">
        <v>1028</v>
      </c>
      <c r="J30" s="59" t="s">
        <v>1029</v>
      </c>
      <c r="K30" s="59" t="s">
        <v>1030</v>
      </c>
      <c r="L30" s="59" t="s">
        <v>1031</v>
      </c>
      <c r="M30" s="59" t="s">
        <v>1032</v>
      </c>
      <c r="N30" s="59" t="s">
        <v>1034</v>
      </c>
      <c r="O30" s="59" t="s">
        <v>1060</v>
      </c>
      <c r="P30" s="59" t="s">
        <v>1036</v>
      </c>
      <c r="Q30" s="59" t="s">
        <v>1262</v>
      </c>
      <c r="R30" s="59" t="s">
        <v>1038</v>
      </c>
      <c r="S30" s="59" t="s">
        <v>1039</v>
      </c>
      <c r="T30" s="59" t="s">
        <v>1040</v>
      </c>
      <c r="U30" s="59" t="s">
        <v>1041</v>
      </c>
      <c r="V30" s="59" t="s">
        <v>1042</v>
      </c>
      <c r="W30" s="59" t="s">
        <v>1068</v>
      </c>
      <c r="X30" s="59" t="s">
        <v>1044</v>
      </c>
    </row>
    <row r="31" spans="1:24" ht="17.25" x14ac:dyDescent="0.3">
      <c r="A31" s="59" t="s">
        <v>1045</v>
      </c>
      <c r="B31" s="59" t="s">
        <v>1046</v>
      </c>
      <c r="C31" s="59" t="s">
        <v>1072</v>
      </c>
      <c r="D31" s="59" t="s">
        <v>1048</v>
      </c>
      <c r="E31" s="59" t="s">
        <v>1049</v>
      </c>
      <c r="F31" s="59" t="s">
        <v>1050</v>
      </c>
      <c r="G31" s="59" t="s">
        <v>1051</v>
      </c>
      <c r="H31" s="59" t="s">
        <v>1052</v>
      </c>
      <c r="I31" s="59" t="s">
        <v>1053</v>
      </c>
      <c r="J31" s="59" t="s">
        <v>1054</v>
      </c>
      <c r="K31" s="59" t="s">
        <v>1055</v>
      </c>
      <c r="L31" s="59" t="s">
        <v>1056</v>
      </c>
      <c r="M31" s="59" t="s">
        <v>1057</v>
      </c>
      <c r="N31" s="59" t="s">
        <v>1059</v>
      </c>
      <c r="O31" s="59" t="s">
        <v>1085</v>
      </c>
      <c r="P31" s="59" t="s">
        <v>1061</v>
      </c>
      <c r="Q31" s="59" t="s">
        <v>4839</v>
      </c>
      <c r="R31" s="59" t="s">
        <v>1063</v>
      </c>
      <c r="S31" s="59" t="s">
        <v>1064</v>
      </c>
      <c r="T31" s="59" t="s">
        <v>1065</v>
      </c>
      <c r="U31" s="59" t="s">
        <v>1066</v>
      </c>
      <c r="V31" s="59" t="s">
        <v>1067</v>
      </c>
      <c r="W31" s="59" t="s">
        <v>1093</v>
      </c>
      <c r="X31" s="59" t="s">
        <v>1069</v>
      </c>
    </row>
    <row r="32" spans="1:24" ht="17.25" x14ac:dyDescent="0.3">
      <c r="A32" s="59" t="s">
        <v>1070</v>
      </c>
      <c r="B32" s="59" t="s">
        <v>1071</v>
      </c>
      <c r="C32" s="59" t="s">
        <v>1097</v>
      </c>
      <c r="D32" s="59" t="s">
        <v>1073</v>
      </c>
      <c r="E32" s="59" t="s">
        <v>1074</v>
      </c>
      <c r="F32" s="59" t="s">
        <v>1075</v>
      </c>
      <c r="G32" s="59" t="s">
        <v>1076</v>
      </c>
      <c r="H32" s="59" t="s">
        <v>1077</v>
      </c>
      <c r="I32" s="59" t="s">
        <v>1078</v>
      </c>
      <c r="J32" s="59" t="s">
        <v>1079</v>
      </c>
      <c r="K32" s="59" t="s">
        <v>1080</v>
      </c>
      <c r="L32" s="59" t="s">
        <v>1081</v>
      </c>
      <c r="M32" s="59" t="s">
        <v>1082</v>
      </c>
      <c r="N32" s="59" t="s">
        <v>1084</v>
      </c>
      <c r="O32" s="59" t="s">
        <v>1110</v>
      </c>
      <c r="P32" s="59" t="s">
        <v>1086</v>
      </c>
      <c r="Q32" s="59" t="s">
        <v>5312</v>
      </c>
      <c r="R32" s="59" t="s">
        <v>1088</v>
      </c>
      <c r="S32" s="59" t="s">
        <v>1089</v>
      </c>
      <c r="T32" s="59" t="s">
        <v>1090</v>
      </c>
      <c r="U32" s="59" t="s">
        <v>1091</v>
      </c>
      <c r="V32" s="59" t="s">
        <v>1092</v>
      </c>
      <c r="W32" s="59" t="s">
        <v>1118</v>
      </c>
      <c r="X32" s="59" t="s">
        <v>1094</v>
      </c>
    </row>
    <row r="33" spans="1:24" ht="17.25" x14ac:dyDescent="0.3">
      <c r="A33" s="59" t="s">
        <v>1095</v>
      </c>
      <c r="B33" s="59" t="s">
        <v>1096</v>
      </c>
      <c r="C33" s="59" t="s">
        <v>1122</v>
      </c>
      <c r="D33" s="59" t="s">
        <v>1098</v>
      </c>
      <c r="E33" s="59" t="s">
        <v>1099</v>
      </c>
      <c r="F33" s="59" t="s">
        <v>1100</v>
      </c>
      <c r="G33" s="59" t="s">
        <v>1101</v>
      </c>
      <c r="H33" s="59" t="s">
        <v>1102</v>
      </c>
      <c r="I33" s="59" t="s">
        <v>1103</v>
      </c>
      <c r="J33" s="59" t="s">
        <v>1104</v>
      </c>
      <c r="K33" s="59" t="s">
        <v>1105</v>
      </c>
      <c r="L33" s="59" t="s">
        <v>1106</v>
      </c>
      <c r="M33" s="59" t="s">
        <v>1107</v>
      </c>
      <c r="N33" s="59" t="s">
        <v>1109</v>
      </c>
      <c r="O33" s="59" t="s">
        <v>1135</v>
      </c>
      <c r="P33" s="59" t="s">
        <v>1111</v>
      </c>
      <c r="Q33" s="59" t="s">
        <v>5790</v>
      </c>
      <c r="R33" s="59" t="s">
        <v>1113</v>
      </c>
      <c r="S33" s="59" t="s">
        <v>1114</v>
      </c>
      <c r="T33" s="59" t="s">
        <v>1115</v>
      </c>
      <c r="U33" s="59" t="s">
        <v>1116</v>
      </c>
      <c r="V33" s="59" t="s">
        <v>1117</v>
      </c>
      <c r="W33" s="59" t="s">
        <v>1143</v>
      </c>
      <c r="X33" s="59" t="s">
        <v>1119</v>
      </c>
    </row>
    <row r="34" spans="1:24" ht="17.25" x14ac:dyDescent="0.3">
      <c r="A34" s="59" t="s">
        <v>1120</v>
      </c>
      <c r="B34" s="59" t="s">
        <v>1121</v>
      </c>
      <c r="C34" s="59" t="s">
        <v>1147</v>
      </c>
      <c r="D34" s="59" t="s">
        <v>1123</v>
      </c>
      <c r="E34" s="59" t="s">
        <v>1124</v>
      </c>
      <c r="F34" s="59" t="s">
        <v>1125</v>
      </c>
      <c r="G34" s="59" t="s">
        <v>1126</v>
      </c>
      <c r="H34" s="59" t="s">
        <v>1127</v>
      </c>
      <c r="I34" s="59" t="s">
        <v>1128</v>
      </c>
      <c r="J34" s="59" t="s">
        <v>1129</v>
      </c>
      <c r="K34" s="59" t="s">
        <v>1130</v>
      </c>
      <c r="L34" s="59" t="s">
        <v>1131</v>
      </c>
      <c r="M34" s="59" t="s">
        <v>1132</v>
      </c>
      <c r="N34" s="59" t="s">
        <v>1134</v>
      </c>
      <c r="O34" s="59" t="s">
        <v>1160</v>
      </c>
      <c r="P34" s="59" t="s">
        <v>1136</v>
      </c>
      <c r="Q34" s="59" t="s">
        <v>2860</v>
      </c>
      <c r="R34" s="59" t="s">
        <v>1138</v>
      </c>
      <c r="S34" s="59" t="s">
        <v>1139</v>
      </c>
      <c r="T34" s="59" t="s">
        <v>1140</v>
      </c>
      <c r="U34" s="59" t="s">
        <v>1141</v>
      </c>
      <c r="V34" s="59" t="s">
        <v>1142</v>
      </c>
      <c r="W34" s="59" t="s">
        <v>1168</v>
      </c>
      <c r="X34" s="59" t="s">
        <v>1144</v>
      </c>
    </row>
    <row r="35" spans="1:24" ht="17.25" x14ac:dyDescent="0.3">
      <c r="A35" s="59" t="s">
        <v>1145</v>
      </c>
      <c r="B35" s="59" t="s">
        <v>1146</v>
      </c>
      <c r="C35" s="59" t="s">
        <v>1172</v>
      </c>
      <c r="D35" s="59" t="s">
        <v>1148</v>
      </c>
      <c r="E35" s="59" t="s">
        <v>1149</v>
      </c>
      <c r="F35" s="59" t="s">
        <v>1150</v>
      </c>
      <c r="G35" s="59" t="s">
        <v>1151</v>
      </c>
      <c r="H35" s="59" t="s">
        <v>1152</v>
      </c>
      <c r="I35" s="59" t="s">
        <v>1153</v>
      </c>
      <c r="J35" s="59" t="s">
        <v>1154</v>
      </c>
      <c r="K35" s="59" t="s">
        <v>1155</v>
      </c>
      <c r="L35" s="59" t="s">
        <v>1156</v>
      </c>
      <c r="M35" s="59" t="s">
        <v>1157</v>
      </c>
      <c r="N35" s="59" t="s">
        <v>1159</v>
      </c>
      <c r="O35" s="59" t="s">
        <v>1185</v>
      </c>
      <c r="P35" s="59" t="s">
        <v>1161</v>
      </c>
      <c r="Q35" s="59" t="s">
        <v>3584</v>
      </c>
      <c r="R35" s="59" t="s">
        <v>1163</v>
      </c>
      <c r="S35" s="59" t="s">
        <v>1164</v>
      </c>
      <c r="T35" s="59" t="s">
        <v>1165</v>
      </c>
      <c r="U35" s="59" t="s">
        <v>1166</v>
      </c>
      <c r="V35" s="59" t="s">
        <v>1167</v>
      </c>
      <c r="W35" s="59" t="s">
        <v>1193</v>
      </c>
      <c r="X35" s="59" t="s">
        <v>1169</v>
      </c>
    </row>
    <row r="36" spans="1:24" ht="17.25" x14ac:dyDescent="0.3">
      <c r="A36" s="59" t="s">
        <v>1170</v>
      </c>
      <c r="B36" s="59" t="s">
        <v>1171</v>
      </c>
      <c r="C36" s="59" t="s">
        <v>1197</v>
      </c>
      <c r="D36" s="59" t="s">
        <v>1173</v>
      </c>
      <c r="E36" s="59" t="s">
        <v>1174</v>
      </c>
      <c r="F36" s="59" t="s">
        <v>1175</v>
      </c>
      <c r="G36" s="59" t="s">
        <v>1176</v>
      </c>
      <c r="H36" s="59" t="s">
        <v>1177</v>
      </c>
      <c r="I36" s="59" t="s">
        <v>1178</v>
      </c>
      <c r="J36" s="59" t="s">
        <v>1179</v>
      </c>
      <c r="K36" s="59" t="s">
        <v>1180</v>
      </c>
      <c r="L36" s="59" t="s">
        <v>1181</v>
      </c>
      <c r="M36" s="59" t="s">
        <v>1182</v>
      </c>
      <c r="N36" s="59" t="s">
        <v>1184</v>
      </c>
      <c r="O36" s="59" t="s">
        <v>1210</v>
      </c>
      <c r="P36" s="59" t="s">
        <v>1186</v>
      </c>
      <c r="Q36" s="59" t="s">
        <v>3951</v>
      </c>
      <c r="R36" s="59" t="s">
        <v>1188</v>
      </c>
      <c r="S36" s="59" t="s">
        <v>1189</v>
      </c>
      <c r="T36" s="59" t="s">
        <v>1190</v>
      </c>
      <c r="U36" s="59" t="s">
        <v>1191</v>
      </c>
      <c r="V36" s="59" t="s">
        <v>1192</v>
      </c>
      <c r="W36" s="59" t="s">
        <v>1218</v>
      </c>
      <c r="X36" s="59" t="s">
        <v>1194</v>
      </c>
    </row>
    <row r="37" spans="1:24" ht="17.25" x14ac:dyDescent="0.3">
      <c r="A37" s="59" t="s">
        <v>1195</v>
      </c>
      <c r="B37" s="59" t="s">
        <v>1196</v>
      </c>
      <c r="C37" s="59" t="s">
        <v>1222</v>
      </c>
      <c r="D37" s="59" t="s">
        <v>1198</v>
      </c>
      <c r="E37" s="59" t="s">
        <v>1199</v>
      </c>
      <c r="F37" s="59" t="s">
        <v>1200</v>
      </c>
      <c r="G37" s="59" t="s">
        <v>1201</v>
      </c>
      <c r="H37" s="59" t="s">
        <v>1202</v>
      </c>
      <c r="I37" s="59" t="s">
        <v>1203</v>
      </c>
      <c r="J37" s="59" t="s">
        <v>1204</v>
      </c>
      <c r="K37" s="59" t="s">
        <v>1205</v>
      </c>
      <c r="L37" s="59" t="s">
        <v>1206</v>
      </c>
      <c r="M37" s="59" t="s">
        <v>1207</v>
      </c>
      <c r="N37" s="59" t="s">
        <v>1209</v>
      </c>
      <c r="O37" s="59" t="s">
        <v>1235</v>
      </c>
      <c r="P37" s="59" t="s">
        <v>1211</v>
      </c>
      <c r="Q37" s="59" t="s">
        <v>3971</v>
      </c>
      <c r="R37" s="59" t="s">
        <v>1213</v>
      </c>
      <c r="S37" s="59" t="s">
        <v>1214</v>
      </c>
      <c r="T37" s="59" t="s">
        <v>1215</v>
      </c>
      <c r="U37" s="59" t="s">
        <v>1216</v>
      </c>
      <c r="V37" s="59" t="s">
        <v>1217</v>
      </c>
      <c r="W37" s="59" t="s">
        <v>1243</v>
      </c>
      <c r="X37" s="59" t="s">
        <v>1219</v>
      </c>
    </row>
    <row r="38" spans="1:24" ht="17.25" x14ac:dyDescent="0.3">
      <c r="A38" s="59" t="s">
        <v>1220</v>
      </c>
      <c r="B38" s="59" t="s">
        <v>1221</v>
      </c>
      <c r="C38" s="59" t="s">
        <v>1247</v>
      </c>
      <c r="D38" s="59" t="s">
        <v>1223</v>
      </c>
      <c r="E38" s="59" t="s">
        <v>1224</v>
      </c>
      <c r="F38" s="59" t="s">
        <v>1225</v>
      </c>
      <c r="G38" s="59" t="s">
        <v>1226</v>
      </c>
      <c r="H38" s="59" t="s">
        <v>1227</v>
      </c>
      <c r="I38" s="59" t="s">
        <v>1228</v>
      </c>
      <c r="J38" s="59" t="s">
        <v>1229</v>
      </c>
      <c r="K38" s="59" t="s">
        <v>1230</v>
      </c>
      <c r="L38" s="59" t="s">
        <v>1231</v>
      </c>
      <c r="M38" s="59" t="s">
        <v>1232</v>
      </c>
      <c r="N38" s="59" t="s">
        <v>1234</v>
      </c>
      <c r="O38" s="59" t="s">
        <v>1260</v>
      </c>
      <c r="P38" s="59" t="s">
        <v>1236</v>
      </c>
      <c r="Q38" s="59" t="s">
        <v>3606</v>
      </c>
      <c r="R38" s="59" t="s">
        <v>1238</v>
      </c>
      <c r="S38" s="59" t="s">
        <v>1239</v>
      </c>
      <c r="T38" s="59" t="s">
        <v>1240</v>
      </c>
      <c r="U38" s="59" t="s">
        <v>1241</v>
      </c>
      <c r="V38" s="59" t="s">
        <v>1242</v>
      </c>
      <c r="W38" s="59" t="s">
        <v>1268</v>
      </c>
      <c r="X38" s="59" t="s">
        <v>1244</v>
      </c>
    </row>
    <row r="39" spans="1:24" ht="17.25" x14ac:dyDescent="0.3">
      <c r="A39" s="59" t="s">
        <v>1245</v>
      </c>
      <c r="B39" s="59" t="s">
        <v>1246</v>
      </c>
      <c r="C39" s="59" t="s">
        <v>1272</v>
      </c>
      <c r="D39" s="59" t="s">
        <v>1248</v>
      </c>
      <c r="E39" s="59" t="s">
        <v>1249</v>
      </c>
      <c r="F39" s="59" t="s">
        <v>1250</v>
      </c>
      <c r="G39" s="59" t="s">
        <v>1251</v>
      </c>
      <c r="H39" s="59" t="s">
        <v>1252</v>
      </c>
      <c r="I39" s="59" t="s">
        <v>1253</v>
      </c>
      <c r="J39" s="59" t="s">
        <v>1254</v>
      </c>
      <c r="K39" s="59" t="s">
        <v>1255</v>
      </c>
      <c r="L39" s="59" t="s">
        <v>1256</v>
      </c>
      <c r="M39" s="59" t="s">
        <v>1257</v>
      </c>
      <c r="N39" s="59" t="s">
        <v>1259</v>
      </c>
      <c r="O39" s="59" t="s">
        <v>1285</v>
      </c>
      <c r="P39" s="59" t="s">
        <v>1261</v>
      </c>
      <c r="Q39" s="59" t="s">
        <v>3782</v>
      </c>
      <c r="R39" s="59" t="s">
        <v>1263</v>
      </c>
      <c r="S39" s="59" t="s">
        <v>1264</v>
      </c>
      <c r="T39" s="59" t="s">
        <v>1265</v>
      </c>
      <c r="U39" s="59" t="s">
        <v>1266</v>
      </c>
      <c r="V39" s="59" t="s">
        <v>1267</v>
      </c>
      <c r="W39" s="59" t="s">
        <v>1293</v>
      </c>
      <c r="X39" s="59" t="s">
        <v>1269</v>
      </c>
    </row>
    <row r="40" spans="1:24" ht="17.25" x14ac:dyDescent="0.3">
      <c r="A40" s="59" t="s">
        <v>1270</v>
      </c>
      <c r="B40" s="59" t="s">
        <v>1271</v>
      </c>
      <c r="C40" s="59" t="s">
        <v>1297</v>
      </c>
      <c r="D40" s="59" t="s">
        <v>1273</v>
      </c>
      <c r="E40" s="59" t="s">
        <v>1274</v>
      </c>
      <c r="F40" s="59" t="s">
        <v>1275</v>
      </c>
      <c r="G40" s="59" t="s">
        <v>1276</v>
      </c>
      <c r="H40" s="59" t="s">
        <v>1277</v>
      </c>
      <c r="I40" s="59" t="s">
        <v>1278</v>
      </c>
      <c r="J40" s="59" t="s">
        <v>1279</v>
      </c>
      <c r="K40" s="59" t="s">
        <v>1280</v>
      </c>
      <c r="L40" s="59" t="s">
        <v>1281</v>
      </c>
      <c r="M40" s="59" t="s">
        <v>1282</v>
      </c>
      <c r="N40" s="59" t="s">
        <v>1284</v>
      </c>
      <c r="O40" s="59" t="s">
        <v>1310</v>
      </c>
      <c r="P40" s="59" t="s">
        <v>1286</v>
      </c>
      <c r="Q40" s="59" t="s">
        <v>564</v>
      </c>
      <c r="R40" s="59" t="s">
        <v>1288</v>
      </c>
      <c r="S40" s="59" t="s">
        <v>1289</v>
      </c>
      <c r="T40" s="59" t="s">
        <v>1290</v>
      </c>
      <c r="U40" s="59" t="s">
        <v>1291</v>
      </c>
      <c r="V40" s="59" t="s">
        <v>1292</v>
      </c>
      <c r="W40" s="59" t="s">
        <v>1318</v>
      </c>
      <c r="X40" s="59" t="s">
        <v>1294</v>
      </c>
    </row>
    <row r="41" spans="1:24" ht="17.25" x14ac:dyDescent="0.3">
      <c r="A41" s="59" t="s">
        <v>1295</v>
      </c>
      <c r="B41" s="59" t="s">
        <v>1296</v>
      </c>
      <c r="C41" s="59" t="s">
        <v>1322</v>
      </c>
      <c r="D41" s="59" t="s">
        <v>1298</v>
      </c>
      <c r="E41" s="59" t="s">
        <v>1299</v>
      </c>
      <c r="F41" s="59" t="s">
        <v>1300</v>
      </c>
      <c r="G41" s="59" t="s">
        <v>1301</v>
      </c>
      <c r="H41" s="59" t="s">
        <v>1302</v>
      </c>
      <c r="I41" s="59" t="s">
        <v>1303</v>
      </c>
      <c r="J41" s="59" t="s">
        <v>1304</v>
      </c>
      <c r="K41" s="59" t="s">
        <v>1305</v>
      </c>
      <c r="L41" s="59" t="s">
        <v>1306</v>
      </c>
      <c r="M41" s="59" t="s">
        <v>1307</v>
      </c>
      <c r="N41" s="59" t="s">
        <v>1309</v>
      </c>
      <c r="O41" s="59" t="s">
        <v>1335</v>
      </c>
      <c r="P41" s="59" t="s">
        <v>1311</v>
      </c>
      <c r="Q41" s="59" t="s">
        <v>3738</v>
      </c>
      <c r="R41" s="59" t="s">
        <v>1313</v>
      </c>
      <c r="S41" s="59" t="s">
        <v>1314</v>
      </c>
      <c r="T41" s="59" t="s">
        <v>1315</v>
      </c>
      <c r="U41" s="59" t="s">
        <v>1316</v>
      </c>
      <c r="V41" s="59" t="s">
        <v>1317</v>
      </c>
      <c r="W41" s="59" t="s">
        <v>1343</v>
      </c>
      <c r="X41" s="59" t="s">
        <v>1319</v>
      </c>
    </row>
    <row r="42" spans="1:24" ht="17.25" x14ac:dyDescent="0.3">
      <c r="A42" s="59" t="s">
        <v>1320</v>
      </c>
      <c r="B42" s="59" t="s">
        <v>1321</v>
      </c>
      <c r="C42" s="59" t="s">
        <v>1347</v>
      </c>
      <c r="D42" s="59" t="s">
        <v>1323</v>
      </c>
      <c r="E42" s="59" t="s">
        <v>1324</v>
      </c>
      <c r="F42" s="59" t="s">
        <v>1325</v>
      </c>
      <c r="G42" s="59" t="s">
        <v>1326</v>
      </c>
      <c r="H42" s="59" t="s">
        <v>1327</v>
      </c>
      <c r="I42" s="59" t="s">
        <v>1328</v>
      </c>
      <c r="J42" s="59" t="s">
        <v>1329</v>
      </c>
      <c r="K42" s="59" t="s">
        <v>1330</v>
      </c>
      <c r="L42" s="59" t="s">
        <v>1331</v>
      </c>
      <c r="M42" s="59" t="s">
        <v>1332</v>
      </c>
      <c r="N42" s="59" t="s">
        <v>1334</v>
      </c>
      <c r="O42" s="59" t="s">
        <v>1360</v>
      </c>
      <c r="P42" s="59" t="s">
        <v>1336</v>
      </c>
      <c r="Q42" s="59" t="s">
        <v>2428</v>
      </c>
      <c r="R42" s="59" t="s">
        <v>1338</v>
      </c>
      <c r="S42" s="59" t="s">
        <v>1339</v>
      </c>
      <c r="T42" s="59" t="s">
        <v>1340</v>
      </c>
      <c r="U42" s="59" t="s">
        <v>1341</v>
      </c>
      <c r="V42" s="59" t="s">
        <v>1342</v>
      </c>
      <c r="W42" s="59" t="s">
        <v>1368</v>
      </c>
      <c r="X42" s="59" t="s">
        <v>1344</v>
      </c>
    </row>
    <row r="43" spans="1:24" ht="17.25" x14ac:dyDescent="0.3">
      <c r="A43" s="59" t="s">
        <v>1345</v>
      </c>
      <c r="B43" s="59" t="s">
        <v>1346</v>
      </c>
      <c r="C43" s="59" t="s">
        <v>1372</v>
      </c>
      <c r="D43" s="59" t="s">
        <v>1348</v>
      </c>
      <c r="E43" s="59" t="s">
        <v>1349</v>
      </c>
      <c r="F43" s="59" t="s">
        <v>1350</v>
      </c>
      <c r="G43" s="59" t="s">
        <v>1351</v>
      </c>
      <c r="H43" s="59" t="s">
        <v>1352</v>
      </c>
      <c r="I43" s="59" t="s">
        <v>1353</v>
      </c>
      <c r="J43" s="59" t="s">
        <v>1354</v>
      </c>
      <c r="K43" s="59" t="s">
        <v>1355</v>
      </c>
      <c r="L43" s="59" t="s">
        <v>1356</v>
      </c>
      <c r="M43" s="59" t="s">
        <v>1357</v>
      </c>
      <c r="N43" s="59" t="s">
        <v>1359</v>
      </c>
      <c r="O43" s="59" t="s">
        <v>1385</v>
      </c>
      <c r="P43" s="59" t="s">
        <v>1361</v>
      </c>
      <c r="Q43" s="59" t="s">
        <v>4993</v>
      </c>
      <c r="R43" s="59" t="s">
        <v>1363</v>
      </c>
      <c r="S43" s="59" t="s">
        <v>1364</v>
      </c>
      <c r="T43" s="59" t="s">
        <v>1365</v>
      </c>
      <c r="U43" s="59" t="s">
        <v>1366</v>
      </c>
      <c r="V43" s="59" t="s">
        <v>1367</v>
      </c>
      <c r="W43" s="59" t="s">
        <v>1393</v>
      </c>
      <c r="X43" s="59" t="s">
        <v>1369</v>
      </c>
    </row>
    <row r="44" spans="1:24" ht="17.25" x14ac:dyDescent="0.3">
      <c r="A44" s="59" t="s">
        <v>1370</v>
      </c>
      <c r="B44" s="59" t="s">
        <v>1371</v>
      </c>
      <c r="C44" s="59" t="s">
        <v>1397</v>
      </c>
      <c r="D44" s="59" t="s">
        <v>1373</v>
      </c>
      <c r="E44" s="59" t="s">
        <v>1374</v>
      </c>
      <c r="F44" s="59" t="s">
        <v>1375</v>
      </c>
      <c r="G44" s="59" t="s">
        <v>1376</v>
      </c>
      <c r="H44" s="59" t="s">
        <v>1377</v>
      </c>
      <c r="I44" s="59" t="s">
        <v>1378</v>
      </c>
      <c r="J44" s="59" t="s">
        <v>1379</v>
      </c>
      <c r="K44" s="59" t="s">
        <v>1380</v>
      </c>
      <c r="L44" s="59" t="s">
        <v>1381</v>
      </c>
      <c r="M44" s="59" t="s">
        <v>1382</v>
      </c>
      <c r="N44" s="59" t="s">
        <v>1384</v>
      </c>
      <c r="O44" s="59" t="s">
        <v>1410</v>
      </c>
      <c r="P44" s="59" t="s">
        <v>1386</v>
      </c>
      <c r="Q44" s="59" t="s">
        <v>913</v>
      </c>
      <c r="R44" s="59" t="s">
        <v>1388</v>
      </c>
      <c r="S44" s="59" t="s">
        <v>1389</v>
      </c>
      <c r="T44" s="59" t="s">
        <v>1390</v>
      </c>
      <c r="U44" s="59" t="s">
        <v>1391</v>
      </c>
      <c r="V44" s="59" t="s">
        <v>1392</v>
      </c>
      <c r="W44" s="59" t="s">
        <v>1418</v>
      </c>
      <c r="X44" s="59" t="s">
        <v>1394</v>
      </c>
    </row>
    <row r="45" spans="1:24" ht="17.25" x14ac:dyDescent="0.3">
      <c r="A45" s="59" t="s">
        <v>1395</v>
      </c>
      <c r="B45" s="59" t="s">
        <v>1396</v>
      </c>
      <c r="C45" s="59" t="s">
        <v>1422</v>
      </c>
      <c r="D45" s="59" t="s">
        <v>1398</v>
      </c>
      <c r="E45" s="59" t="s">
        <v>1399</v>
      </c>
      <c r="F45" s="59" t="s">
        <v>1400</v>
      </c>
      <c r="G45" s="59" t="s">
        <v>1401</v>
      </c>
      <c r="H45" s="59" t="s">
        <v>1402</v>
      </c>
      <c r="I45" s="59" t="s">
        <v>1403</v>
      </c>
      <c r="J45" s="59" t="s">
        <v>1404</v>
      </c>
      <c r="K45" s="59" t="s">
        <v>1405</v>
      </c>
      <c r="L45" s="59" t="s">
        <v>1406</v>
      </c>
      <c r="M45" s="59" t="s">
        <v>1407</v>
      </c>
      <c r="N45" s="59" t="s">
        <v>1409</v>
      </c>
      <c r="O45" s="59" t="s">
        <v>1435</v>
      </c>
      <c r="P45" s="59" t="s">
        <v>1411</v>
      </c>
      <c r="Q45" s="59" t="s">
        <v>5802</v>
      </c>
      <c r="R45" s="59" t="s">
        <v>1413</v>
      </c>
      <c r="S45" s="59" t="s">
        <v>1414</v>
      </c>
      <c r="T45" s="59" t="s">
        <v>1415</v>
      </c>
      <c r="U45" s="59" t="s">
        <v>1416</v>
      </c>
      <c r="V45" s="59" t="s">
        <v>1417</v>
      </c>
      <c r="W45" s="59" t="s">
        <v>1443</v>
      </c>
      <c r="X45" s="59" t="s">
        <v>1419</v>
      </c>
    </row>
    <row r="46" spans="1:24" ht="17.25" x14ac:dyDescent="0.3">
      <c r="A46" s="59" t="s">
        <v>1420</v>
      </c>
      <c r="B46" s="59" t="s">
        <v>1421</v>
      </c>
      <c r="C46" s="59" t="s">
        <v>1447</v>
      </c>
      <c r="D46" s="59" t="s">
        <v>1423</v>
      </c>
      <c r="E46" s="59" t="s">
        <v>1424</v>
      </c>
      <c r="F46" s="59" t="s">
        <v>1425</v>
      </c>
      <c r="G46" s="59" t="s">
        <v>1426</v>
      </c>
      <c r="H46" s="59" t="s">
        <v>1427</v>
      </c>
      <c r="I46" s="59" t="s">
        <v>1428</v>
      </c>
      <c r="J46" s="59" t="s">
        <v>1429</v>
      </c>
      <c r="K46" s="59" t="s">
        <v>1430</v>
      </c>
      <c r="L46" s="59" t="s">
        <v>1431</v>
      </c>
      <c r="M46" s="59" t="s">
        <v>1432</v>
      </c>
      <c r="N46" s="59" t="s">
        <v>1434</v>
      </c>
      <c r="O46" s="59" t="s">
        <v>1460</v>
      </c>
      <c r="P46" s="59" t="s">
        <v>1436</v>
      </c>
      <c r="Q46" s="59" t="s">
        <v>5814</v>
      </c>
      <c r="R46" s="59" t="s">
        <v>1438</v>
      </c>
      <c r="S46" s="59" t="s">
        <v>1439</v>
      </c>
      <c r="T46" s="59" t="s">
        <v>1440</v>
      </c>
      <c r="U46" s="59" t="s">
        <v>1441</v>
      </c>
      <c r="V46" s="59" t="s">
        <v>1442</v>
      </c>
      <c r="W46" s="59" t="s">
        <v>1468</v>
      </c>
      <c r="X46" s="59" t="s">
        <v>1444</v>
      </c>
    </row>
    <row r="47" spans="1:24" ht="17.25" x14ac:dyDescent="0.3">
      <c r="A47" s="59" t="s">
        <v>1445</v>
      </c>
      <c r="B47" s="59" t="s">
        <v>1446</v>
      </c>
      <c r="C47" s="59" t="s">
        <v>1472</v>
      </c>
      <c r="D47" s="59" t="s">
        <v>1448</v>
      </c>
      <c r="E47" s="59" t="s">
        <v>1449</v>
      </c>
      <c r="F47" s="59" t="s">
        <v>1450</v>
      </c>
      <c r="G47" s="59" t="s">
        <v>1451</v>
      </c>
      <c r="H47" s="59" t="s">
        <v>1452</v>
      </c>
      <c r="I47" s="59" t="s">
        <v>1453</v>
      </c>
      <c r="J47" s="59" t="s">
        <v>1454</v>
      </c>
      <c r="K47" s="59" t="s">
        <v>1455</v>
      </c>
      <c r="L47" s="59" t="s">
        <v>1456</v>
      </c>
      <c r="M47" s="59" t="s">
        <v>1457</v>
      </c>
      <c r="N47" s="59" t="s">
        <v>1459</v>
      </c>
      <c r="O47" s="59" t="s">
        <v>1485</v>
      </c>
      <c r="P47" s="59" t="s">
        <v>1461</v>
      </c>
      <c r="Q47" s="59" t="s">
        <v>5826</v>
      </c>
      <c r="R47" s="59" t="s">
        <v>1463</v>
      </c>
      <c r="S47" s="59" t="s">
        <v>1464</v>
      </c>
      <c r="T47" s="59" t="s">
        <v>1465</v>
      </c>
      <c r="U47" s="59" t="s">
        <v>1466</v>
      </c>
      <c r="V47" s="59" t="s">
        <v>1467</v>
      </c>
      <c r="W47" s="59" t="s">
        <v>1493</v>
      </c>
      <c r="X47" s="59" t="s">
        <v>1469</v>
      </c>
    </row>
    <row r="48" spans="1:24" ht="17.25" x14ac:dyDescent="0.3">
      <c r="A48" s="59" t="s">
        <v>1470</v>
      </c>
      <c r="B48" s="59" t="s">
        <v>1471</v>
      </c>
      <c r="C48" s="59" t="s">
        <v>1497</v>
      </c>
      <c r="D48" s="59" t="s">
        <v>1473</v>
      </c>
      <c r="E48" s="59" t="s">
        <v>1474</v>
      </c>
      <c r="F48" s="59" t="s">
        <v>1475</v>
      </c>
      <c r="G48" s="59" t="s">
        <v>1476</v>
      </c>
      <c r="H48" s="59" t="s">
        <v>1477</v>
      </c>
      <c r="I48" s="59" t="s">
        <v>1478</v>
      </c>
      <c r="J48" s="59" t="s">
        <v>1479</v>
      </c>
      <c r="K48" s="59" t="s">
        <v>1480</v>
      </c>
      <c r="L48" s="59" t="s">
        <v>1481</v>
      </c>
      <c r="M48" s="59" t="s">
        <v>1482</v>
      </c>
      <c r="N48" s="59" t="s">
        <v>1484</v>
      </c>
      <c r="O48" s="59" t="s">
        <v>1510</v>
      </c>
      <c r="P48" s="59" t="s">
        <v>1486</v>
      </c>
      <c r="Q48" s="59" t="s">
        <v>5838</v>
      </c>
      <c r="R48" s="59" t="s">
        <v>1488</v>
      </c>
      <c r="S48" s="59" t="s">
        <v>1489</v>
      </c>
      <c r="T48" s="59" t="s">
        <v>1490</v>
      </c>
      <c r="U48" s="59" t="s">
        <v>1491</v>
      </c>
      <c r="V48" s="59" t="s">
        <v>1492</v>
      </c>
      <c r="W48" s="59" t="s">
        <v>1518</v>
      </c>
      <c r="X48" s="59" t="s">
        <v>1494</v>
      </c>
    </row>
    <row r="49" spans="1:24" ht="17.25" x14ac:dyDescent="0.3">
      <c r="A49" s="59" t="s">
        <v>1495</v>
      </c>
      <c r="B49" s="59" t="s">
        <v>1496</v>
      </c>
      <c r="C49" s="59" t="s">
        <v>1521</v>
      </c>
      <c r="D49" s="59" t="s">
        <v>1498</v>
      </c>
      <c r="E49" s="59" t="s">
        <v>1499</v>
      </c>
      <c r="F49" s="59" t="s">
        <v>1500</v>
      </c>
      <c r="G49" s="59" t="s">
        <v>1501</v>
      </c>
      <c r="H49" s="59" t="s">
        <v>1502</v>
      </c>
      <c r="I49" s="59" t="s">
        <v>1503</v>
      </c>
      <c r="J49" s="59" t="s">
        <v>1504</v>
      </c>
      <c r="K49" s="59" t="s">
        <v>1505</v>
      </c>
      <c r="L49" s="59" t="s">
        <v>1506</v>
      </c>
      <c r="M49" s="59" t="s">
        <v>1507</v>
      </c>
      <c r="N49" s="59" t="s">
        <v>1509</v>
      </c>
      <c r="O49" s="59" t="s">
        <v>1534</v>
      </c>
      <c r="P49" s="59" t="s">
        <v>1511</v>
      </c>
      <c r="Q49" s="59" t="s">
        <v>5515</v>
      </c>
      <c r="R49" s="59" t="s">
        <v>1513</v>
      </c>
      <c r="S49" s="59" t="s">
        <v>1514</v>
      </c>
      <c r="T49" s="59" t="s">
        <v>1515</v>
      </c>
      <c r="U49" s="59" t="s">
        <v>1516</v>
      </c>
      <c r="V49" s="59" t="s">
        <v>1517</v>
      </c>
      <c r="W49" s="59" t="s">
        <v>1542</v>
      </c>
      <c r="X49" s="59" t="s">
        <v>1519</v>
      </c>
    </row>
    <row r="50" spans="1:24" ht="17.25" x14ac:dyDescent="0.3">
      <c r="A50" s="59" t="s">
        <v>1520</v>
      </c>
      <c r="B50" s="59" t="s">
        <v>1545</v>
      </c>
      <c r="C50" s="59" t="s">
        <v>1546</v>
      </c>
      <c r="D50" s="59" t="s">
        <v>1522</v>
      </c>
      <c r="E50" s="59" t="s">
        <v>1523</v>
      </c>
      <c r="F50" s="59" t="s">
        <v>1524</v>
      </c>
      <c r="G50" s="59" t="s">
        <v>1525</v>
      </c>
      <c r="H50" s="59" t="s">
        <v>1526</v>
      </c>
      <c r="I50" s="59" t="s">
        <v>1527</v>
      </c>
      <c r="J50" s="59" t="s">
        <v>1528</v>
      </c>
      <c r="K50" s="59" t="s">
        <v>1529</v>
      </c>
      <c r="L50" s="59" t="s">
        <v>1530</v>
      </c>
      <c r="M50" s="59" t="s">
        <v>1531</v>
      </c>
      <c r="N50" s="59" t="s">
        <v>1533</v>
      </c>
      <c r="O50" s="59" t="s">
        <v>1559</v>
      </c>
      <c r="P50" s="59" t="s">
        <v>1535</v>
      </c>
      <c r="Q50" s="59" t="s">
        <v>3430</v>
      </c>
      <c r="R50" s="59" t="s">
        <v>1537</v>
      </c>
      <c r="S50" s="59" t="s">
        <v>1538</v>
      </c>
      <c r="T50" s="59" t="s">
        <v>1539</v>
      </c>
      <c r="U50" s="59" t="s">
        <v>1540</v>
      </c>
      <c r="V50" s="59" t="s">
        <v>1541</v>
      </c>
      <c r="W50" s="59" t="s">
        <v>1567</v>
      </c>
      <c r="X50" s="59" t="s">
        <v>1543</v>
      </c>
    </row>
    <row r="51" spans="1:24" ht="17.25" x14ac:dyDescent="0.3">
      <c r="A51" s="59" t="s">
        <v>1544</v>
      </c>
      <c r="B51" s="59" t="s">
        <v>1570</v>
      </c>
      <c r="C51" s="59" t="s">
        <v>1571</v>
      </c>
      <c r="D51" s="59" t="s">
        <v>1547</v>
      </c>
      <c r="E51" s="59" t="s">
        <v>1548</v>
      </c>
      <c r="F51" s="59" t="s">
        <v>1549</v>
      </c>
      <c r="G51" s="59" t="s">
        <v>1550</v>
      </c>
      <c r="H51" s="59" t="s">
        <v>1551</v>
      </c>
      <c r="I51" s="59" t="s">
        <v>1552</v>
      </c>
      <c r="J51" s="59" t="s">
        <v>1553</v>
      </c>
      <c r="K51" s="59" t="s">
        <v>1554</v>
      </c>
      <c r="L51" s="59" t="s">
        <v>1555</v>
      </c>
      <c r="M51" s="59" t="s">
        <v>1556</v>
      </c>
      <c r="N51" s="59" t="s">
        <v>1558</v>
      </c>
      <c r="O51" s="59" t="s">
        <v>1584</v>
      </c>
      <c r="P51" s="59" t="s">
        <v>1560</v>
      </c>
      <c r="Q51" s="59" t="s">
        <v>4221</v>
      </c>
      <c r="R51" s="59" t="s">
        <v>1562</v>
      </c>
      <c r="S51" s="59" t="s">
        <v>1563</v>
      </c>
      <c r="T51" s="59" t="s">
        <v>1564</v>
      </c>
      <c r="U51" s="59" t="s">
        <v>1565</v>
      </c>
      <c r="V51" s="59" t="s">
        <v>1566</v>
      </c>
      <c r="W51" s="59" t="s">
        <v>1592</v>
      </c>
      <c r="X51" s="59" t="s">
        <v>1568</v>
      </c>
    </row>
    <row r="52" spans="1:24" ht="17.25" x14ac:dyDescent="0.3">
      <c r="A52" s="59" t="s">
        <v>1569</v>
      </c>
      <c r="B52" s="59" t="s">
        <v>1595</v>
      </c>
      <c r="C52" s="59" t="s">
        <v>1596</v>
      </c>
      <c r="D52" s="59" t="s">
        <v>1572</v>
      </c>
      <c r="E52" s="59" t="s">
        <v>1573</v>
      </c>
      <c r="F52" s="59" t="s">
        <v>1574</v>
      </c>
      <c r="G52" s="59" t="s">
        <v>1575</v>
      </c>
      <c r="H52" s="59" t="s">
        <v>1576</v>
      </c>
      <c r="I52" s="59" t="s">
        <v>1577</v>
      </c>
      <c r="J52" s="59" t="s">
        <v>1578</v>
      </c>
      <c r="K52" s="59" t="s">
        <v>1579</v>
      </c>
      <c r="L52" s="59" t="s">
        <v>1580</v>
      </c>
      <c r="M52" s="59" t="s">
        <v>1581</v>
      </c>
      <c r="N52" s="59" t="s">
        <v>1583</v>
      </c>
      <c r="O52" s="59" t="s">
        <v>1609</v>
      </c>
      <c r="P52" s="59" t="s">
        <v>1585</v>
      </c>
      <c r="Q52" s="59" t="s">
        <v>4560</v>
      </c>
      <c r="R52" s="59" t="s">
        <v>1587</v>
      </c>
      <c r="S52" s="59" t="s">
        <v>1588</v>
      </c>
      <c r="T52" s="59" t="s">
        <v>1589</v>
      </c>
      <c r="U52" s="59" t="s">
        <v>1590</v>
      </c>
      <c r="V52" s="59" t="s">
        <v>1591</v>
      </c>
      <c r="W52" s="59" t="s">
        <v>1617</v>
      </c>
      <c r="X52" s="59" t="s">
        <v>1593</v>
      </c>
    </row>
    <row r="53" spans="1:24" ht="17.25" x14ac:dyDescent="0.3">
      <c r="A53" s="59" t="s">
        <v>1594</v>
      </c>
      <c r="B53" s="59" t="s">
        <v>1620</v>
      </c>
      <c r="C53" s="59" t="s">
        <v>1621</v>
      </c>
      <c r="D53" s="59" t="s">
        <v>1597</v>
      </c>
      <c r="E53" s="59" t="s">
        <v>1598</v>
      </c>
      <c r="F53" s="59" t="s">
        <v>1599</v>
      </c>
      <c r="G53" s="59" t="s">
        <v>1600</v>
      </c>
      <c r="H53" s="59" t="s">
        <v>1601</v>
      </c>
      <c r="I53" s="59" t="s">
        <v>1602</v>
      </c>
      <c r="J53" s="59" t="s">
        <v>1603</v>
      </c>
      <c r="K53" s="59" t="s">
        <v>1604</v>
      </c>
      <c r="L53" s="59" t="s">
        <v>1605</v>
      </c>
      <c r="M53" s="59" t="s">
        <v>1606</v>
      </c>
      <c r="N53" s="59" t="s">
        <v>1608</v>
      </c>
      <c r="O53" s="59" t="s">
        <v>1634</v>
      </c>
      <c r="P53" s="59" t="s">
        <v>1610</v>
      </c>
      <c r="Q53" s="59" t="s">
        <v>1636</v>
      </c>
      <c r="R53" s="59" t="s">
        <v>1612</v>
      </c>
      <c r="S53" s="59" t="s">
        <v>1613</v>
      </c>
      <c r="T53" s="59" t="s">
        <v>1614</v>
      </c>
      <c r="U53" s="59" t="s">
        <v>1615</v>
      </c>
      <c r="V53" s="59" t="s">
        <v>1616</v>
      </c>
      <c r="W53" s="59" t="s">
        <v>1642</v>
      </c>
      <c r="X53" s="59" t="s">
        <v>1618</v>
      </c>
    </row>
    <row r="54" spans="1:24" ht="17.25" x14ac:dyDescent="0.3">
      <c r="A54" s="59" t="s">
        <v>1619</v>
      </c>
      <c r="B54" s="59" t="s">
        <v>1645</v>
      </c>
      <c r="C54" s="59" t="s">
        <v>1646</v>
      </c>
      <c r="D54" s="59" t="s">
        <v>1622</v>
      </c>
      <c r="E54" s="59" t="s">
        <v>1623</v>
      </c>
      <c r="F54" s="59" t="s">
        <v>1624</v>
      </c>
      <c r="G54" s="59" t="s">
        <v>1625</v>
      </c>
      <c r="H54" s="59" t="s">
        <v>1626</v>
      </c>
      <c r="I54" s="59" t="s">
        <v>1627</v>
      </c>
      <c r="J54" s="59" t="s">
        <v>1628</v>
      </c>
      <c r="K54" s="59" t="s">
        <v>1629</v>
      </c>
      <c r="L54" s="59" t="s">
        <v>1630</v>
      </c>
      <c r="M54" s="59" t="s">
        <v>1631</v>
      </c>
      <c r="N54" s="59" t="s">
        <v>1633</v>
      </c>
      <c r="O54" s="59" t="s">
        <v>1659</v>
      </c>
      <c r="P54" s="59" t="s">
        <v>1635</v>
      </c>
      <c r="Q54" s="59" t="s">
        <v>2548</v>
      </c>
      <c r="R54" s="59" t="s">
        <v>1637</v>
      </c>
      <c r="S54" s="59" t="s">
        <v>1638</v>
      </c>
      <c r="T54" s="59" t="s">
        <v>1639</v>
      </c>
      <c r="U54" s="59" t="s">
        <v>1640</v>
      </c>
      <c r="V54" s="59" t="s">
        <v>1641</v>
      </c>
      <c r="W54" s="59" t="s">
        <v>1667</v>
      </c>
      <c r="X54" s="59" t="s">
        <v>1643</v>
      </c>
    </row>
    <row r="55" spans="1:24" ht="17.25" x14ac:dyDescent="0.3">
      <c r="A55" s="59" t="s">
        <v>1644</v>
      </c>
      <c r="B55" s="59" t="s">
        <v>1670</v>
      </c>
      <c r="C55" s="59" t="s">
        <v>1671</v>
      </c>
      <c r="D55" s="59" t="s">
        <v>1647</v>
      </c>
      <c r="E55" s="59" t="s">
        <v>1648</v>
      </c>
      <c r="F55" s="59" t="s">
        <v>1649</v>
      </c>
      <c r="G55" s="59" t="s">
        <v>1650</v>
      </c>
      <c r="H55" s="59" t="s">
        <v>1651</v>
      </c>
      <c r="I55" s="59" t="s">
        <v>1652</v>
      </c>
      <c r="J55" s="59" t="s">
        <v>1653</v>
      </c>
      <c r="K55" s="59" t="s">
        <v>1654</v>
      </c>
      <c r="L55" s="59" t="s">
        <v>1655</v>
      </c>
      <c r="M55" s="59" t="s">
        <v>1656</v>
      </c>
      <c r="N55" s="59" t="s">
        <v>1658</v>
      </c>
      <c r="O55" s="59" t="s">
        <v>1684</v>
      </c>
      <c r="P55" s="59" t="s">
        <v>1660</v>
      </c>
      <c r="Q55" s="59" t="s">
        <v>4107</v>
      </c>
      <c r="R55" s="59" t="s">
        <v>1662</v>
      </c>
      <c r="S55" s="59" t="s">
        <v>1663</v>
      </c>
      <c r="T55" s="59" t="s">
        <v>1664</v>
      </c>
      <c r="U55" s="59" t="s">
        <v>1665</v>
      </c>
      <c r="V55" s="59" t="s">
        <v>1666</v>
      </c>
      <c r="W55" s="59" t="s">
        <v>1692</v>
      </c>
      <c r="X55" s="59" t="s">
        <v>1668</v>
      </c>
    </row>
    <row r="56" spans="1:24" ht="17.25" x14ac:dyDescent="0.3">
      <c r="A56" s="59" t="s">
        <v>1669</v>
      </c>
      <c r="B56" s="59" t="s">
        <v>1695</v>
      </c>
      <c r="C56" s="59" t="s">
        <v>1696</v>
      </c>
      <c r="D56" s="59" t="s">
        <v>1672</v>
      </c>
      <c r="E56" s="59" t="s">
        <v>1673</v>
      </c>
      <c r="F56" s="59" t="s">
        <v>1674</v>
      </c>
      <c r="G56" s="59" t="s">
        <v>1675</v>
      </c>
      <c r="H56" s="59" t="s">
        <v>1676</v>
      </c>
      <c r="I56" s="59" t="s">
        <v>1677</v>
      </c>
      <c r="J56" s="59" t="s">
        <v>1678</v>
      </c>
      <c r="K56" s="59" t="s">
        <v>1679</v>
      </c>
      <c r="L56" s="59" t="s">
        <v>1680</v>
      </c>
      <c r="M56" s="59" t="s">
        <v>1681</v>
      </c>
      <c r="N56" s="59" t="s">
        <v>1683</v>
      </c>
      <c r="O56" s="59" t="s">
        <v>1708</v>
      </c>
      <c r="P56" s="59" t="s">
        <v>1685</v>
      </c>
      <c r="Q56" s="59" t="s">
        <v>2237</v>
      </c>
      <c r="R56" s="59" t="s">
        <v>1687</v>
      </c>
      <c r="S56" s="59" t="s">
        <v>1688</v>
      </c>
      <c r="T56" s="59" t="s">
        <v>1689</v>
      </c>
      <c r="U56" s="59" t="s">
        <v>1690</v>
      </c>
      <c r="V56" s="59" t="s">
        <v>1691</v>
      </c>
      <c r="W56" s="59" t="s">
        <v>1716</v>
      </c>
      <c r="X56" s="59" t="s">
        <v>1693</v>
      </c>
    </row>
    <row r="57" spans="1:24" ht="17.25" x14ac:dyDescent="0.3">
      <c r="A57" s="59" t="s">
        <v>1694</v>
      </c>
      <c r="B57" s="59" t="s">
        <v>1719</v>
      </c>
      <c r="C57" s="59" t="s">
        <v>1720</v>
      </c>
      <c r="D57" s="59" t="s">
        <v>1697</v>
      </c>
      <c r="E57" s="59" t="s">
        <v>1698</v>
      </c>
      <c r="F57" s="59" t="s">
        <v>1699</v>
      </c>
      <c r="G57" s="59" t="s">
        <v>1700</v>
      </c>
      <c r="H57" s="59" t="s">
        <v>1701</v>
      </c>
      <c r="I57" s="59" t="s">
        <v>1702</v>
      </c>
      <c r="J57" s="59" t="s">
        <v>1703</v>
      </c>
      <c r="K57" s="59" t="s">
        <v>1728</v>
      </c>
      <c r="L57" s="59" t="s">
        <v>1704</v>
      </c>
      <c r="M57" s="59" t="s">
        <v>1705</v>
      </c>
      <c r="N57" s="59" t="s">
        <v>1707</v>
      </c>
      <c r="O57" s="59" t="s">
        <v>1733</v>
      </c>
      <c r="P57" s="59" t="s">
        <v>1709</v>
      </c>
      <c r="Q57" s="59" t="s">
        <v>464</v>
      </c>
      <c r="R57" s="59" t="s">
        <v>1711</v>
      </c>
      <c r="S57" s="59" t="s">
        <v>1712</v>
      </c>
      <c r="T57" s="59" t="s">
        <v>1713</v>
      </c>
      <c r="U57" s="59" t="s">
        <v>1714</v>
      </c>
      <c r="V57" s="59" t="s">
        <v>1715</v>
      </c>
      <c r="W57" s="59" t="s">
        <v>1741</v>
      </c>
      <c r="X57" s="59" t="s">
        <v>1717</v>
      </c>
    </row>
    <row r="58" spans="1:24" ht="17.25" x14ac:dyDescent="0.3">
      <c r="A58" s="59" t="s">
        <v>1718</v>
      </c>
      <c r="B58" s="59" t="s">
        <v>1744</v>
      </c>
      <c r="C58" s="59" t="s">
        <v>1745</v>
      </c>
      <c r="D58" s="59" t="s">
        <v>1721</v>
      </c>
      <c r="E58" s="59" t="s">
        <v>1722</v>
      </c>
      <c r="F58" s="59" t="s">
        <v>1723</v>
      </c>
      <c r="G58" s="59" t="s">
        <v>1724</v>
      </c>
      <c r="H58" s="59" t="s">
        <v>1725</v>
      </c>
      <c r="I58" s="59" t="s">
        <v>1726</v>
      </c>
      <c r="J58" s="59" t="s">
        <v>1727</v>
      </c>
      <c r="K58" s="59" t="s">
        <v>1753</v>
      </c>
      <c r="L58" s="59" t="s">
        <v>1729</v>
      </c>
      <c r="M58" s="59" t="s">
        <v>1730</v>
      </c>
      <c r="N58" s="59" t="s">
        <v>1732</v>
      </c>
      <c r="O58" s="59" t="s">
        <v>1757</v>
      </c>
      <c r="P58" s="59" t="s">
        <v>1734</v>
      </c>
      <c r="Q58" s="59" t="s">
        <v>4031</v>
      </c>
      <c r="R58" s="59" t="s">
        <v>1736</v>
      </c>
      <c r="S58" s="59" t="s">
        <v>1737</v>
      </c>
      <c r="T58" s="59" t="s">
        <v>1738</v>
      </c>
      <c r="U58" s="59" t="s">
        <v>1739</v>
      </c>
      <c r="V58" s="59" t="s">
        <v>1740</v>
      </c>
      <c r="W58" s="59" t="s">
        <v>1765</v>
      </c>
      <c r="X58" s="59" t="s">
        <v>1742</v>
      </c>
    </row>
    <row r="59" spans="1:24" ht="17.25" x14ac:dyDescent="0.3">
      <c r="A59" s="59" t="s">
        <v>1743</v>
      </c>
      <c r="B59" s="59" t="s">
        <v>1768</v>
      </c>
      <c r="C59" s="59" t="s">
        <v>1769</v>
      </c>
      <c r="D59" s="59" t="s">
        <v>1746</v>
      </c>
      <c r="E59" s="59" t="s">
        <v>1747</v>
      </c>
      <c r="F59" s="59" t="s">
        <v>1748</v>
      </c>
      <c r="G59" s="59" t="s">
        <v>1749</v>
      </c>
      <c r="H59" s="59" t="s">
        <v>1750</v>
      </c>
      <c r="I59" s="59" t="s">
        <v>1751</v>
      </c>
      <c r="J59" s="59" t="s">
        <v>1752</v>
      </c>
      <c r="K59" s="59" t="s">
        <v>1777</v>
      </c>
      <c r="L59" s="59" t="s">
        <v>1754</v>
      </c>
      <c r="M59" s="59" t="s">
        <v>1755</v>
      </c>
      <c r="N59" s="59" t="s">
        <v>1756</v>
      </c>
      <c r="O59" s="59" t="s">
        <v>1781</v>
      </c>
      <c r="P59" s="59" t="s">
        <v>1758</v>
      </c>
      <c r="Q59" s="59" t="s">
        <v>4088</v>
      </c>
      <c r="R59" s="59" t="s">
        <v>1760</v>
      </c>
      <c r="S59" s="59" t="s">
        <v>1761</v>
      </c>
      <c r="T59" s="59" t="s">
        <v>1762</v>
      </c>
      <c r="U59" s="59" t="s">
        <v>1763</v>
      </c>
      <c r="V59" s="59" t="s">
        <v>1764</v>
      </c>
      <c r="W59" s="59" t="s">
        <v>1788</v>
      </c>
      <c r="X59" s="59" t="s">
        <v>1766</v>
      </c>
    </row>
    <row r="60" spans="1:24" ht="17.25" x14ac:dyDescent="0.3">
      <c r="A60" s="59" t="s">
        <v>1767</v>
      </c>
      <c r="B60" s="59" t="s">
        <v>1791</v>
      </c>
      <c r="C60" s="59" t="s">
        <v>1792</v>
      </c>
      <c r="D60" s="59" t="s">
        <v>1770</v>
      </c>
      <c r="E60" s="59" t="s">
        <v>1771</v>
      </c>
      <c r="F60" s="59" t="s">
        <v>1772</v>
      </c>
      <c r="G60" s="59" t="s">
        <v>1773</v>
      </c>
      <c r="H60" s="59" t="s">
        <v>1774</v>
      </c>
      <c r="I60" s="59" t="s">
        <v>1775</v>
      </c>
      <c r="J60" s="59" t="s">
        <v>1776</v>
      </c>
      <c r="K60" s="59" t="s">
        <v>1800</v>
      </c>
      <c r="L60" s="59" t="s">
        <v>1778</v>
      </c>
      <c r="M60" s="59" t="s">
        <v>1779</v>
      </c>
      <c r="N60" s="59" t="s">
        <v>1780</v>
      </c>
      <c r="O60" s="59" t="s">
        <v>1804</v>
      </c>
      <c r="P60" s="59" t="s">
        <v>1805</v>
      </c>
      <c r="Q60" s="59" t="s">
        <v>888</v>
      </c>
      <c r="R60" s="59" t="s">
        <v>1783</v>
      </c>
      <c r="S60" s="59" t="s">
        <v>1784</v>
      </c>
      <c r="T60" s="59" t="s">
        <v>1785</v>
      </c>
      <c r="U60" s="59" t="s">
        <v>1786</v>
      </c>
      <c r="V60" s="59" t="s">
        <v>1787</v>
      </c>
      <c r="W60" s="59" t="s">
        <v>1812</v>
      </c>
      <c r="X60" s="59" t="s">
        <v>1789</v>
      </c>
    </row>
    <row r="61" spans="1:24" ht="17.25" x14ac:dyDescent="0.3">
      <c r="A61" s="59" t="s">
        <v>1790</v>
      </c>
      <c r="B61" s="59" t="s">
        <v>1815</v>
      </c>
      <c r="C61" s="59" t="s">
        <v>1816</v>
      </c>
      <c r="D61" s="59" t="s">
        <v>1793</v>
      </c>
      <c r="E61" s="59" t="s">
        <v>1794</v>
      </c>
      <c r="F61" s="59" t="s">
        <v>1795</v>
      </c>
      <c r="G61" s="59" t="s">
        <v>1796</v>
      </c>
      <c r="H61" s="59" t="s">
        <v>1797</v>
      </c>
      <c r="I61" s="59" t="s">
        <v>1798</v>
      </c>
      <c r="J61" s="59" t="s">
        <v>1799</v>
      </c>
      <c r="K61" s="59" t="s">
        <v>1824</v>
      </c>
      <c r="L61" s="59" t="s">
        <v>1801</v>
      </c>
      <c r="M61" s="59" t="s">
        <v>1802</v>
      </c>
      <c r="N61" s="59" t="s">
        <v>1803</v>
      </c>
      <c r="O61" s="59" t="s">
        <v>1828</v>
      </c>
      <c r="P61" s="59" t="s">
        <v>1829</v>
      </c>
      <c r="Q61" s="59" t="s">
        <v>5527</v>
      </c>
      <c r="R61" s="59" t="s">
        <v>1807</v>
      </c>
      <c r="S61" s="59" t="s">
        <v>1808</v>
      </c>
      <c r="T61" s="59" t="s">
        <v>1809</v>
      </c>
      <c r="U61" s="59" t="s">
        <v>1810</v>
      </c>
      <c r="V61" s="59" t="s">
        <v>1811</v>
      </c>
      <c r="W61" s="59" t="s">
        <v>1836</v>
      </c>
      <c r="X61" s="59" t="s">
        <v>1813</v>
      </c>
    </row>
    <row r="62" spans="1:24" ht="17.25" x14ac:dyDescent="0.3">
      <c r="A62" s="59" t="s">
        <v>1814</v>
      </c>
      <c r="B62" s="59" t="s">
        <v>1839</v>
      </c>
      <c r="C62" s="59" t="s">
        <v>1840</v>
      </c>
      <c r="D62" s="59" t="s">
        <v>1817</v>
      </c>
      <c r="E62" s="59" t="s">
        <v>1818</v>
      </c>
      <c r="F62" s="59" t="s">
        <v>1819</v>
      </c>
      <c r="G62" s="59" t="s">
        <v>1820</v>
      </c>
      <c r="H62" s="59" t="s">
        <v>1821</v>
      </c>
      <c r="I62" s="59" t="s">
        <v>1822</v>
      </c>
      <c r="J62" s="59" t="s">
        <v>1823</v>
      </c>
      <c r="K62" s="59" t="s">
        <v>1848</v>
      </c>
      <c r="L62" s="59" t="s">
        <v>1825</v>
      </c>
      <c r="M62" s="59" t="s">
        <v>1826</v>
      </c>
      <c r="N62" s="59" t="s">
        <v>1827</v>
      </c>
      <c r="O62" s="59" t="s">
        <v>1852</v>
      </c>
      <c r="P62" s="59" t="s">
        <v>1853</v>
      </c>
      <c r="Q62" s="59" t="s">
        <v>5539</v>
      </c>
      <c r="R62" s="59" t="s">
        <v>1831</v>
      </c>
      <c r="S62" s="59" t="s">
        <v>1832</v>
      </c>
      <c r="T62" s="59" t="s">
        <v>1833</v>
      </c>
      <c r="U62" s="59" t="s">
        <v>1834</v>
      </c>
      <c r="V62" s="59" t="s">
        <v>1835</v>
      </c>
      <c r="W62" s="59" t="s">
        <v>1860</v>
      </c>
      <c r="X62" s="59" t="s">
        <v>1837</v>
      </c>
    </row>
    <row r="63" spans="1:24" ht="17.25" x14ac:dyDescent="0.3">
      <c r="A63" s="59" t="s">
        <v>1838</v>
      </c>
      <c r="B63" s="59" t="s">
        <v>1863</v>
      </c>
      <c r="C63" s="59" t="s">
        <v>1864</v>
      </c>
      <c r="D63" s="59" t="s">
        <v>1841</v>
      </c>
      <c r="E63" s="59" t="s">
        <v>1842</v>
      </c>
      <c r="F63" s="59" t="s">
        <v>1843</v>
      </c>
      <c r="G63" s="59" t="s">
        <v>1844</v>
      </c>
      <c r="H63" s="59" t="s">
        <v>1845</v>
      </c>
      <c r="I63" s="59" t="s">
        <v>1846</v>
      </c>
      <c r="J63" s="59" t="s">
        <v>1847</v>
      </c>
      <c r="K63" s="59" t="s">
        <v>1872</v>
      </c>
      <c r="L63" s="59" t="s">
        <v>1849</v>
      </c>
      <c r="M63" s="59" t="s">
        <v>1850</v>
      </c>
      <c r="N63" s="59" t="s">
        <v>1851</v>
      </c>
      <c r="O63" s="59" t="s">
        <v>1876</v>
      </c>
      <c r="P63" s="59" t="s">
        <v>1877</v>
      </c>
      <c r="Q63" s="59" t="s">
        <v>2740</v>
      </c>
      <c r="R63" s="59" t="s">
        <v>1855</v>
      </c>
      <c r="S63" s="59" t="s">
        <v>1856</v>
      </c>
      <c r="T63" s="59" t="s">
        <v>1857</v>
      </c>
      <c r="U63" s="59" t="s">
        <v>1858</v>
      </c>
      <c r="V63" s="59" t="s">
        <v>1859</v>
      </c>
      <c r="W63" s="59" t="s">
        <v>1884</v>
      </c>
      <c r="X63" s="59" t="s">
        <v>1861</v>
      </c>
    </row>
    <row r="64" spans="1:24" ht="17.25" x14ac:dyDescent="0.3">
      <c r="A64" s="59" t="s">
        <v>1862</v>
      </c>
      <c r="B64" s="59" t="s">
        <v>1911</v>
      </c>
      <c r="C64" s="59" t="s">
        <v>1888</v>
      </c>
      <c r="D64" s="59" t="s">
        <v>1865</v>
      </c>
      <c r="E64" s="59" t="s">
        <v>1866</v>
      </c>
      <c r="F64" s="59" t="s">
        <v>1867</v>
      </c>
      <c r="G64" s="59" t="s">
        <v>1868</v>
      </c>
      <c r="H64" s="59" t="s">
        <v>1869</v>
      </c>
      <c r="I64" s="59" t="s">
        <v>1870</v>
      </c>
      <c r="J64" s="59" t="s">
        <v>1871</v>
      </c>
      <c r="K64" s="59" t="s">
        <v>1896</v>
      </c>
      <c r="L64" s="59" t="s">
        <v>1873</v>
      </c>
      <c r="M64" s="59" t="s">
        <v>1874</v>
      </c>
      <c r="N64" s="59" t="s">
        <v>1875</v>
      </c>
      <c r="O64" s="59" t="s">
        <v>1900</v>
      </c>
      <c r="P64" s="59" t="s">
        <v>1901</v>
      </c>
      <c r="Q64" s="59" t="s">
        <v>5455</v>
      </c>
      <c r="R64" s="59" t="s">
        <v>1879</v>
      </c>
      <c r="S64" s="59" t="s">
        <v>1880</v>
      </c>
      <c r="T64" s="59" t="s">
        <v>1881</v>
      </c>
      <c r="U64" s="59" t="s">
        <v>1882</v>
      </c>
      <c r="V64" s="59" t="s">
        <v>1883</v>
      </c>
      <c r="W64" s="59" t="s">
        <v>1908</v>
      </c>
      <c r="X64" s="59" t="s">
        <v>1885</v>
      </c>
    </row>
    <row r="65" spans="1:24" ht="17.25" x14ac:dyDescent="0.3">
      <c r="A65" s="59" t="s">
        <v>1886</v>
      </c>
      <c r="B65" s="59" t="s">
        <v>1935</v>
      </c>
      <c r="C65" s="59" t="s">
        <v>1912</v>
      </c>
      <c r="D65" s="59" t="s">
        <v>1889</v>
      </c>
      <c r="E65" s="59" t="s">
        <v>1890</v>
      </c>
      <c r="F65" s="59" t="s">
        <v>1891</v>
      </c>
      <c r="G65" s="59" t="s">
        <v>1892</v>
      </c>
      <c r="H65" s="59" t="s">
        <v>1893</v>
      </c>
      <c r="I65" s="59" t="s">
        <v>1894</v>
      </c>
      <c r="J65" s="59" t="s">
        <v>1895</v>
      </c>
      <c r="K65" s="59" t="s">
        <v>1920</v>
      </c>
      <c r="L65" s="59" t="s">
        <v>1897</v>
      </c>
      <c r="M65" s="59" t="s">
        <v>1898</v>
      </c>
      <c r="N65" s="59" t="s">
        <v>1899</v>
      </c>
      <c r="O65" s="59" t="s">
        <v>1924</v>
      </c>
      <c r="P65" s="59" t="s">
        <v>1925</v>
      </c>
      <c r="Q65" s="59" t="s">
        <v>5324</v>
      </c>
      <c r="R65" s="59" t="s">
        <v>1903</v>
      </c>
      <c r="S65" s="59" t="s">
        <v>1904</v>
      </c>
      <c r="T65" s="59" t="s">
        <v>1905</v>
      </c>
      <c r="U65" s="59" t="s">
        <v>1906</v>
      </c>
      <c r="V65" s="59" t="s">
        <v>1907</v>
      </c>
      <c r="W65" s="59" t="s">
        <v>1932</v>
      </c>
      <c r="X65" s="59" t="s">
        <v>1909</v>
      </c>
    </row>
    <row r="66" spans="1:24" ht="17.25" x14ac:dyDescent="0.3">
      <c r="A66" s="59" t="s">
        <v>1910</v>
      </c>
      <c r="B66" s="59" t="s">
        <v>1959</v>
      </c>
      <c r="C66" s="59" t="s">
        <v>1936</v>
      </c>
      <c r="D66" s="59" t="s">
        <v>1913</v>
      </c>
      <c r="E66" s="59" t="s">
        <v>1914</v>
      </c>
      <c r="F66" s="59" t="s">
        <v>1915</v>
      </c>
      <c r="G66" s="59" t="s">
        <v>1916</v>
      </c>
      <c r="H66" s="59" t="s">
        <v>1917</v>
      </c>
      <c r="I66" s="59" t="s">
        <v>1918</v>
      </c>
      <c r="J66" s="59" t="s">
        <v>1919</v>
      </c>
      <c r="K66" s="59" t="s">
        <v>1944</v>
      </c>
      <c r="L66" s="59" t="s">
        <v>1921</v>
      </c>
      <c r="M66" s="59" t="s">
        <v>1922</v>
      </c>
      <c r="N66" s="59" t="s">
        <v>1923</v>
      </c>
      <c r="O66" s="59" t="s">
        <v>1948</v>
      </c>
      <c r="P66" s="59" t="s">
        <v>1949</v>
      </c>
      <c r="Q66" s="59" t="s">
        <v>1162</v>
      </c>
      <c r="R66" s="59" t="s">
        <v>1927</v>
      </c>
      <c r="S66" s="59" t="s">
        <v>1928</v>
      </c>
      <c r="T66" s="59" t="s">
        <v>1929</v>
      </c>
      <c r="U66" s="59" t="s">
        <v>1930</v>
      </c>
      <c r="V66" s="59" t="s">
        <v>1931</v>
      </c>
      <c r="W66" s="59" t="s">
        <v>1956</v>
      </c>
      <c r="X66" s="59" t="s">
        <v>1933</v>
      </c>
    </row>
    <row r="67" spans="1:24" ht="17.25" x14ac:dyDescent="0.3">
      <c r="A67" s="59" t="s">
        <v>1934</v>
      </c>
      <c r="B67" s="59" t="s">
        <v>1983</v>
      </c>
      <c r="C67" s="59" t="s">
        <v>1960</v>
      </c>
      <c r="D67" s="59" t="s">
        <v>1937</v>
      </c>
      <c r="E67" s="59" t="s">
        <v>1938</v>
      </c>
      <c r="F67" s="59" t="s">
        <v>1939</v>
      </c>
      <c r="G67" s="59" t="s">
        <v>1940</v>
      </c>
      <c r="H67" s="59" t="s">
        <v>1941</v>
      </c>
      <c r="I67" s="59" t="s">
        <v>1942</v>
      </c>
      <c r="J67" s="59" t="s">
        <v>1943</v>
      </c>
      <c r="K67" s="59" t="s">
        <v>1968</v>
      </c>
      <c r="L67" s="59" t="s">
        <v>1945</v>
      </c>
      <c r="M67" s="59" t="s">
        <v>1946</v>
      </c>
      <c r="N67" s="59" t="s">
        <v>1947</v>
      </c>
      <c r="O67" s="59" t="s">
        <v>1972</v>
      </c>
      <c r="P67" s="59" t="s">
        <v>1973</v>
      </c>
      <c r="Q67" s="59" t="s">
        <v>5623</v>
      </c>
      <c r="R67" s="59" t="s">
        <v>1951</v>
      </c>
      <c r="S67" s="59" t="s">
        <v>1952</v>
      </c>
      <c r="T67" s="59" t="s">
        <v>1953</v>
      </c>
      <c r="U67" s="59" t="s">
        <v>1954</v>
      </c>
      <c r="V67" s="59" t="s">
        <v>1955</v>
      </c>
      <c r="W67" s="59" t="s">
        <v>1980</v>
      </c>
      <c r="X67" s="59" t="s">
        <v>1957</v>
      </c>
    </row>
    <row r="68" spans="1:24" ht="17.25" x14ac:dyDescent="0.3">
      <c r="A68" s="59" t="s">
        <v>1958</v>
      </c>
      <c r="B68" s="59" t="s">
        <v>2007</v>
      </c>
      <c r="C68" s="59" t="s">
        <v>1984</v>
      </c>
      <c r="D68" s="59" t="s">
        <v>1961</v>
      </c>
      <c r="E68" s="59" t="s">
        <v>1962</v>
      </c>
      <c r="F68" s="59" t="s">
        <v>1963</v>
      </c>
      <c r="G68" s="59" t="s">
        <v>1964</v>
      </c>
      <c r="H68" s="59" t="s">
        <v>1965</v>
      </c>
      <c r="I68" s="59" t="s">
        <v>1966</v>
      </c>
      <c r="J68" s="59" t="s">
        <v>1967</v>
      </c>
      <c r="K68" s="59" t="s">
        <v>1992</v>
      </c>
      <c r="L68" s="59" t="s">
        <v>1969</v>
      </c>
      <c r="M68" s="59" t="s">
        <v>1970</v>
      </c>
      <c r="N68" s="59" t="s">
        <v>1971</v>
      </c>
      <c r="O68" s="59" t="s">
        <v>1996</v>
      </c>
      <c r="P68" s="59" t="s">
        <v>1997</v>
      </c>
      <c r="Q68" s="59" t="s">
        <v>1806</v>
      </c>
      <c r="R68" s="59" t="s">
        <v>1975</v>
      </c>
      <c r="S68" s="59" t="s">
        <v>1976</v>
      </c>
      <c r="T68" s="59" t="s">
        <v>1977</v>
      </c>
      <c r="U68" s="59" t="s">
        <v>1978</v>
      </c>
      <c r="V68" s="59" t="s">
        <v>1979</v>
      </c>
      <c r="W68" s="59" t="s">
        <v>2004</v>
      </c>
      <c r="X68" s="59" t="s">
        <v>1981</v>
      </c>
    </row>
    <row r="69" spans="1:24" ht="17.25" x14ac:dyDescent="0.3">
      <c r="A69" s="59" t="s">
        <v>1982</v>
      </c>
      <c r="B69" s="59" t="s">
        <v>2031</v>
      </c>
      <c r="C69" s="59" t="s">
        <v>2008</v>
      </c>
      <c r="D69" s="59" t="s">
        <v>1985</v>
      </c>
      <c r="E69" s="59" t="s">
        <v>1986</v>
      </c>
      <c r="F69" s="59" t="s">
        <v>1987</v>
      </c>
      <c r="G69" s="59" t="s">
        <v>1988</v>
      </c>
      <c r="H69" s="59" t="s">
        <v>1989</v>
      </c>
      <c r="I69" s="59" t="s">
        <v>1990</v>
      </c>
      <c r="J69" s="59" t="s">
        <v>1991</v>
      </c>
      <c r="K69" s="59" t="s">
        <v>2016</v>
      </c>
      <c r="L69" s="59" t="s">
        <v>1993</v>
      </c>
      <c r="M69" s="59" t="s">
        <v>1994</v>
      </c>
      <c r="N69" s="59" t="s">
        <v>1995</v>
      </c>
      <c r="O69" s="59" t="s">
        <v>2020</v>
      </c>
      <c r="P69" s="59" t="s">
        <v>2021</v>
      </c>
      <c r="Q69" s="59" t="s">
        <v>1561</v>
      </c>
      <c r="R69" s="59" t="s">
        <v>1999</v>
      </c>
      <c r="S69" s="59" t="s">
        <v>2000</v>
      </c>
      <c r="T69" s="59" t="s">
        <v>2001</v>
      </c>
      <c r="U69" s="59" t="s">
        <v>2002</v>
      </c>
      <c r="V69" s="59" t="s">
        <v>2003</v>
      </c>
      <c r="W69" s="59" t="s">
        <v>2028</v>
      </c>
      <c r="X69" s="59" t="s">
        <v>2005</v>
      </c>
    </row>
    <row r="70" spans="1:24" ht="17.25" x14ac:dyDescent="0.3">
      <c r="A70" s="59" t="s">
        <v>2006</v>
      </c>
      <c r="B70" s="59" t="s">
        <v>2055</v>
      </c>
      <c r="C70" s="59" t="s">
        <v>2032</v>
      </c>
      <c r="D70" s="59" t="s">
        <v>2009</v>
      </c>
      <c r="E70" s="59" t="s">
        <v>2010</v>
      </c>
      <c r="F70" s="59" t="s">
        <v>2011</v>
      </c>
      <c r="G70" s="59" t="s">
        <v>2012</v>
      </c>
      <c r="H70" s="59" t="s">
        <v>2013</v>
      </c>
      <c r="I70" s="59" t="s">
        <v>2014</v>
      </c>
      <c r="J70" s="59" t="s">
        <v>2015</v>
      </c>
      <c r="K70" s="59" t="s">
        <v>2040</v>
      </c>
      <c r="L70" s="59" t="s">
        <v>2017</v>
      </c>
      <c r="M70" s="59" t="s">
        <v>2018</v>
      </c>
      <c r="N70" s="59" t="s">
        <v>2019</v>
      </c>
      <c r="O70" s="59" t="s">
        <v>2044</v>
      </c>
      <c r="P70" s="59" t="s">
        <v>2045</v>
      </c>
      <c r="Q70" s="59" t="s">
        <v>5175</v>
      </c>
      <c r="R70" s="59" t="s">
        <v>2023</v>
      </c>
      <c r="S70" s="59" t="s">
        <v>2024</v>
      </c>
      <c r="T70" s="59" t="s">
        <v>2025</v>
      </c>
      <c r="U70" s="59" t="s">
        <v>2026</v>
      </c>
      <c r="V70" s="59" t="s">
        <v>2027</v>
      </c>
      <c r="W70" s="59" t="s">
        <v>2052</v>
      </c>
      <c r="X70" s="59" t="s">
        <v>2029</v>
      </c>
    </row>
    <row r="71" spans="1:24" ht="17.25" x14ac:dyDescent="0.3">
      <c r="A71" s="59" t="s">
        <v>2030</v>
      </c>
      <c r="B71" s="59" t="s">
        <v>2079</v>
      </c>
      <c r="C71" s="59" t="s">
        <v>2056</v>
      </c>
      <c r="D71" s="59" t="s">
        <v>2033</v>
      </c>
      <c r="E71" s="59" t="s">
        <v>2034</v>
      </c>
      <c r="F71" s="59" t="s">
        <v>2035</v>
      </c>
      <c r="G71" s="59" t="s">
        <v>2036</v>
      </c>
      <c r="H71" s="59" t="s">
        <v>2037</v>
      </c>
      <c r="I71" s="59" t="s">
        <v>2038</v>
      </c>
      <c r="J71" s="59" t="s">
        <v>2039</v>
      </c>
      <c r="K71" s="59" t="s">
        <v>2064</v>
      </c>
      <c r="L71" s="59" t="s">
        <v>2041</v>
      </c>
      <c r="M71" s="59" t="s">
        <v>2042</v>
      </c>
      <c r="N71" s="59" t="s">
        <v>2043</v>
      </c>
      <c r="O71" s="59" t="s">
        <v>2068</v>
      </c>
      <c r="P71" s="59" t="s">
        <v>2069</v>
      </c>
      <c r="Q71" s="59" t="s">
        <v>4476</v>
      </c>
      <c r="R71" s="59" t="s">
        <v>2047</v>
      </c>
      <c r="S71" s="59" t="s">
        <v>2048</v>
      </c>
      <c r="T71" s="59" t="s">
        <v>2049</v>
      </c>
      <c r="U71" s="59" t="s">
        <v>2050</v>
      </c>
      <c r="V71" s="59" t="s">
        <v>2051</v>
      </c>
      <c r="W71" s="59" t="s">
        <v>2076</v>
      </c>
      <c r="X71" s="59" t="s">
        <v>2053</v>
      </c>
    </row>
    <row r="72" spans="1:24" ht="17.25" x14ac:dyDescent="0.3">
      <c r="A72" s="59" t="s">
        <v>2054</v>
      </c>
      <c r="B72" s="59" t="s">
        <v>2103</v>
      </c>
      <c r="C72" s="59" t="s">
        <v>2080</v>
      </c>
      <c r="D72" s="59" t="s">
        <v>2057</v>
      </c>
      <c r="E72" s="59" t="s">
        <v>2058</v>
      </c>
      <c r="F72" s="59" t="s">
        <v>2059</v>
      </c>
      <c r="G72" s="59" t="s">
        <v>2060</v>
      </c>
      <c r="H72" s="59" t="s">
        <v>2061</v>
      </c>
      <c r="I72" s="59" t="s">
        <v>2062</v>
      </c>
      <c r="J72" s="59" t="s">
        <v>2063</v>
      </c>
      <c r="K72" s="59" t="s">
        <v>2088</v>
      </c>
      <c r="L72" s="59" t="s">
        <v>2065</v>
      </c>
      <c r="M72" s="59" t="s">
        <v>2066</v>
      </c>
      <c r="N72" s="59" t="s">
        <v>2067</v>
      </c>
      <c r="O72" s="59" t="s">
        <v>2092</v>
      </c>
      <c r="P72" s="59" t="s">
        <v>2093</v>
      </c>
      <c r="Q72" s="59" t="s">
        <v>1902</v>
      </c>
      <c r="R72" s="59" t="s">
        <v>2071</v>
      </c>
      <c r="S72" s="59" t="s">
        <v>2072</v>
      </c>
      <c r="T72" s="59" t="s">
        <v>2073</v>
      </c>
      <c r="U72" s="59" t="s">
        <v>2074</v>
      </c>
      <c r="V72" s="59" t="s">
        <v>2075</v>
      </c>
      <c r="W72" s="59" t="s">
        <v>2100</v>
      </c>
      <c r="X72" s="59" t="s">
        <v>2077</v>
      </c>
    </row>
    <row r="73" spans="1:24" ht="17.25" x14ac:dyDescent="0.3">
      <c r="A73" s="59" t="s">
        <v>2078</v>
      </c>
      <c r="B73" s="59" t="s">
        <v>2127</v>
      </c>
      <c r="C73" s="59" t="s">
        <v>2104</v>
      </c>
      <c r="D73" s="59" t="s">
        <v>2081</v>
      </c>
      <c r="E73" s="59" t="s">
        <v>2082</v>
      </c>
      <c r="F73" s="59" t="s">
        <v>2083</v>
      </c>
      <c r="G73" s="59" t="s">
        <v>2084</v>
      </c>
      <c r="H73" s="59" t="s">
        <v>2085</v>
      </c>
      <c r="I73" s="59" t="s">
        <v>2086</v>
      </c>
      <c r="J73" s="59" t="s">
        <v>2087</v>
      </c>
      <c r="K73" s="59" t="s">
        <v>2112</v>
      </c>
      <c r="L73" s="59" t="s">
        <v>2089</v>
      </c>
      <c r="M73" s="59" t="s">
        <v>2090</v>
      </c>
      <c r="N73" s="59" t="s">
        <v>2091</v>
      </c>
      <c r="O73" s="59" t="s">
        <v>2116</v>
      </c>
      <c r="P73" s="59" t="s">
        <v>2117</v>
      </c>
      <c r="Q73" s="59" t="s">
        <v>1487</v>
      </c>
      <c r="R73" s="59" t="s">
        <v>2095</v>
      </c>
      <c r="S73" s="59" t="s">
        <v>2096</v>
      </c>
      <c r="T73" s="59" t="s">
        <v>2097</v>
      </c>
      <c r="U73" s="59" t="s">
        <v>2098</v>
      </c>
      <c r="V73" s="59" t="s">
        <v>2099</v>
      </c>
      <c r="W73" s="59" t="s">
        <v>2124</v>
      </c>
      <c r="X73" s="59" t="s">
        <v>2101</v>
      </c>
    </row>
    <row r="74" spans="1:24" ht="17.25" x14ac:dyDescent="0.3">
      <c r="A74" s="59" t="s">
        <v>2102</v>
      </c>
      <c r="B74" s="59" t="s">
        <v>2151</v>
      </c>
      <c r="C74" s="59" t="s">
        <v>2128</v>
      </c>
      <c r="D74" s="59" t="s">
        <v>2105</v>
      </c>
      <c r="E74" s="59" t="s">
        <v>2106</v>
      </c>
      <c r="F74" s="59" t="s">
        <v>2107</v>
      </c>
      <c r="G74" s="59" t="s">
        <v>2108</v>
      </c>
      <c r="H74" s="59" t="s">
        <v>2109</v>
      </c>
      <c r="I74" s="59" t="s">
        <v>2110</v>
      </c>
      <c r="J74" s="59" t="s">
        <v>2111</v>
      </c>
      <c r="K74" s="59" t="s">
        <v>2136</v>
      </c>
      <c r="L74" s="59" t="s">
        <v>2113</v>
      </c>
      <c r="M74" s="59" t="s">
        <v>2114</v>
      </c>
      <c r="N74" s="59" t="s">
        <v>2115</v>
      </c>
      <c r="O74" s="59" t="s">
        <v>2140</v>
      </c>
      <c r="P74" s="59" t="s">
        <v>2141</v>
      </c>
      <c r="Q74" s="59" t="s">
        <v>3364</v>
      </c>
      <c r="R74" s="59" t="s">
        <v>2119</v>
      </c>
      <c r="S74" s="59" t="s">
        <v>2120</v>
      </c>
      <c r="T74" s="59" t="s">
        <v>2121</v>
      </c>
      <c r="U74" s="59" t="s">
        <v>2122</v>
      </c>
      <c r="V74" s="59" t="s">
        <v>2123</v>
      </c>
      <c r="W74" s="59" t="s">
        <v>2148</v>
      </c>
      <c r="X74" s="59" t="s">
        <v>2125</v>
      </c>
    </row>
    <row r="75" spans="1:24" ht="17.25" x14ac:dyDescent="0.3">
      <c r="A75" s="59" t="s">
        <v>2126</v>
      </c>
      <c r="B75" s="59" t="s">
        <v>2175</v>
      </c>
      <c r="C75" s="59" t="s">
        <v>2152</v>
      </c>
      <c r="D75" s="59" t="s">
        <v>2129</v>
      </c>
      <c r="E75" s="59" t="s">
        <v>2130</v>
      </c>
      <c r="F75" s="59" t="s">
        <v>2131</v>
      </c>
      <c r="G75" s="59" t="s">
        <v>2132</v>
      </c>
      <c r="H75" s="59" t="s">
        <v>2133</v>
      </c>
      <c r="I75" s="59" t="s">
        <v>2134</v>
      </c>
      <c r="J75" s="59" t="s">
        <v>2135</v>
      </c>
      <c r="K75" s="59" t="s">
        <v>2160</v>
      </c>
      <c r="L75" s="59" t="s">
        <v>2137</v>
      </c>
      <c r="M75" s="59" t="s">
        <v>2138</v>
      </c>
      <c r="N75" s="59" t="s">
        <v>2139</v>
      </c>
      <c r="O75" s="59" t="s">
        <v>2164</v>
      </c>
      <c r="P75" s="59" t="s">
        <v>2165</v>
      </c>
      <c r="Q75" s="59" t="s">
        <v>1087</v>
      </c>
      <c r="R75" s="59" t="s">
        <v>2143</v>
      </c>
      <c r="S75" s="59" t="s">
        <v>2144</v>
      </c>
      <c r="T75" s="59" t="s">
        <v>2145</v>
      </c>
      <c r="U75" s="59" t="s">
        <v>2146</v>
      </c>
      <c r="V75" s="59" t="s">
        <v>2147</v>
      </c>
      <c r="W75" s="59" t="s">
        <v>2172</v>
      </c>
      <c r="X75" s="59" t="s">
        <v>2149</v>
      </c>
    </row>
    <row r="76" spans="1:24" ht="17.25" x14ac:dyDescent="0.3">
      <c r="A76" s="59" t="s">
        <v>2150</v>
      </c>
      <c r="B76" s="59" t="s">
        <v>2198</v>
      </c>
      <c r="C76" s="59" t="s">
        <v>2176</v>
      </c>
      <c r="D76" s="59" t="s">
        <v>2153</v>
      </c>
      <c r="E76" s="59" t="s">
        <v>2154</v>
      </c>
      <c r="F76" s="59" t="s">
        <v>2155</v>
      </c>
      <c r="G76" s="59" t="s">
        <v>2156</v>
      </c>
      <c r="H76" s="59" t="s">
        <v>2157</v>
      </c>
      <c r="I76" s="59" t="s">
        <v>2158</v>
      </c>
      <c r="J76" s="59" t="s">
        <v>2159</v>
      </c>
      <c r="K76" s="59" t="s">
        <v>2184</v>
      </c>
      <c r="L76" s="59" t="s">
        <v>2161</v>
      </c>
      <c r="M76" s="59" t="s">
        <v>2162</v>
      </c>
      <c r="N76" s="59" t="s">
        <v>2163</v>
      </c>
      <c r="O76" s="59" t="s">
        <v>2187</v>
      </c>
      <c r="P76" s="59" t="s">
        <v>2188</v>
      </c>
      <c r="Q76" s="59" t="s">
        <v>5503</v>
      </c>
      <c r="R76" s="59" t="s">
        <v>2167</v>
      </c>
      <c r="S76" s="59" t="s">
        <v>2168</v>
      </c>
      <c r="T76" s="59" t="s">
        <v>2169</v>
      </c>
      <c r="U76" s="59" t="s">
        <v>2170</v>
      </c>
      <c r="V76" s="59" t="s">
        <v>2171</v>
      </c>
      <c r="W76" s="59" t="s">
        <v>2195</v>
      </c>
      <c r="X76" s="59" t="s">
        <v>2173</v>
      </c>
    </row>
    <row r="77" spans="1:24" ht="17.25" x14ac:dyDescent="0.3">
      <c r="A77" s="59" t="s">
        <v>2174</v>
      </c>
      <c r="B77" s="59" t="s">
        <v>2222</v>
      </c>
      <c r="C77" s="59" t="s">
        <v>2199</v>
      </c>
      <c r="D77" s="59" t="s">
        <v>2177</v>
      </c>
      <c r="E77" s="59" t="s">
        <v>2178</v>
      </c>
      <c r="F77" s="59" t="s">
        <v>2179</v>
      </c>
      <c r="G77" s="59" t="s">
        <v>2180</v>
      </c>
      <c r="H77" s="59" t="s">
        <v>2181</v>
      </c>
      <c r="I77" s="59" t="s">
        <v>2182</v>
      </c>
      <c r="J77" s="59" t="s">
        <v>2183</v>
      </c>
      <c r="K77" s="59" t="s">
        <v>2207</v>
      </c>
      <c r="L77" s="59" t="s">
        <v>2208</v>
      </c>
      <c r="M77" s="59" t="s">
        <v>2185</v>
      </c>
      <c r="N77" s="59" t="s">
        <v>2186</v>
      </c>
      <c r="O77" s="59" t="s">
        <v>2211</v>
      </c>
      <c r="P77" s="59" t="s">
        <v>2212</v>
      </c>
      <c r="Q77" s="59" t="s">
        <v>3909</v>
      </c>
      <c r="R77" s="59" t="s">
        <v>2190</v>
      </c>
      <c r="S77" s="59" t="s">
        <v>2191</v>
      </c>
      <c r="T77" s="59" t="s">
        <v>2192</v>
      </c>
      <c r="U77" s="59" t="s">
        <v>2193</v>
      </c>
      <c r="V77" s="59" t="s">
        <v>2194</v>
      </c>
      <c r="W77" s="59" t="s">
        <v>2219</v>
      </c>
      <c r="X77" s="59" t="s">
        <v>2196</v>
      </c>
    </row>
    <row r="78" spans="1:24" ht="17.25" x14ac:dyDescent="0.3">
      <c r="A78" s="59" t="s">
        <v>2197</v>
      </c>
      <c r="B78" s="59" t="s">
        <v>2246</v>
      </c>
      <c r="C78" s="59" t="s">
        <v>2223</v>
      </c>
      <c r="D78" s="59" t="s">
        <v>2200</v>
      </c>
      <c r="E78" s="59" t="s">
        <v>2201</v>
      </c>
      <c r="F78" s="59" t="s">
        <v>2202</v>
      </c>
      <c r="G78" s="59" t="s">
        <v>2203</v>
      </c>
      <c r="H78" s="59" t="s">
        <v>2204</v>
      </c>
      <c r="I78" s="59" t="s">
        <v>2205</v>
      </c>
      <c r="J78" s="59" t="s">
        <v>2206</v>
      </c>
      <c r="K78" s="59" t="s">
        <v>2231</v>
      </c>
      <c r="L78" s="59" t="s">
        <v>2232</v>
      </c>
      <c r="M78" s="59" t="s">
        <v>2209</v>
      </c>
      <c r="N78" s="59" t="s">
        <v>2210</v>
      </c>
      <c r="O78" s="59" t="s">
        <v>2235</v>
      </c>
      <c r="P78" s="59" t="s">
        <v>2236</v>
      </c>
      <c r="Q78" s="59" t="s">
        <v>1312</v>
      </c>
      <c r="R78" s="59" t="s">
        <v>2214</v>
      </c>
      <c r="S78" s="59" t="s">
        <v>2215</v>
      </c>
      <c r="T78" s="59" t="s">
        <v>2216</v>
      </c>
      <c r="U78" s="59" t="s">
        <v>2217</v>
      </c>
      <c r="V78" s="59" t="s">
        <v>2218</v>
      </c>
      <c r="W78" s="59" t="s">
        <v>2243</v>
      </c>
      <c r="X78" s="59" t="s">
        <v>2220</v>
      </c>
    </row>
    <row r="79" spans="1:24" ht="17.25" x14ac:dyDescent="0.3">
      <c r="A79" s="59" t="s">
        <v>2221</v>
      </c>
      <c r="B79" s="59" t="s">
        <v>2270</v>
      </c>
      <c r="C79" s="59" t="s">
        <v>2247</v>
      </c>
      <c r="D79" s="59" t="s">
        <v>2224</v>
      </c>
      <c r="E79" s="59" t="s">
        <v>2225</v>
      </c>
      <c r="F79" s="59" t="s">
        <v>2226</v>
      </c>
      <c r="G79" s="59" t="s">
        <v>2227</v>
      </c>
      <c r="H79" s="59" t="s">
        <v>2228</v>
      </c>
      <c r="I79" s="59" t="s">
        <v>2229</v>
      </c>
      <c r="J79" s="59" t="s">
        <v>2230</v>
      </c>
      <c r="K79" s="59" t="s">
        <v>2255</v>
      </c>
      <c r="L79" s="59" t="s">
        <v>2256</v>
      </c>
      <c r="M79" s="59" t="s">
        <v>2233</v>
      </c>
      <c r="N79" s="59" t="s">
        <v>2234</v>
      </c>
      <c r="O79" s="59" t="s">
        <v>2259</v>
      </c>
      <c r="P79" s="59" t="s">
        <v>2260</v>
      </c>
      <c r="Q79" s="59" t="s">
        <v>1998</v>
      </c>
      <c r="R79" s="59" t="s">
        <v>2238</v>
      </c>
      <c r="S79" s="59" t="s">
        <v>2239</v>
      </c>
      <c r="T79" s="59" t="s">
        <v>2240</v>
      </c>
      <c r="U79" s="59" t="s">
        <v>2241</v>
      </c>
      <c r="V79" s="59" t="s">
        <v>2242</v>
      </c>
      <c r="W79" s="59" t="s">
        <v>2267</v>
      </c>
      <c r="X79" s="59" t="s">
        <v>2244</v>
      </c>
    </row>
    <row r="80" spans="1:24" ht="17.25" x14ac:dyDescent="0.3">
      <c r="A80" s="59" t="s">
        <v>2245</v>
      </c>
      <c r="B80" s="59" t="s">
        <v>2317</v>
      </c>
      <c r="C80" s="59" t="s">
        <v>2271</v>
      </c>
      <c r="D80" s="59" t="s">
        <v>2248</v>
      </c>
      <c r="E80" s="59" t="s">
        <v>2249</v>
      </c>
      <c r="F80" s="59" t="s">
        <v>2250</v>
      </c>
      <c r="G80" s="59" t="s">
        <v>2251</v>
      </c>
      <c r="H80" s="59" t="s">
        <v>2252</v>
      </c>
      <c r="I80" s="59" t="s">
        <v>2253</v>
      </c>
      <c r="J80" s="59" t="s">
        <v>2254</v>
      </c>
      <c r="K80" s="59" t="s">
        <v>2279</v>
      </c>
      <c r="L80" s="59" t="s">
        <v>2280</v>
      </c>
      <c r="M80" s="59" t="s">
        <v>2257</v>
      </c>
      <c r="N80" s="59" t="s">
        <v>2258</v>
      </c>
      <c r="O80" s="59" t="s">
        <v>2283</v>
      </c>
      <c r="P80" s="59" t="s">
        <v>2284</v>
      </c>
      <c r="Q80" s="59" t="s">
        <v>2022</v>
      </c>
      <c r="R80" s="59" t="s">
        <v>2262</v>
      </c>
      <c r="S80" s="59" t="s">
        <v>2263</v>
      </c>
      <c r="T80" s="59" t="s">
        <v>2264</v>
      </c>
      <c r="U80" s="59" t="s">
        <v>2265</v>
      </c>
      <c r="V80" s="59" t="s">
        <v>2266</v>
      </c>
      <c r="W80" s="59" t="s">
        <v>2291</v>
      </c>
      <c r="X80" s="59" t="s">
        <v>2268</v>
      </c>
    </row>
    <row r="81" spans="1:24" ht="17.25" x14ac:dyDescent="0.3">
      <c r="A81" s="59" t="s">
        <v>2269</v>
      </c>
      <c r="B81" s="59" t="s">
        <v>2341</v>
      </c>
      <c r="C81" s="59" t="s">
        <v>2294</v>
      </c>
      <c r="D81" s="59" t="s">
        <v>2272</v>
      </c>
      <c r="E81" s="59" t="s">
        <v>2273</v>
      </c>
      <c r="F81" s="59" t="s">
        <v>2274</v>
      </c>
      <c r="G81" s="59" t="s">
        <v>2275</v>
      </c>
      <c r="H81" s="59" t="s">
        <v>2276</v>
      </c>
      <c r="I81" s="59" t="s">
        <v>2277</v>
      </c>
      <c r="J81" s="59" t="s">
        <v>2278</v>
      </c>
      <c r="K81" s="59" t="s">
        <v>2302</v>
      </c>
      <c r="L81" s="59" t="s">
        <v>2303</v>
      </c>
      <c r="M81" s="59" t="s">
        <v>2281</v>
      </c>
      <c r="N81" s="59" t="s">
        <v>2282</v>
      </c>
      <c r="O81" s="59" t="s">
        <v>2306</v>
      </c>
      <c r="P81" s="59" t="s">
        <v>2307</v>
      </c>
      <c r="Q81" s="59" t="s">
        <v>2764</v>
      </c>
      <c r="R81" s="59" t="s">
        <v>2286</v>
      </c>
      <c r="S81" s="59" t="s">
        <v>2287</v>
      </c>
      <c r="T81" s="59" t="s">
        <v>2288</v>
      </c>
      <c r="U81" s="59" t="s">
        <v>2289</v>
      </c>
      <c r="V81" s="59" t="s">
        <v>2290</v>
      </c>
      <c r="W81" s="59" t="s">
        <v>2314</v>
      </c>
      <c r="X81" s="59" t="s">
        <v>2292</v>
      </c>
    </row>
    <row r="82" spans="1:24" ht="17.25" x14ac:dyDescent="0.3">
      <c r="A82" s="59" t="s">
        <v>2293</v>
      </c>
      <c r="B82" s="59" t="s">
        <v>2365</v>
      </c>
      <c r="C82" s="59" t="s">
        <v>2318</v>
      </c>
      <c r="D82" s="59" t="s">
        <v>2295</v>
      </c>
      <c r="E82" s="59" t="s">
        <v>2296</v>
      </c>
      <c r="F82" s="59" t="s">
        <v>2297</v>
      </c>
      <c r="G82" s="59" t="s">
        <v>2298</v>
      </c>
      <c r="H82" s="59" t="s">
        <v>2299</v>
      </c>
      <c r="I82" s="59" t="s">
        <v>2300</v>
      </c>
      <c r="J82" s="59" t="s">
        <v>2301</v>
      </c>
      <c r="K82" s="59" t="s">
        <v>2326</v>
      </c>
      <c r="L82" s="59" t="s">
        <v>2327</v>
      </c>
      <c r="M82" s="59" t="s">
        <v>2304</v>
      </c>
      <c r="N82" s="59" t="s">
        <v>2305</v>
      </c>
      <c r="O82" s="59" t="s">
        <v>2330</v>
      </c>
      <c r="P82" s="59" t="s">
        <v>2331</v>
      </c>
      <c r="Q82" s="59" t="s">
        <v>2907</v>
      </c>
      <c r="R82" s="59" t="s">
        <v>2309</v>
      </c>
      <c r="S82" s="59" t="s">
        <v>2310</v>
      </c>
      <c r="T82" s="59" t="s">
        <v>2311</v>
      </c>
      <c r="U82" s="59" t="s">
        <v>2312</v>
      </c>
      <c r="V82" s="59" t="s">
        <v>2313</v>
      </c>
      <c r="W82" s="59" t="s">
        <v>2338</v>
      </c>
      <c r="X82" s="59" t="s">
        <v>2315</v>
      </c>
    </row>
    <row r="83" spans="1:24" ht="17.25" x14ac:dyDescent="0.3">
      <c r="A83" s="59" t="s">
        <v>2316</v>
      </c>
      <c r="B83" s="59" t="s">
        <v>2389</v>
      </c>
      <c r="C83" s="59" t="s">
        <v>2342</v>
      </c>
      <c r="D83" s="59" t="s">
        <v>2319</v>
      </c>
      <c r="E83" s="59" t="s">
        <v>2320</v>
      </c>
      <c r="F83" s="59" t="s">
        <v>2321</v>
      </c>
      <c r="G83" s="59" t="s">
        <v>2322</v>
      </c>
      <c r="H83" s="59" t="s">
        <v>2323</v>
      </c>
      <c r="I83" s="59" t="s">
        <v>2324</v>
      </c>
      <c r="J83" s="59" t="s">
        <v>2325</v>
      </c>
      <c r="K83" s="59" t="s">
        <v>2350</v>
      </c>
      <c r="L83" s="59" t="s">
        <v>2351</v>
      </c>
      <c r="M83" s="59" t="s">
        <v>2328</v>
      </c>
      <c r="N83" s="59" t="s">
        <v>2329</v>
      </c>
      <c r="O83" s="59" t="s">
        <v>2354</v>
      </c>
      <c r="P83" s="59" t="s">
        <v>2355</v>
      </c>
      <c r="Q83" s="59" t="s">
        <v>3452</v>
      </c>
      <c r="R83" s="59" t="s">
        <v>2333</v>
      </c>
      <c r="S83" s="59" t="s">
        <v>2334</v>
      </c>
      <c r="T83" s="59" t="s">
        <v>2335</v>
      </c>
      <c r="U83" s="59" t="s">
        <v>2336</v>
      </c>
      <c r="V83" s="59" t="s">
        <v>2337</v>
      </c>
      <c r="W83" s="59" t="s">
        <v>2362</v>
      </c>
      <c r="X83" s="59" t="s">
        <v>2339</v>
      </c>
    </row>
    <row r="84" spans="1:24" ht="17.25" x14ac:dyDescent="0.3">
      <c r="A84" s="59" t="s">
        <v>2340</v>
      </c>
      <c r="B84" s="59" t="s">
        <v>2413</v>
      </c>
      <c r="C84" s="59" t="s">
        <v>2366</v>
      </c>
      <c r="D84" s="59" t="s">
        <v>2343</v>
      </c>
      <c r="E84" s="59" t="s">
        <v>2344</v>
      </c>
      <c r="F84" s="59" t="s">
        <v>2345</v>
      </c>
      <c r="G84" s="59" t="s">
        <v>2346</v>
      </c>
      <c r="H84" s="59" t="s">
        <v>2347</v>
      </c>
      <c r="I84" s="59" t="s">
        <v>2348</v>
      </c>
      <c r="J84" s="59" t="s">
        <v>2349</v>
      </c>
      <c r="K84" s="59" t="s">
        <v>2374</v>
      </c>
      <c r="L84" s="59" t="s">
        <v>2375</v>
      </c>
      <c r="M84" s="59" t="s">
        <v>2352</v>
      </c>
      <c r="N84" s="59" t="s">
        <v>2353</v>
      </c>
      <c r="O84" s="59" t="s">
        <v>2378</v>
      </c>
      <c r="P84" s="59" t="s">
        <v>2379</v>
      </c>
      <c r="Q84" s="59" t="s">
        <v>1462</v>
      </c>
      <c r="R84" s="59" t="s">
        <v>2357</v>
      </c>
      <c r="S84" s="59" t="s">
        <v>2358</v>
      </c>
      <c r="T84" s="59" t="s">
        <v>2359</v>
      </c>
      <c r="U84" s="59" t="s">
        <v>2360</v>
      </c>
      <c r="V84" s="59" t="s">
        <v>2361</v>
      </c>
      <c r="W84" s="59" t="s">
        <v>2386</v>
      </c>
      <c r="X84" s="59" t="s">
        <v>2363</v>
      </c>
    </row>
    <row r="85" spans="1:24" ht="17.25" x14ac:dyDescent="0.3">
      <c r="A85" s="59" t="s">
        <v>2364</v>
      </c>
      <c r="B85" s="59" t="s">
        <v>2437</v>
      </c>
      <c r="C85" s="59" t="s">
        <v>2390</v>
      </c>
      <c r="D85" s="59" t="s">
        <v>2367</v>
      </c>
      <c r="E85" s="59" t="s">
        <v>2368</v>
      </c>
      <c r="F85" s="59" t="s">
        <v>2369</v>
      </c>
      <c r="G85" s="59" t="s">
        <v>2370</v>
      </c>
      <c r="H85" s="59" t="s">
        <v>2371</v>
      </c>
      <c r="I85" s="59" t="s">
        <v>2372</v>
      </c>
      <c r="J85" s="59" t="s">
        <v>2373</v>
      </c>
      <c r="K85" s="59" t="s">
        <v>2398</v>
      </c>
      <c r="L85" s="59" t="s">
        <v>2399</v>
      </c>
      <c r="M85" s="59" t="s">
        <v>2376</v>
      </c>
      <c r="N85" s="59" t="s">
        <v>2377</v>
      </c>
      <c r="O85" s="59" t="s">
        <v>2402</v>
      </c>
      <c r="P85" s="59" t="s">
        <v>2403</v>
      </c>
      <c r="Q85" s="59" t="s">
        <v>4533</v>
      </c>
      <c r="R85" s="59" t="s">
        <v>2381</v>
      </c>
      <c r="S85" s="59" t="s">
        <v>2382</v>
      </c>
      <c r="T85" s="59" t="s">
        <v>2383</v>
      </c>
      <c r="U85" s="59" t="s">
        <v>2384</v>
      </c>
      <c r="V85" s="59" t="s">
        <v>2385</v>
      </c>
      <c r="W85" s="59" t="s">
        <v>2410</v>
      </c>
      <c r="X85" s="59" t="s">
        <v>2387</v>
      </c>
    </row>
    <row r="86" spans="1:24" ht="17.25" x14ac:dyDescent="0.3">
      <c r="A86" s="59" t="s">
        <v>2388</v>
      </c>
      <c r="B86" s="59" t="s">
        <v>2461</v>
      </c>
      <c r="C86" s="59" t="s">
        <v>2414</v>
      </c>
      <c r="D86" s="59" t="s">
        <v>2391</v>
      </c>
      <c r="E86" s="59" t="s">
        <v>2392</v>
      </c>
      <c r="F86" s="59" t="s">
        <v>2393</v>
      </c>
      <c r="G86" s="59" t="s">
        <v>2394</v>
      </c>
      <c r="H86" s="59" t="s">
        <v>2395</v>
      </c>
      <c r="I86" s="59" t="s">
        <v>2396</v>
      </c>
      <c r="J86" s="59" t="s">
        <v>2397</v>
      </c>
      <c r="K86" s="59" t="s">
        <v>2422</v>
      </c>
      <c r="L86" s="59" t="s">
        <v>2423</v>
      </c>
      <c r="M86" s="59" t="s">
        <v>2400</v>
      </c>
      <c r="N86" s="59" t="s">
        <v>2401</v>
      </c>
      <c r="O86" s="59" t="s">
        <v>2426</v>
      </c>
      <c r="P86" s="59" t="s">
        <v>2427</v>
      </c>
      <c r="Q86" s="59" t="s">
        <v>2976</v>
      </c>
      <c r="R86" s="59" t="s">
        <v>2405</v>
      </c>
      <c r="S86" s="59" t="s">
        <v>2406</v>
      </c>
      <c r="T86" s="59" t="s">
        <v>2407</v>
      </c>
      <c r="U86" s="59" t="s">
        <v>2408</v>
      </c>
      <c r="V86" s="59" t="s">
        <v>2409</v>
      </c>
      <c r="W86" s="59" t="s">
        <v>2434</v>
      </c>
      <c r="X86" s="59" t="s">
        <v>2411</v>
      </c>
    </row>
    <row r="87" spans="1:24" ht="17.25" x14ac:dyDescent="0.3">
      <c r="A87" s="59" t="s">
        <v>2412</v>
      </c>
      <c r="B87" s="59" t="s">
        <v>2485</v>
      </c>
      <c r="C87" s="59" t="s">
        <v>2438</v>
      </c>
      <c r="D87" s="59" t="s">
        <v>2415</v>
      </c>
      <c r="E87" s="59" t="s">
        <v>2416</v>
      </c>
      <c r="F87" s="59" t="s">
        <v>2417</v>
      </c>
      <c r="G87" s="59" t="s">
        <v>2418</v>
      </c>
      <c r="H87" s="59" t="s">
        <v>2419</v>
      </c>
      <c r="I87" s="59" t="s">
        <v>2420</v>
      </c>
      <c r="J87" s="59" t="s">
        <v>2421</v>
      </c>
      <c r="K87" s="59" t="s">
        <v>2446</v>
      </c>
      <c r="L87" s="59" t="s">
        <v>2447</v>
      </c>
      <c r="M87" s="59" t="s">
        <v>2424</v>
      </c>
      <c r="N87" s="59" t="s">
        <v>2425</v>
      </c>
      <c r="O87" s="59" t="s">
        <v>2450</v>
      </c>
      <c r="P87" s="59" t="s">
        <v>2451</v>
      </c>
      <c r="Q87" s="59" t="s">
        <v>4413</v>
      </c>
      <c r="R87" s="59" t="s">
        <v>2429</v>
      </c>
      <c r="S87" s="59" t="s">
        <v>2430</v>
      </c>
      <c r="T87" s="59" t="s">
        <v>2431</v>
      </c>
      <c r="U87" s="59" t="s">
        <v>2432</v>
      </c>
      <c r="V87" s="59" t="s">
        <v>2433</v>
      </c>
      <c r="W87" s="59" t="s">
        <v>2458</v>
      </c>
      <c r="X87" s="59" t="s">
        <v>2435</v>
      </c>
    </row>
    <row r="88" spans="1:24" ht="17.25" x14ac:dyDescent="0.3">
      <c r="A88" s="59" t="s">
        <v>2436</v>
      </c>
      <c r="B88" s="59" t="s">
        <v>2509</v>
      </c>
      <c r="C88" s="59" t="s">
        <v>2462</v>
      </c>
      <c r="D88" s="59" t="s">
        <v>2439</v>
      </c>
      <c r="E88" s="59" t="s">
        <v>2440</v>
      </c>
      <c r="F88" s="59" t="s">
        <v>2441</v>
      </c>
      <c r="G88" s="59" t="s">
        <v>2442</v>
      </c>
      <c r="H88" s="59" t="s">
        <v>2443</v>
      </c>
      <c r="I88" s="59" t="s">
        <v>2444</v>
      </c>
      <c r="J88" s="59" t="s">
        <v>2445</v>
      </c>
      <c r="K88" s="59" t="s">
        <v>2470</v>
      </c>
      <c r="L88" s="59" t="s">
        <v>2471</v>
      </c>
      <c r="M88" s="59" t="s">
        <v>2448</v>
      </c>
      <c r="N88" s="59" t="s">
        <v>2449</v>
      </c>
      <c r="O88" s="59" t="s">
        <v>2474</v>
      </c>
      <c r="P88" s="59" t="s">
        <v>2475</v>
      </c>
      <c r="Q88" s="59" t="s">
        <v>1735</v>
      </c>
      <c r="R88" s="59" t="s">
        <v>2453</v>
      </c>
      <c r="S88" s="59" t="s">
        <v>2454</v>
      </c>
      <c r="T88" s="59" t="s">
        <v>2455</v>
      </c>
      <c r="U88" s="59" t="s">
        <v>2456</v>
      </c>
      <c r="V88" s="59" t="s">
        <v>2457</v>
      </c>
      <c r="W88" s="59" t="s">
        <v>2482</v>
      </c>
      <c r="X88" s="59" t="s">
        <v>2459</v>
      </c>
    </row>
    <row r="89" spans="1:24" ht="17.25" x14ac:dyDescent="0.3">
      <c r="A89" s="59" t="s">
        <v>2460</v>
      </c>
      <c r="B89" s="59" t="s">
        <v>2533</v>
      </c>
      <c r="C89" s="59" t="s">
        <v>2486</v>
      </c>
      <c r="D89" s="59" t="s">
        <v>2463</v>
      </c>
      <c r="E89" s="59" t="s">
        <v>2464</v>
      </c>
      <c r="F89" s="59" t="s">
        <v>2465</v>
      </c>
      <c r="G89" s="59" t="s">
        <v>2466</v>
      </c>
      <c r="H89" s="59" t="s">
        <v>2467</v>
      </c>
      <c r="I89" s="59" t="s">
        <v>2468</v>
      </c>
      <c r="J89" s="59" t="s">
        <v>2469</v>
      </c>
      <c r="K89" s="59" t="s">
        <v>2494</v>
      </c>
      <c r="L89" s="59" t="s">
        <v>2495</v>
      </c>
      <c r="M89" s="59" t="s">
        <v>2472</v>
      </c>
      <c r="N89" s="59" t="s">
        <v>2473</v>
      </c>
      <c r="O89" s="59" t="s">
        <v>2498</v>
      </c>
      <c r="P89" s="59" t="s">
        <v>2499</v>
      </c>
      <c r="Q89" s="59" t="s">
        <v>1759</v>
      </c>
      <c r="R89" s="59" t="s">
        <v>2477</v>
      </c>
      <c r="S89" s="59" t="s">
        <v>2478</v>
      </c>
      <c r="T89" s="59" t="s">
        <v>2479</v>
      </c>
      <c r="U89" s="59" t="s">
        <v>2480</v>
      </c>
      <c r="V89" s="59" t="s">
        <v>2481</v>
      </c>
      <c r="W89" s="59" t="s">
        <v>2506</v>
      </c>
      <c r="X89" s="59" t="s">
        <v>2483</v>
      </c>
    </row>
    <row r="90" spans="1:24" ht="17.25" x14ac:dyDescent="0.3">
      <c r="A90" s="59" t="s">
        <v>2484</v>
      </c>
      <c r="B90" s="59" t="s">
        <v>2557</v>
      </c>
      <c r="C90" s="59" t="s">
        <v>2510</v>
      </c>
      <c r="D90" s="59" t="s">
        <v>2487</v>
      </c>
      <c r="E90" s="59" t="s">
        <v>2488</v>
      </c>
      <c r="F90" s="59" t="s">
        <v>2489</v>
      </c>
      <c r="G90" s="59" t="s">
        <v>2490</v>
      </c>
      <c r="H90" s="59" t="s">
        <v>2491</v>
      </c>
      <c r="I90" s="59" t="s">
        <v>2492</v>
      </c>
      <c r="J90" s="59" t="s">
        <v>2493</v>
      </c>
      <c r="K90" s="59" t="s">
        <v>2518</v>
      </c>
      <c r="L90" s="59" t="s">
        <v>2519</v>
      </c>
      <c r="M90" s="59" t="s">
        <v>2496</v>
      </c>
      <c r="N90" s="59" t="s">
        <v>2497</v>
      </c>
      <c r="O90" s="59" t="s">
        <v>2522</v>
      </c>
      <c r="P90" s="59" t="s">
        <v>2523</v>
      </c>
      <c r="Q90" s="59" t="s">
        <v>2930</v>
      </c>
      <c r="R90" s="59" t="s">
        <v>2501</v>
      </c>
      <c r="S90" s="59" t="s">
        <v>2502</v>
      </c>
      <c r="T90" s="59" t="s">
        <v>2503</v>
      </c>
      <c r="U90" s="59" t="s">
        <v>2504</v>
      </c>
      <c r="V90" s="59" t="s">
        <v>2505</v>
      </c>
      <c r="W90" s="59" t="s">
        <v>2530</v>
      </c>
      <c r="X90" s="59" t="s">
        <v>2507</v>
      </c>
    </row>
    <row r="91" spans="1:24" ht="17.25" x14ac:dyDescent="0.3">
      <c r="A91" s="59" t="s">
        <v>2508</v>
      </c>
      <c r="B91" s="59" t="s">
        <v>2581</v>
      </c>
      <c r="C91" s="59" t="s">
        <v>2534</v>
      </c>
      <c r="D91" s="59" t="s">
        <v>2511</v>
      </c>
      <c r="E91" s="59" t="s">
        <v>2512</v>
      </c>
      <c r="F91" s="59" t="s">
        <v>2513</v>
      </c>
      <c r="G91" s="59" t="s">
        <v>2514</v>
      </c>
      <c r="H91" s="59" t="s">
        <v>2515</v>
      </c>
      <c r="I91" s="59" t="s">
        <v>2516</v>
      </c>
      <c r="J91" s="59" t="s">
        <v>2517</v>
      </c>
      <c r="K91" s="59" t="s">
        <v>2542</v>
      </c>
      <c r="L91" s="59" t="s">
        <v>2543</v>
      </c>
      <c r="M91" s="59" t="s">
        <v>2520</v>
      </c>
      <c r="N91" s="59" t="s">
        <v>2521</v>
      </c>
      <c r="O91" s="59" t="s">
        <v>2546</v>
      </c>
      <c r="P91" s="59" t="s">
        <v>2547</v>
      </c>
      <c r="Q91" s="59" t="s">
        <v>5611</v>
      </c>
      <c r="R91" s="59" t="s">
        <v>2525</v>
      </c>
      <c r="S91" s="59" t="s">
        <v>2526</v>
      </c>
      <c r="T91" s="59" t="s">
        <v>2527</v>
      </c>
      <c r="U91" s="59" t="s">
        <v>2528</v>
      </c>
      <c r="V91" s="59" t="s">
        <v>2529</v>
      </c>
      <c r="W91" s="59" t="s">
        <v>2554</v>
      </c>
      <c r="X91" s="59" t="s">
        <v>2531</v>
      </c>
    </row>
    <row r="92" spans="1:24" ht="17.25" x14ac:dyDescent="0.3">
      <c r="A92" s="59" t="s">
        <v>2532</v>
      </c>
      <c r="B92" s="59" t="s">
        <v>2605</v>
      </c>
      <c r="C92" s="59" t="s">
        <v>2558</v>
      </c>
      <c r="D92" s="59" t="s">
        <v>2535</v>
      </c>
      <c r="E92" s="59" t="s">
        <v>2536</v>
      </c>
      <c r="F92" s="59" t="s">
        <v>2537</v>
      </c>
      <c r="G92" s="59" t="s">
        <v>2562</v>
      </c>
      <c r="H92" s="59" t="s">
        <v>2539</v>
      </c>
      <c r="I92" s="59" t="s">
        <v>2540</v>
      </c>
      <c r="J92" s="59" t="s">
        <v>2541</v>
      </c>
      <c r="K92" s="59" t="s">
        <v>2566</v>
      </c>
      <c r="L92" s="59" t="s">
        <v>2567</v>
      </c>
      <c r="M92" s="59" t="s">
        <v>2544</v>
      </c>
      <c r="N92" s="59" t="s">
        <v>2545</v>
      </c>
      <c r="O92" s="59" t="s">
        <v>2570</v>
      </c>
      <c r="P92" s="59" t="s">
        <v>2571</v>
      </c>
      <c r="Q92" s="59" t="s">
        <v>3474</v>
      </c>
      <c r="R92" s="59" t="s">
        <v>2549</v>
      </c>
      <c r="S92" s="59" t="s">
        <v>2550</v>
      </c>
      <c r="T92" s="59" t="s">
        <v>2551</v>
      </c>
      <c r="U92" s="59" t="s">
        <v>2552</v>
      </c>
      <c r="V92" s="59" t="s">
        <v>2553</v>
      </c>
      <c r="W92" s="59" t="s">
        <v>2578</v>
      </c>
      <c r="X92" s="59" t="s">
        <v>2555</v>
      </c>
    </row>
    <row r="93" spans="1:24" ht="17.25" x14ac:dyDescent="0.3">
      <c r="A93" s="59" t="s">
        <v>2580</v>
      </c>
      <c r="B93" s="59" t="s">
        <v>2629</v>
      </c>
      <c r="C93" s="59" t="s">
        <v>2582</v>
      </c>
      <c r="D93" s="59" t="s">
        <v>2559</v>
      </c>
      <c r="E93" s="59" t="s">
        <v>2560</v>
      </c>
      <c r="F93" s="59" t="s">
        <v>2561</v>
      </c>
      <c r="G93" s="59" t="s">
        <v>2586</v>
      </c>
      <c r="H93" s="59" t="s">
        <v>2563</v>
      </c>
      <c r="I93" s="59" t="s">
        <v>2564</v>
      </c>
      <c r="J93" s="59" t="s">
        <v>2565</v>
      </c>
      <c r="K93" s="59" t="s">
        <v>2590</v>
      </c>
      <c r="L93" s="59" t="s">
        <v>2591</v>
      </c>
      <c r="M93" s="59" t="s">
        <v>2568</v>
      </c>
      <c r="N93" s="59" t="s">
        <v>2569</v>
      </c>
      <c r="O93" s="59" t="s">
        <v>2594</v>
      </c>
      <c r="P93" s="59" t="s">
        <v>2595</v>
      </c>
      <c r="Q93" s="59" t="s">
        <v>2332</v>
      </c>
      <c r="R93" s="59" t="s">
        <v>2573</v>
      </c>
      <c r="S93" s="59" t="s">
        <v>2574</v>
      </c>
      <c r="T93" s="59" t="s">
        <v>2575</v>
      </c>
      <c r="U93" s="59" t="s">
        <v>2576</v>
      </c>
      <c r="V93" s="59" t="s">
        <v>2577</v>
      </c>
      <c r="W93" s="59" t="s">
        <v>2602</v>
      </c>
      <c r="X93" s="59" t="s">
        <v>2579</v>
      </c>
    </row>
    <row r="94" spans="1:24" ht="17.25" x14ac:dyDescent="0.3">
      <c r="A94" s="59" t="s">
        <v>2604</v>
      </c>
      <c r="B94" s="59" t="s">
        <v>2653</v>
      </c>
      <c r="C94" s="59" t="s">
        <v>2606</v>
      </c>
      <c r="D94" s="59" t="s">
        <v>2583</v>
      </c>
      <c r="E94" s="59" t="s">
        <v>2584</v>
      </c>
      <c r="F94" s="59" t="s">
        <v>2585</v>
      </c>
      <c r="G94" s="59" t="s">
        <v>2610</v>
      </c>
      <c r="H94" s="59" t="s">
        <v>2587</v>
      </c>
      <c r="I94" s="59" t="s">
        <v>2588</v>
      </c>
      <c r="J94" s="59" t="s">
        <v>2589</v>
      </c>
      <c r="K94" s="59" t="s">
        <v>2614</v>
      </c>
      <c r="L94" s="59" t="s">
        <v>2615</v>
      </c>
      <c r="M94" s="59" t="s">
        <v>2592</v>
      </c>
      <c r="N94" s="59" t="s">
        <v>2593</v>
      </c>
      <c r="O94" s="59" t="s">
        <v>2618</v>
      </c>
      <c r="P94" s="59" t="s">
        <v>2619</v>
      </c>
      <c r="Q94" s="59" t="s">
        <v>2308</v>
      </c>
      <c r="R94" s="59" t="s">
        <v>2597</v>
      </c>
      <c r="S94" s="59" t="s">
        <v>2598</v>
      </c>
      <c r="T94" s="59" t="s">
        <v>2599</v>
      </c>
      <c r="U94" s="59" t="s">
        <v>2600</v>
      </c>
      <c r="V94" s="59" t="s">
        <v>2601</v>
      </c>
      <c r="W94" s="59" t="s">
        <v>2626</v>
      </c>
      <c r="X94" s="59" t="s">
        <v>2603</v>
      </c>
    </row>
    <row r="95" spans="1:24" ht="17.25" x14ac:dyDescent="0.3">
      <c r="A95" s="59" t="s">
        <v>2628</v>
      </c>
      <c r="B95" s="59" t="s">
        <v>2677</v>
      </c>
      <c r="C95" s="59" t="s">
        <v>2630</v>
      </c>
      <c r="D95" s="59" t="s">
        <v>2607</v>
      </c>
      <c r="E95" s="59" t="s">
        <v>2608</v>
      </c>
      <c r="F95" s="59" t="s">
        <v>2609</v>
      </c>
      <c r="G95" s="59" t="s">
        <v>2634</v>
      </c>
      <c r="H95" s="59" t="s">
        <v>2611</v>
      </c>
      <c r="I95" s="59" t="s">
        <v>2612</v>
      </c>
      <c r="J95" s="59" t="s">
        <v>2613</v>
      </c>
      <c r="K95" s="59" t="s">
        <v>2638</v>
      </c>
      <c r="L95" s="59" t="s">
        <v>2639</v>
      </c>
      <c r="M95" s="59" t="s">
        <v>2616</v>
      </c>
      <c r="N95" s="59" t="s">
        <v>2617</v>
      </c>
      <c r="O95" s="59" t="s">
        <v>2642</v>
      </c>
      <c r="P95" s="59" t="s">
        <v>2643</v>
      </c>
      <c r="Q95" s="59" t="s">
        <v>3628</v>
      </c>
      <c r="R95" s="59" t="s">
        <v>2621</v>
      </c>
      <c r="S95" s="59" t="s">
        <v>2622</v>
      </c>
      <c r="T95" s="59" t="s">
        <v>2623</v>
      </c>
      <c r="U95" s="59" t="s">
        <v>2624</v>
      </c>
      <c r="V95" s="59" t="s">
        <v>2625</v>
      </c>
      <c r="W95" s="59" t="s">
        <v>2650</v>
      </c>
      <c r="X95" s="59" t="s">
        <v>2627</v>
      </c>
    </row>
    <row r="96" spans="1:24" ht="17.25" x14ac:dyDescent="0.3">
      <c r="A96" s="59" t="s">
        <v>2652</v>
      </c>
      <c r="B96" s="59" t="s">
        <v>2701</v>
      </c>
      <c r="C96" s="59" t="s">
        <v>2654</v>
      </c>
      <c r="D96" s="59" t="s">
        <v>2631</v>
      </c>
      <c r="E96" s="59" t="s">
        <v>2632</v>
      </c>
      <c r="F96" s="59" t="s">
        <v>2633</v>
      </c>
      <c r="G96" s="59" t="s">
        <v>2658</v>
      </c>
      <c r="H96" s="59" t="s">
        <v>2635</v>
      </c>
      <c r="I96" s="59" t="s">
        <v>2636</v>
      </c>
      <c r="J96" s="59" t="s">
        <v>2637</v>
      </c>
      <c r="K96" s="59" t="s">
        <v>2662</v>
      </c>
      <c r="L96" s="59" t="s">
        <v>2663</v>
      </c>
      <c r="M96" s="59" t="s">
        <v>2640</v>
      </c>
      <c r="N96" s="59" t="s">
        <v>2641</v>
      </c>
      <c r="O96" s="59" t="s">
        <v>2666</v>
      </c>
      <c r="P96" s="59" t="s">
        <v>2667</v>
      </c>
      <c r="Q96" s="59" t="s">
        <v>5635</v>
      </c>
      <c r="R96" s="59" t="s">
        <v>2645</v>
      </c>
      <c r="S96" s="59" t="s">
        <v>2646</v>
      </c>
      <c r="T96" s="59" t="s">
        <v>2647</v>
      </c>
      <c r="U96" s="59" t="s">
        <v>2648</v>
      </c>
      <c r="V96" s="59" t="s">
        <v>2649</v>
      </c>
      <c r="W96" s="59" t="s">
        <v>2674</v>
      </c>
      <c r="X96" s="59" t="s">
        <v>2651</v>
      </c>
    </row>
    <row r="97" spans="1:24" ht="17.25" x14ac:dyDescent="0.3">
      <c r="A97" s="59" t="s">
        <v>2676</v>
      </c>
      <c r="B97" s="59" t="s">
        <v>2725</v>
      </c>
      <c r="C97" s="59" t="s">
        <v>2678</v>
      </c>
      <c r="D97" s="59" t="s">
        <v>2655</v>
      </c>
      <c r="E97" s="59" t="s">
        <v>2656</v>
      </c>
      <c r="F97" s="59" t="s">
        <v>2657</v>
      </c>
      <c r="G97" s="59" t="s">
        <v>2682</v>
      </c>
      <c r="H97" s="59" t="s">
        <v>2659</v>
      </c>
      <c r="I97" s="59" t="s">
        <v>2660</v>
      </c>
      <c r="J97" s="59" t="s">
        <v>2661</v>
      </c>
      <c r="K97" s="59" t="s">
        <v>2686</v>
      </c>
      <c r="L97" s="59" t="s">
        <v>2687</v>
      </c>
      <c r="M97" s="59" t="s">
        <v>2664</v>
      </c>
      <c r="N97" s="59" t="s">
        <v>2665</v>
      </c>
      <c r="O97" s="59" t="s">
        <v>2690</v>
      </c>
      <c r="P97" s="59" t="s">
        <v>2691</v>
      </c>
      <c r="Q97" s="59" t="s">
        <v>5396</v>
      </c>
      <c r="R97" s="59" t="s">
        <v>2669</v>
      </c>
      <c r="S97" s="59" t="s">
        <v>2670</v>
      </c>
      <c r="T97" s="59" t="s">
        <v>2671</v>
      </c>
      <c r="U97" s="59" t="s">
        <v>2672</v>
      </c>
      <c r="V97" s="59" t="s">
        <v>2673</v>
      </c>
      <c r="W97" s="59" t="s">
        <v>2698</v>
      </c>
      <c r="X97" s="59" t="s">
        <v>2675</v>
      </c>
    </row>
    <row r="98" spans="1:24" ht="17.25" x14ac:dyDescent="0.3">
      <c r="A98" s="59" t="s">
        <v>2700</v>
      </c>
      <c r="B98" s="59" t="s">
        <v>2749</v>
      </c>
      <c r="C98" s="59" t="s">
        <v>2702</v>
      </c>
      <c r="D98" s="59" t="s">
        <v>2679</v>
      </c>
      <c r="E98" s="59" t="s">
        <v>2680</v>
      </c>
      <c r="F98" s="59" t="s">
        <v>2681</v>
      </c>
      <c r="G98" s="59" t="s">
        <v>2706</v>
      </c>
      <c r="H98" s="59" t="s">
        <v>2683</v>
      </c>
      <c r="I98" s="59" t="s">
        <v>2684</v>
      </c>
      <c r="J98" s="59" t="s">
        <v>2685</v>
      </c>
      <c r="K98" s="59" t="s">
        <v>2710</v>
      </c>
      <c r="L98" s="59" t="s">
        <v>2711</v>
      </c>
      <c r="M98" s="59" t="s">
        <v>2688</v>
      </c>
      <c r="N98" s="59" t="s">
        <v>2689</v>
      </c>
      <c r="O98" s="59" t="s">
        <v>2714</v>
      </c>
      <c r="P98" s="59" t="s">
        <v>2715</v>
      </c>
      <c r="Q98" s="59" t="s">
        <v>5384</v>
      </c>
      <c r="R98" s="59" t="s">
        <v>2693</v>
      </c>
      <c r="S98" s="59" t="s">
        <v>2694</v>
      </c>
      <c r="T98" s="59" t="s">
        <v>2695</v>
      </c>
      <c r="U98" s="59" t="s">
        <v>2696</v>
      </c>
      <c r="V98" s="59" t="s">
        <v>2697</v>
      </c>
      <c r="W98" s="59" t="s">
        <v>2722</v>
      </c>
      <c r="X98" s="59" t="s">
        <v>2699</v>
      </c>
    </row>
    <row r="99" spans="1:24" ht="17.25" x14ac:dyDescent="0.3">
      <c r="A99" s="59" t="s">
        <v>2724</v>
      </c>
      <c r="B99" s="59" t="s">
        <v>2773</v>
      </c>
      <c r="C99" s="59" t="s">
        <v>2726</v>
      </c>
      <c r="D99" s="59" t="s">
        <v>2703</v>
      </c>
      <c r="E99" s="59" t="s">
        <v>2704</v>
      </c>
      <c r="F99" s="59" t="s">
        <v>2705</v>
      </c>
      <c r="G99" s="59" t="s">
        <v>2730</v>
      </c>
      <c r="H99" s="59" t="s">
        <v>2707</v>
      </c>
      <c r="I99" s="59" t="s">
        <v>2732</v>
      </c>
      <c r="J99" s="59" t="s">
        <v>2709</v>
      </c>
      <c r="K99" s="59" t="s">
        <v>2734</v>
      </c>
      <c r="L99" s="59" t="s">
        <v>2735</v>
      </c>
      <c r="M99" s="59" t="s">
        <v>2712</v>
      </c>
      <c r="N99" s="59" t="s">
        <v>2713</v>
      </c>
      <c r="O99" s="59" t="s">
        <v>2738</v>
      </c>
      <c r="P99" s="59" t="s">
        <v>2739</v>
      </c>
      <c r="Q99" s="59" t="s">
        <v>5742</v>
      </c>
      <c r="R99" s="59" t="s">
        <v>2717</v>
      </c>
      <c r="S99" s="59" t="s">
        <v>2718</v>
      </c>
      <c r="T99" s="59" t="s">
        <v>2719</v>
      </c>
      <c r="U99" s="59" t="s">
        <v>2720</v>
      </c>
      <c r="V99" s="59" t="s">
        <v>2721</v>
      </c>
      <c r="W99" s="59" t="s">
        <v>2746</v>
      </c>
      <c r="X99" s="59" t="s">
        <v>2723</v>
      </c>
    </row>
    <row r="100" spans="1:24" ht="17.25" x14ac:dyDescent="0.3">
      <c r="A100" s="59" t="s">
        <v>2748</v>
      </c>
      <c r="B100" s="59" t="s">
        <v>2797</v>
      </c>
      <c r="C100" s="59" t="s">
        <v>2750</v>
      </c>
      <c r="D100" s="59" t="s">
        <v>2727</v>
      </c>
      <c r="E100" s="59" t="s">
        <v>2728</v>
      </c>
      <c r="F100" s="59" t="s">
        <v>2729</v>
      </c>
      <c r="G100" s="59" t="s">
        <v>2754</v>
      </c>
      <c r="H100" s="59" t="s">
        <v>2731</v>
      </c>
      <c r="I100" s="59" t="s">
        <v>2756</v>
      </c>
      <c r="J100" s="59" t="s">
        <v>2733</v>
      </c>
      <c r="K100" s="59" t="s">
        <v>2758</v>
      </c>
      <c r="L100" s="59" t="s">
        <v>2759</v>
      </c>
      <c r="M100" s="59" t="s">
        <v>2736</v>
      </c>
      <c r="N100" s="59" t="s">
        <v>2737</v>
      </c>
      <c r="O100" s="59" t="s">
        <v>2762</v>
      </c>
      <c r="P100" s="59" t="s">
        <v>2763</v>
      </c>
      <c r="Q100" s="59" t="s">
        <v>3991</v>
      </c>
      <c r="R100" s="59" t="s">
        <v>2741</v>
      </c>
      <c r="S100" s="59" t="s">
        <v>2742</v>
      </c>
      <c r="T100" s="59" t="s">
        <v>2743</v>
      </c>
      <c r="U100" s="59" t="s">
        <v>2744</v>
      </c>
      <c r="V100" s="59" t="s">
        <v>2745</v>
      </c>
      <c r="W100" s="59" t="s">
        <v>2770</v>
      </c>
      <c r="X100" s="59" t="s">
        <v>2747</v>
      </c>
    </row>
    <row r="101" spans="1:24" ht="17.25" x14ac:dyDescent="0.3">
      <c r="A101" s="59" t="s">
        <v>2772</v>
      </c>
      <c r="B101" s="59" t="s">
        <v>2821</v>
      </c>
      <c r="C101" s="59" t="s">
        <v>2774</v>
      </c>
      <c r="D101" s="59" t="s">
        <v>2751</v>
      </c>
      <c r="E101" s="59" t="s">
        <v>2752</v>
      </c>
      <c r="F101" s="59" t="s">
        <v>2753</v>
      </c>
      <c r="G101" s="59" t="s">
        <v>2778</v>
      </c>
      <c r="H101" s="59" t="s">
        <v>2755</v>
      </c>
      <c r="I101" s="59" t="s">
        <v>2780</v>
      </c>
      <c r="J101" s="59" t="s">
        <v>2757</v>
      </c>
      <c r="K101" s="59" t="s">
        <v>2782</v>
      </c>
      <c r="L101" s="59" t="s">
        <v>2783</v>
      </c>
      <c r="M101" s="59" t="s">
        <v>2760</v>
      </c>
      <c r="N101" s="59" t="s">
        <v>2761</v>
      </c>
      <c r="O101" s="59" t="s">
        <v>2786</v>
      </c>
      <c r="P101" s="59" t="s">
        <v>2787</v>
      </c>
      <c r="Q101" s="59" t="s">
        <v>3826</v>
      </c>
      <c r="R101" s="59" t="s">
        <v>2765</v>
      </c>
      <c r="S101" s="59" t="s">
        <v>2766</v>
      </c>
      <c r="T101" s="59" t="s">
        <v>2767</v>
      </c>
      <c r="U101" s="59" t="s">
        <v>2768</v>
      </c>
      <c r="V101" s="59" t="s">
        <v>2769</v>
      </c>
      <c r="W101" s="59" t="s">
        <v>2794</v>
      </c>
      <c r="X101" s="59" t="s">
        <v>2771</v>
      </c>
    </row>
    <row r="102" spans="1:24" ht="17.25" x14ac:dyDescent="0.3">
      <c r="A102" s="59" t="s">
        <v>2796</v>
      </c>
      <c r="B102" s="59" t="s">
        <v>2845</v>
      </c>
      <c r="C102" s="59" t="s">
        <v>2798</v>
      </c>
      <c r="D102" s="59" t="s">
        <v>2775</v>
      </c>
      <c r="E102" s="59" t="s">
        <v>2776</v>
      </c>
      <c r="F102" s="59" t="s">
        <v>2777</v>
      </c>
      <c r="G102" s="59" t="s">
        <v>2802</v>
      </c>
      <c r="H102" s="59" t="s">
        <v>2779</v>
      </c>
      <c r="I102" s="59" t="s">
        <v>2804</v>
      </c>
      <c r="J102" s="59" t="s">
        <v>2781</v>
      </c>
      <c r="K102" s="59" t="s">
        <v>2806</v>
      </c>
      <c r="L102" s="59" t="s">
        <v>2807</v>
      </c>
      <c r="M102" s="59" t="s">
        <v>2784</v>
      </c>
      <c r="N102" s="59" t="s">
        <v>2785</v>
      </c>
      <c r="O102" s="59" t="s">
        <v>2810</v>
      </c>
      <c r="P102" s="59" t="s">
        <v>2811</v>
      </c>
      <c r="Q102" s="59" t="s">
        <v>3518</v>
      </c>
      <c r="R102" s="59" t="s">
        <v>2789</v>
      </c>
      <c r="S102" s="59" t="s">
        <v>2790</v>
      </c>
      <c r="T102" s="59" t="s">
        <v>2791</v>
      </c>
      <c r="U102" s="59" t="s">
        <v>2792</v>
      </c>
      <c r="V102" s="59" t="s">
        <v>2793</v>
      </c>
      <c r="W102" s="59" t="s">
        <v>2818</v>
      </c>
      <c r="X102" s="59" t="s">
        <v>2795</v>
      </c>
    </row>
    <row r="103" spans="1:24" ht="17.25" x14ac:dyDescent="0.3">
      <c r="A103" s="59" t="s">
        <v>2820</v>
      </c>
      <c r="B103" s="59" t="s">
        <v>2869</v>
      </c>
      <c r="C103" s="59" t="s">
        <v>2822</v>
      </c>
      <c r="D103" s="59" t="s">
        <v>2799</v>
      </c>
      <c r="E103" s="59" t="s">
        <v>2800</v>
      </c>
      <c r="F103" s="59" t="s">
        <v>2801</v>
      </c>
      <c r="G103" s="59" t="s">
        <v>2826</v>
      </c>
      <c r="H103" s="59" t="s">
        <v>2803</v>
      </c>
      <c r="I103" s="59" t="s">
        <v>2828</v>
      </c>
      <c r="J103" s="59" t="s">
        <v>2805</v>
      </c>
      <c r="K103" s="59" t="s">
        <v>2830</v>
      </c>
      <c r="L103" s="59" t="s">
        <v>2831</v>
      </c>
      <c r="M103" s="59" t="s">
        <v>2808</v>
      </c>
      <c r="N103" s="59" t="s">
        <v>2809</v>
      </c>
      <c r="O103" s="59" t="s">
        <v>2834</v>
      </c>
      <c r="P103" s="59" t="s">
        <v>2835</v>
      </c>
      <c r="Q103" s="59" t="s">
        <v>2404</v>
      </c>
      <c r="R103" s="59" t="s">
        <v>2813</v>
      </c>
      <c r="S103" s="59" t="s">
        <v>2814</v>
      </c>
      <c r="T103" s="59" t="s">
        <v>2839</v>
      </c>
      <c r="U103" s="59" t="s">
        <v>2816</v>
      </c>
      <c r="V103" s="59" t="s">
        <v>2817</v>
      </c>
      <c r="W103" s="59" t="s">
        <v>2842</v>
      </c>
      <c r="X103" s="59" t="s">
        <v>2819</v>
      </c>
    </row>
    <row r="104" spans="1:24" ht="17.25" x14ac:dyDescent="0.3">
      <c r="A104" s="59" t="s">
        <v>2844</v>
      </c>
      <c r="B104" s="59" t="s">
        <v>2893</v>
      </c>
      <c r="C104" s="59" t="s">
        <v>2870</v>
      </c>
      <c r="D104" s="59" t="s">
        <v>2823</v>
      </c>
      <c r="E104" s="59" t="s">
        <v>2824</v>
      </c>
      <c r="F104" s="59" t="s">
        <v>2825</v>
      </c>
      <c r="G104" s="59" t="s">
        <v>2850</v>
      </c>
      <c r="H104" s="59" t="s">
        <v>2827</v>
      </c>
      <c r="I104" s="59" t="s">
        <v>2852</v>
      </c>
      <c r="J104" s="59" t="s">
        <v>2829</v>
      </c>
      <c r="K104" s="59" t="s">
        <v>2854</v>
      </c>
      <c r="L104" s="59" t="s">
        <v>2855</v>
      </c>
      <c r="M104" s="59" t="s">
        <v>2832</v>
      </c>
      <c r="N104" s="59" t="s">
        <v>2833</v>
      </c>
      <c r="O104" s="59" t="s">
        <v>2858</v>
      </c>
      <c r="P104" s="59" t="s">
        <v>2859</v>
      </c>
      <c r="Q104" s="59" t="s">
        <v>2668</v>
      </c>
      <c r="R104" s="59" t="s">
        <v>2837</v>
      </c>
      <c r="S104" s="59" t="s">
        <v>2838</v>
      </c>
      <c r="T104" s="59" t="s">
        <v>2863</v>
      </c>
      <c r="U104" s="59" t="s">
        <v>2840</v>
      </c>
      <c r="V104" s="59" t="s">
        <v>2841</v>
      </c>
      <c r="W104" s="59" t="s">
        <v>2866</v>
      </c>
      <c r="X104" s="59" t="s">
        <v>2843</v>
      </c>
    </row>
    <row r="105" spans="1:24" ht="17.25" x14ac:dyDescent="0.3">
      <c r="A105" s="59" t="s">
        <v>2868</v>
      </c>
      <c r="B105" s="59" t="s">
        <v>2916</v>
      </c>
      <c r="C105" s="59" t="s">
        <v>2894</v>
      </c>
      <c r="D105" s="59" t="s">
        <v>2847</v>
      </c>
      <c r="E105" s="59" t="s">
        <v>2848</v>
      </c>
      <c r="F105" s="59" t="s">
        <v>2849</v>
      </c>
      <c r="G105" s="59" t="s">
        <v>2874</v>
      </c>
      <c r="H105" s="59" t="s">
        <v>2851</v>
      </c>
      <c r="I105" s="59" t="s">
        <v>2876</v>
      </c>
      <c r="J105" s="59" t="s">
        <v>2853</v>
      </c>
      <c r="K105" s="59" t="s">
        <v>2878</v>
      </c>
      <c r="L105" s="59" t="s">
        <v>2879</v>
      </c>
      <c r="M105" s="59" t="s">
        <v>2856</v>
      </c>
      <c r="N105" s="59" t="s">
        <v>2857</v>
      </c>
      <c r="O105" s="59" t="s">
        <v>2882</v>
      </c>
      <c r="P105" s="59" t="s">
        <v>2883</v>
      </c>
      <c r="Q105" s="59" t="s">
        <v>738</v>
      </c>
      <c r="R105" s="59" t="s">
        <v>2861</v>
      </c>
      <c r="S105" s="59" t="s">
        <v>2862</v>
      </c>
      <c r="T105" s="59" t="s">
        <v>2887</v>
      </c>
      <c r="U105" s="59" t="s">
        <v>2864</v>
      </c>
      <c r="V105" s="59" t="s">
        <v>2865</v>
      </c>
      <c r="W105" s="59" t="s">
        <v>2890</v>
      </c>
      <c r="X105" s="59" t="s">
        <v>2867</v>
      </c>
    </row>
    <row r="106" spans="1:24" ht="17.25" x14ac:dyDescent="0.3">
      <c r="A106" s="59" t="s">
        <v>2892</v>
      </c>
      <c r="B106" s="59" t="s">
        <v>2939</v>
      </c>
      <c r="C106" s="59" t="s">
        <v>2917</v>
      </c>
      <c r="D106" s="59" t="s">
        <v>2871</v>
      </c>
      <c r="E106" s="59" t="s">
        <v>2872</v>
      </c>
      <c r="F106" s="59" t="s">
        <v>2873</v>
      </c>
      <c r="G106" s="59" t="s">
        <v>2898</v>
      </c>
      <c r="H106" s="59" t="s">
        <v>2875</v>
      </c>
      <c r="I106" s="59" t="s">
        <v>2900</v>
      </c>
      <c r="J106" s="59" t="s">
        <v>2877</v>
      </c>
      <c r="K106" s="59" t="s">
        <v>2902</v>
      </c>
      <c r="L106" s="59" t="s">
        <v>7003</v>
      </c>
      <c r="M106" s="59" t="s">
        <v>2880</v>
      </c>
      <c r="N106" s="59" t="s">
        <v>2881</v>
      </c>
      <c r="O106" s="59" t="s">
        <v>2905</v>
      </c>
      <c r="P106" s="59" t="s">
        <v>2906</v>
      </c>
      <c r="Q106" s="59" t="s">
        <v>1661</v>
      </c>
      <c r="R106" s="59" t="s">
        <v>2885</v>
      </c>
      <c r="S106" s="59" t="s">
        <v>2886</v>
      </c>
      <c r="T106" s="59" t="s">
        <v>2910</v>
      </c>
      <c r="U106" s="59" t="s">
        <v>2888</v>
      </c>
      <c r="V106" s="59" t="s">
        <v>2889</v>
      </c>
      <c r="W106" s="59" t="s">
        <v>2913</v>
      </c>
      <c r="X106" s="59" t="s">
        <v>2891</v>
      </c>
    </row>
    <row r="107" spans="1:24" ht="17.25" x14ac:dyDescent="0.3">
      <c r="A107" s="59" t="s">
        <v>2915</v>
      </c>
      <c r="B107" s="59" t="s">
        <v>2962</v>
      </c>
      <c r="C107" s="59" t="s">
        <v>2940</v>
      </c>
      <c r="D107" s="59" t="s">
        <v>2895</v>
      </c>
      <c r="E107" s="59" t="s">
        <v>2896</v>
      </c>
      <c r="F107" s="59" t="s">
        <v>2897</v>
      </c>
      <c r="G107" s="59" t="s">
        <v>2921</v>
      </c>
      <c r="H107" s="59" t="s">
        <v>2899</v>
      </c>
      <c r="I107" s="59" t="s">
        <v>2923</v>
      </c>
      <c r="J107" s="59" t="s">
        <v>2901</v>
      </c>
      <c r="K107" s="59" t="s">
        <v>2925</v>
      </c>
      <c r="L107" s="59" t="s">
        <v>7004</v>
      </c>
      <c r="M107" s="59" t="s">
        <v>2903</v>
      </c>
      <c r="N107" s="59" t="s">
        <v>2904</v>
      </c>
      <c r="O107" s="59" t="s">
        <v>2928</v>
      </c>
      <c r="P107" s="59" t="s">
        <v>2929</v>
      </c>
      <c r="Q107" s="59" t="s">
        <v>2620</v>
      </c>
      <c r="R107" s="59" t="s">
        <v>2908</v>
      </c>
      <c r="S107" s="59" t="s">
        <v>2909</v>
      </c>
      <c r="T107" s="59" t="s">
        <v>2933</v>
      </c>
      <c r="U107" s="59" t="s">
        <v>2911</v>
      </c>
      <c r="V107" s="59" t="s">
        <v>2912</v>
      </c>
      <c r="W107" s="59" t="s">
        <v>2936</v>
      </c>
      <c r="X107" s="59" t="s">
        <v>2914</v>
      </c>
    </row>
    <row r="108" spans="1:24" ht="17.25" x14ac:dyDescent="0.3">
      <c r="A108" s="59" t="s">
        <v>2938</v>
      </c>
      <c r="B108" s="59" t="s">
        <v>2985</v>
      </c>
      <c r="C108" s="59" t="s">
        <v>2963</v>
      </c>
      <c r="D108" s="59" t="s">
        <v>2918</v>
      </c>
      <c r="E108" s="59" t="s">
        <v>2919</v>
      </c>
      <c r="F108" s="59" t="s">
        <v>2920</v>
      </c>
      <c r="G108" s="59" t="s">
        <v>2944</v>
      </c>
      <c r="H108" s="59" t="s">
        <v>2922</v>
      </c>
      <c r="I108" s="59" t="s">
        <v>2946</v>
      </c>
      <c r="J108" s="59" t="s">
        <v>2924</v>
      </c>
      <c r="K108" s="59" t="s">
        <v>2948</v>
      </c>
      <c r="L108" s="59" t="s">
        <v>7005</v>
      </c>
      <c r="M108" s="59" t="s">
        <v>2926</v>
      </c>
      <c r="N108" s="59" t="s">
        <v>2927</v>
      </c>
      <c r="O108" s="59" t="s">
        <v>2951</v>
      </c>
      <c r="P108" s="59" t="s">
        <v>2952</v>
      </c>
      <c r="Q108" s="59" t="s">
        <v>1974</v>
      </c>
      <c r="R108" s="59" t="s">
        <v>2931</v>
      </c>
      <c r="S108" s="59" t="s">
        <v>2932</v>
      </c>
      <c r="T108" s="59" t="s">
        <v>2956</v>
      </c>
      <c r="U108" s="59" t="s">
        <v>2934</v>
      </c>
      <c r="V108" s="59" t="s">
        <v>2935</v>
      </c>
      <c r="W108" s="59" t="s">
        <v>2959</v>
      </c>
      <c r="X108" s="59" t="s">
        <v>2937</v>
      </c>
    </row>
    <row r="109" spans="1:24" ht="17.25" x14ac:dyDescent="0.3">
      <c r="A109" s="59" t="s">
        <v>2961</v>
      </c>
      <c r="B109" s="59" t="s">
        <v>3008</v>
      </c>
      <c r="C109" s="59" t="s">
        <v>2986</v>
      </c>
      <c r="D109" s="59" t="s">
        <v>2941</v>
      </c>
      <c r="E109" s="59" t="s">
        <v>2942</v>
      </c>
      <c r="F109" s="59" t="s">
        <v>2943</v>
      </c>
      <c r="G109" s="59" t="s">
        <v>2967</v>
      </c>
      <c r="H109" s="59" t="s">
        <v>2945</v>
      </c>
      <c r="I109" s="59" t="s">
        <v>2969</v>
      </c>
      <c r="J109" s="59" t="s">
        <v>2947</v>
      </c>
      <c r="K109" s="59" t="s">
        <v>2971</v>
      </c>
      <c r="L109" s="59" t="s">
        <v>2708</v>
      </c>
      <c r="M109" s="59" t="s">
        <v>2949</v>
      </c>
      <c r="N109" s="59" t="s">
        <v>2950</v>
      </c>
      <c r="O109" s="59" t="s">
        <v>2974</v>
      </c>
      <c r="P109" s="59" t="s">
        <v>2975</v>
      </c>
      <c r="Q109" s="59" t="s">
        <v>938</v>
      </c>
      <c r="R109" s="59" t="s">
        <v>2954</v>
      </c>
      <c r="S109" s="59" t="s">
        <v>2955</v>
      </c>
      <c r="T109" s="59" t="s">
        <v>2979</v>
      </c>
      <c r="U109" s="59" t="s">
        <v>2957</v>
      </c>
      <c r="V109" s="59" t="s">
        <v>2958</v>
      </c>
      <c r="W109" s="59" t="s">
        <v>2982</v>
      </c>
      <c r="X109" s="59" t="s">
        <v>2960</v>
      </c>
    </row>
    <row r="110" spans="1:24" ht="17.25" x14ac:dyDescent="0.3">
      <c r="A110" s="59" t="s">
        <v>2984</v>
      </c>
      <c r="B110" s="59" t="s">
        <v>3031</v>
      </c>
      <c r="C110" s="59" t="s">
        <v>3009</v>
      </c>
      <c r="D110" s="59" t="s">
        <v>2964</v>
      </c>
      <c r="E110" s="59" t="s">
        <v>2965</v>
      </c>
      <c r="F110" s="59" t="s">
        <v>2966</v>
      </c>
      <c r="G110" s="59" t="s">
        <v>2990</v>
      </c>
      <c r="H110" s="59" t="s">
        <v>2968</v>
      </c>
      <c r="I110" s="59" t="s">
        <v>2992</v>
      </c>
      <c r="J110" s="59" t="s">
        <v>2970</v>
      </c>
      <c r="K110" s="59" t="s">
        <v>2994</v>
      </c>
      <c r="L110" s="59" t="s">
        <v>7190</v>
      </c>
      <c r="M110" s="59" t="s">
        <v>2972</v>
      </c>
      <c r="N110" s="59" t="s">
        <v>2973</v>
      </c>
      <c r="O110" s="59" t="s">
        <v>2997</v>
      </c>
      <c r="P110" s="59" t="s">
        <v>2998</v>
      </c>
      <c r="Q110" s="59" t="s">
        <v>5091</v>
      </c>
      <c r="R110" s="59" t="s">
        <v>2977</v>
      </c>
      <c r="S110" s="59" t="s">
        <v>2978</v>
      </c>
      <c r="T110" s="59" t="s">
        <v>3002</v>
      </c>
      <c r="U110" s="59" t="s">
        <v>2980</v>
      </c>
      <c r="V110" s="59" t="s">
        <v>2981</v>
      </c>
      <c r="W110" s="59" t="s">
        <v>3005</v>
      </c>
      <c r="X110" s="59" t="s">
        <v>2983</v>
      </c>
    </row>
    <row r="111" spans="1:24" ht="17.25" x14ac:dyDescent="0.3">
      <c r="A111" s="59" t="s">
        <v>3007</v>
      </c>
      <c r="B111" s="59" t="s">
        <v>3054</v>
      </c>
      <c r="C111" s="59" t="s">
        <v>3032</v>
      </c>
      <c r="D111" s="59" t="s">
        <v>2987</v>
      </c>
      <c r="E111" s="59" t="s">
        <v>2988</v>
      </c>
      <c r="F111" s="59" t="s">
        <v>2989</v>
      </c>
      <c r="G111" s="59" t="s">
        <v>3013</v>
      </c>
      <c r="H111" s="59" t="s">
        <v>2991</v>
      </c>
      <c r="I111" s="59" t="s">
        <v>3015</v>
      </c>
      <c r="J111" s="59" t="s">
        <v>2993</v>
      </c>
      <c r="K111" s="59" t="s">
        <v>3017</v>
      </c>
      <c r="L111" s="59" t="s">
        <v>7191</v>
      </c>
      <c r="M111" s="59" t="s">
        <v>2995</v>
      </c>
      <c r="N111" s="59" t="s">
        <v>2996</v>
      </c>
      <c r="O111" s="59" t="s">
        <v>3020</v>
      </c>
      <c r="P111" s="59" t="s">
        <v>3021</v>
      </c>
      <c r="Q111" s="59" t="s">
        <v>5063</v>
      </c>
      <c r="R111" s="59" t="s">
        <v>3000</v>
      </c>
      <c r="S111" s="59" t="s">
        <v>3001</v>
      </c>
      <c r="T111" s="59" t="s">
        <v>3025</v>
      </c>
      <c r="U111" s="59" t="s">
        <v>3003</v>
      </c>
      <c r="V111" s="59" t="s">
        <v>3004</v>
      </c>
      <c r="W111" s="59" t="s">
        <v>3028</v>
      </c>
      <c r="X111" s="59" t="s">
        <v>3006</v>
      </c>
    </row>
    <row r="112" spans="1:24" ht="17.25" x14ac:dyDescent="0.3">
      <c r="A112" s="59" t="s">
        <v>3030</v>
      </c>
      <c r="B112" s="59" t="s">
        <v>3077</v>
      </c>
      <c r="C112" s="59" t="s">
        <v>3055</v>
      </c>
      <c r="D112" s="59" t="s">
        <v>3010</v>
      </c>
      <c r="E112" s="59" t="s">
        <v>3011</v>
      </c>
      <c r="F112" s="59" t="s">
        <v>3012</v>
      </c>
      <c r="G112" s="59" t="s">
        <v>3036</v>
      </c>
      <c r="H112" s="59" t="s">
        <v>3014</v>
      </c>
      <c r="I112" s="59" t="s">
        <v>3038</v>
      </c>
      <c r="J112" s="59" t="s">
        <v>3016</v>
      </c>
      <c r="K112" s="59" t="s">
        <v>3040</v>
      </c>
      <c r="L112" s="59" t="s">
        <v>7192</v>
      </c>
      <c r="M112" s="59" t="s">
        <v>3018</v>
      </c>
      <c r="N112" s="59" t="s">
        <v>3019</v>
      </c>
      <c r="O112" s="59" t="s">
        <v>3043</v>
      </c>
      <c r="P112" s="59" t="s">
        <v>3044</v>
      </c>
      <c r="Q112" s="59" t="s">
        <v>5730</v>
      </c>
      <c r="R112" s="59" t="s">
        <v>3023</v>
      </c>
      <c r="S112" s="59" t="s">
        <v>3024</v>
      </c>
      <c r="T112" s="59" t="s">
        <v>3048</v>
      </c>
      <c r="U112" s="59" t="s">
        <v>3026</v>
      </c>
      <c r="V112" s="59" t="s">
        <v>3027</v>
      </c>
      <c r="W112" s="59" t="s">
        <v>3051</v>
      </c>
      <c r="X112" s="59" t="s">
        <v>3029</v>
      </c>
    </row>
    <row r="113" spans="1:24" ht="17.25" x14ac:dyDescent="0.3">
      <c r="A113" s="59" t="s">
        <v>3053</v>
      </c>
      <c r="B113" s="59" t="s">
        <v>3100</v>
      </c>
      <c r="C113" s="59" t="s">
        <v>3078</v>
      </c>
      <c r="D113" s="59" t="s">
        <v>3033</v>
      </c>
      <c r="E113" s="59" t="s">
        <v>3034</v>
      </c>
      <c r="F113" s="59" t="s">
        <v>3035</v>
      </c>
      <c r="G113" s="59" t="s">
        <v>3059</v>
      </c>
      <c r="H113" s="59" t="s">
        <v>3037</v>
      </c>
      <c r="I113" s="59" t="s">
        <v>3061</v>
      </c>
      <c r="J113" s="59" t="s">
        <v>3039</v>
      </c>
      <c r="K113" s="59" t="s">
        <v>3063</v>
      </c>
      <c r="L113" s="59" t="s">
        <v>7243</v>
      </c>
      <c r="M113" s="59" t="s">
        <v>3041</v>
      </c>
      <c r="N113" s="59" t="s">
        <v>3042</v>
      </c>
      <c r="O113" s="59" t="s">
        <v>3066</v>
      </c>
      <c r="P113" s="59" t="s">
        <v>3067</v>
      </c>
      <c r="Q113" s="59" t="s">
        <v>962</v>
      </c>
      <c r="R113" s="59" t="s">
        <v>3046</v>
      </c>
      <c r="S113" s="59" t="s">
        <v>3047</v>
      </c>
      <c r="T113" s="59" t="s">
        <v>3071</v>
      </c>
      <c r="U113" s="59" t="s">
        <v>3049</v>
      </c>
      <c r="V113" s="59" t="s">
        <v>3050</v>
      </c>
      <c r="W113" s="59" t="s">
        <v>3074</v>
      </c>
      <c r="X113" s="59" t="s">
        <v>3052</v>
      </c>
    </row>
    <row r="114" spans="1:24" ht="17.25" x14ac:dyDescent="0.3">
      <c r="A114" s="59" t="s">
        <v>3076</v>
      </c>
      <c r="B114" s="59" t="s">
        <v>3122</v>
      </c>
      <c r="C114" s="59" t="s">
        <v>3101</v>
      </c>
      <c r="D114" s="59" t="s">
        <v>3056</v>
      </c>
      <c r="E114" s="59" t="s">
        <v>3057</v>
      </c>
      <c r="F114" s="59" t="s">
        <v>3058</v>
      </c>
      <c r="G114" s="59" t="s">
        <v>3082</v>
      </c>
      <c r="H114" s="59" t="s">
        <v>3060</v>
      </c>
      <c r="I114" s="59" t="s">
        <v>3084</v>
      </c>
      <c r="J114" s="59" t="s">
        <v>3062</v>
      </c>
      <c r="K114" s="59" t="s">
        <v>3086</v>
      </c>
      <c r="L114" s="59" t="s">
        <v>7244</v>
      </c>
      <c r="M114" s="59" t="s">
        <v>3064</v>
      </c>
      <c r="N114" s="59" t="s">
        <v>3065</v>
      </c>
      <c r="O114" s="59" t="s">
        <v>3089</v>
      </c>
      <c r="P114" s="59" t="s">
        <v>3090</v>
      </c>
      <c r="Q114" s="59" t="s">
        <v>638</v>
      </c>
      <c r="R114" s="59" t="s">
        <v>3069</v>
      </c>
      <c r="S114" s="59" t="s">
        <v>3070</v>
      </c>
      <c r="T114" s="59" t="s">
        <v>3094</v>
      </c>
      <c r="U114" s="59" t="s">
        <v>3072</v>
      </c>
      <c r="V114" s="59" t="s">
        <v>3073</v>
      </c>
      <c r="W114" s="59" t="s">
        <v>3097</v>
      </c>
      <c r="X114" s="59" t="s">
        <v>3075</v>
      </c>
    </row>
    <row r="115" spans="1:24" ht="17.25" x14ac:dyDescent="0.3">
      <c r="A115" s="59" t="s">
        <v>3099</v>
      </c>
      <c r="B115" s="59" t="s">
        <v>3145</v>
      </c>
      <c r="C115" s="59" t="s">
        <v>3123</v>
      </c>
      <c r="D115" s="59" t="s">
        <v>3079</v>
      </c>
      <c r="E115" s="59" t="s">
        <v>3080</v>
      </c>
      <c r="F115" s="59" t="s">
        <v>3081</v>
      </c>
      <c r="G115" s="59" t="s">
        <v>3105</v>
      </c>
      <c r="H115" s="59" t="s">
        <v>3083</v>
      </c>
      <c r="I115" s="59" t="s">
        <v>3107</v>
      </c>
      <c r="J115" s="59" t="s">
        <v>3085</v>
      </c>
      <c r="K115" s="59" t="s">
        <v>3109</v>
      </c>
      <c r="L115" s="59" t="s">
        <v>7245</v>
      </c>
      <c r="M115" s="59" t="s">
        <v>3087</v>
      </c>
      <c r="N115" s="59" t="s">
        <v>3088</v>
      </c>
      <c r="O115" s="59" t="s">
        <v>3112</v>
      </c>
      <c r="P115" s="59" t="s">
        <v>3113</v>
      </c>
      <c r="Q115" s="59" t="s">
        <v>3760</v>
      </c>
      <c r="R115" s="59" t="s">
        <v>3092</v>
      </c>
      <c r="S115" s="59" t="s">
        <v>3093</v>
      </c>
      <c r="T115" s="59" t="s">
        <v>3116</v>
      </c>
      <c r="U115" s="59" t="s">
        <v>3095</v>
      </c>
      <c r="V115" s="59" t="s">
        <v>3096</v>
      </c>
      <c r="W115" s="59" t="s">
        <v>3119</v>
      </c>
      <c r="X115" s="59" t="s">
        <v>3098</v>
      </c>
    </row>
    <row r="116" spans="1:24" ht="17.25" x14ac:dyDescent="0.3">
      <c r="A116" s="59" t="s">
        <v>3121</v>
      </c>
      <c r="B116" s="59" t="s">
        <v>3168</v>
      </c>
      <c r="C116" s="59" t="s">
        <v>3146</v>
      </c>
      <c r="D116" s="59" t="s">
        <v>3102</v>
      </c>
      <c r="E116" s="59" t="s">
        <v>3103</v>
      </c>
      <c r="F116" s="59" t="s">
        <v>3104</v>
      </c>
      <c r="G116" s="59" t="s">
        <v>3127</v>
      </c>
      <c r="H116" s="59" t="s">
        <v>3106</v>
      </c>
      <c r="I116" s="59" t="s">
        <v>3129</v>
      </c>
      <c r="J116" s="59" t="s">
        <v>3108</v>
      </c>
      <c r="K116" s="59" t="s">
        <v>3131</v>
      </c>
      <c r="L116" s="59" t="s">
        <v>7246</v>
      </c>
      <c r="M116" s="59" t="s">
        <v>3110</v>
      </c>
      <c r="N116" s="59" t="s">
        <v>3111</v>
      </c>
      <c r="O116" s="59" t="s">
        <v>3134</v>
      </c>
      <c r="P116" s="59" t="s">
        <v>3135</v>
      </c>
      <c r="Q116" s="59" t="s">
        <v>1387</v>
      </c>
      <c r="R116" s="59" t="s">
        <v>3137</v>
      </c>
      <c r="S116" s="59" t="s">
        <v>3115</v>
      </c>
      <c r="T116" s="59" t="s">
        <v>3139</v>
      </c>
      <c r="U116" s="59" t="s">
        <v>3117</v>
      </c>
      <c r="V116" s="59" t="s">
        <v>3118</v>
      </c>
      <c r="W116" s="59" t="s">
        <v>3142</v>
      </c>
      <c r="X116" s="59" t="s">
        <v>3120</v>
      </c>
    </row>
    <row r="117" spans="1:24" ht="17.25" x14ac:dyDescent="0.3">
      <c r="A117" s="59" t="s">
        <v>3144</v>
      </c>
      <c r="B117" s="59" t="s">
        <v>3191</v>
      </c>
      <c r="C117" s="59" t="s">
        <v>3169</v>
      </c>
      <c r="D117" s="59" t="s">
        <v>3124</v>
      </c>
      <c r="E117" s="59" t="s">
        <v>3125</v>
      </c>
      <c r="F117" s="59" t="s">
        <v>3126</v>
      </c>
      <c r="G117" s="59" t="s">
        <v>3150</v>
      </c>
      <c r="H117" s="59" t="s">
        <v>3128</v>
      </c>
      <c r="I117" s="59" t="s">
        <v>3152</v>
      </c>
      <c r="J117" s="59" t="s">
        <v>3130</v>
      </c>
      <c r="K117" s="59" t="s">
        <v>3154</v>
      </c>
      <c r="L117" s="59" t="s">
        <v>4136</v>
      </c>
      <c r="M117" s="59" t="s">
        <v>3132</v>
      </c>
      <c r="N117" s="59" t="s">
        <v>3133</v>
      </c>
      <c r="O117" s="59" t="s">
        <v>3157</v>
      </c>
      <c r="P117" s="59" t="s">
        <v>3158</v>
      </c>
      <c r="Q117" s="59" t="s">
        <v>2166</v>
      </c>
      <c r="R117" s="59" t="s">
        <v>3160</v>
      </c>
      <c r="S117" s="59" t="s">
        <v>3138</v>
      </c>
      <c r="T117" s="59" t="s">
        <v>3162</v>
      </c>
      <c r="U117" s="59" t="s">
        <v>3140</v>
      </c>
      <c r="V117" s="59" t="s">
        <v>3141</v>
      </c>
      <c r="W117" s="59" t="s">
        <v>3165</v>
      </c>
      <c r="X117" s="59" t="s">
        <v>3143</v>
      </c>
    </row>
    <row r="118" spans="1:24" ht="17.25" x14ac:dyDescent="0.3">
      <c r="A118" s="59" t="s">
        <v>3167</v>
      </c>
      <c r="B118" s="59" t="s">
        <v>3214</v>
      </c>
      <c r="C118" s="59" t="s">
        <v>3192</v>
      </c>
      <c r="D118" s="59" t="s">
        <v>3147</v>
      </c>
      <c r="E118" s="59" t="s">
        <v>3148</v>
      </c>
      <c r="F118" s="59" t="s">
        <v>3172</v>
      </c>
      <c r="G118" s="59" t="s">
        <v>3173</v>
      </c>
      <c r="H118" s="59" t="s">
        <v>3151</v>
      </c>
      <c r="I118" s="59" t="s">
        <v>3175</v>
      </c>
      <c r="J118" s="59" t="s">
        <v>3153</v>
      </c>
      <c r="K118" s="59" t="s">
        <v>3177</v>
      </c>
      <c r="L118" s="59"/>
      <c r="M118" s="59" t="s">
        <v>3155</v>
      </c>
      <c r="N118" s="59" t="s">
        <v>3156</v>
      </c>
      <c r="O118" s="59" t="s">
        <v>3180</v>
      </c>
      <c r="P118" s="59" t="s">
        <v>3181</v>
      </c>
      <c r="Q118" s="59" t="s">
        <v>5850</v>
      </c>
      <c r="R118" s="59" t="s">
        <v>3183</v>
      </c>
      <c r="S118" s="59" t="s">
        <v>3161</v>
      </c>
      <c r="T118" s="59" t="s">
        <v>3185</v>
      </c>
      <c r="U118" s="59" t="s">
        <v>3163</v>
      </c>
      <c r="V118" s="59" t="s">
        <v>3164</v>
      </c>
      <c r="W118" s="59" t="s">
        <v>3188</v>
      </c>
      <c r="X118" s="59" t="s">
        <v>3166</v>
      </c>
    </row>
    <row r="119" spans="1:24" ht="17.25" x14ac:dyDescent="0.3">
      <c r="A119" s="59" t="s">
        <v>3190</v>
      </c>
      <c r="B119" s="59" t="s">
        <v>3237</v>
      </c>
      <c r="C119" s="59" t="s">
        <v>3215</v>
      </c>
      <c r="D119" s="59" t="s">
        <v>3170</v>
      </c>
      <c r="E119" s="59" t="s">
        <v>3171</v>
      </c>
      <c r="F119" s="59" t="s">
        <v>3195</v>
      </c>
      <c r="G119" s="59" t="s">
        <v>3196</v>
      </c>
      <c r="H119" s="59" t="s">
        <v>3174</v>
      </c>
      <c r="I119" s="59" t="s">
        <v>3198</v>
      </c>
      <c r="J119" s="59" t="s">
        <v>3176</v>
      </c>
      <c r="K119" s="59" t="s">
        <v>3200</v>
      </c>
      <c r="L119" s="59"/>
      <c r="M119" s="59" t="s">
        <v>3178</v>
      </c>
      <c r="N119" s="59" t="s">
        <v>3179</v>
      </c>
      <c r="O119" s="59" t="s">
        <v>3203</v>
      </c>
      <c r="P119" s="59" t="s">
        <v>3204</v>
      </c>
      <c r="Q119" s="59" t="s">
        <v>663</v>
      </c>
      <c r="R119" s="59" t="s">
        <v>3206</v>
      </c>
      <c r="S119" s="59" t="s">
        <v>3184</v>
      </c>
      <c r="T119" s="59" t="s">
        <v>3208</v>
      </c>
      <c r="U119" s="59" t="s">
        <v>3186</v>
      </c>
      <c r="V119" s="59" t="s">
        <v>3187</v>
      </c>
      <c r="W119" s="59" t="s">
        <v>3211</v>
      </c>
      <c r="X119" s="59" t="s">
        <v>3189</v>
      </c>
    </row>
    <row r="120" spans="1:24" ht="17.25" x14ac:dyDescent="0.3">
      <c r="A120" s="59" t="s">
        <v>3213</v>
      </c>
      <c r="B120" s="59" t="s">
        <v>3260</v>
      </c>
      <c r="C120" s="59" t="s">
        <v>3238</v>
      </c>
      <c r="D120" s="59" t="s">
        <v>3193</v>
      </c>
      <c r="E120" s="59" t="s">
        <v>3194</v>
      </c>
      <c r="F120" s="59" t="s">
        <v>3218</v>
      </c>
      <c r="G120" s="59" t="s">
        <v>3219</v>
      </c>
      <c r="H120" s="59" t="s">
        <v>3197</v>
      </c>
      <c r="I120" s="59" t="s">
        <v>3221</v>
      </c>
      <c r="J120" s="59" t="s">
        <v>3199</v>
      </c>
      <c r="K120" s="59" t="s">
        <v>3223</v>
      </c>
      <c r="L120" s="59"/>
      <c r="M120" s="59" t="s">
        <v>3224</v>
      </c>
      <c r="N120" s="59" t="s">
        <v>3202</v>
      </c>
      <c r="O120" s="59" t="s">
        <v>3226</v>
      </c>
      <c r="P120" s="59" t="s">
        <v>3227</v>
      </c>
      <c r="Q120" s="59" t="s">
        <v>4574</v>
      </c>
      <c r="R120" s="59" t="s">
        <v>3229</v>
      </c>
      <c r="S120" s="59" t="s">
        <v>3207</v>
      </c>
      <c r="T120" s="59" t="s">
        <v>3231</v>
      </c>
      <c r="U120" s="59" t="s">
        <v>3209</v>
      </c>
      <c r="V120" s="59" t="s">
        <v>3210</v>
      </c>
      <c r="W120" s="59" t="s">
        <v>3234</v>
      </c>
      <c r="X120" s="59" t="s">
        <v>3212</v>
      </c>
    </row>
    <row r="121" spans="1:24" ht="17.25" x14ac:dyDescent="0.3">
      <c r="A121" s="59" t="s">
        <v>3236</v>
      </c>
      <c r="B121" s="59" t="s">
        <v>3283</v>
      </c>
      <c r="C121" s="59" t="s">
        <v>3261</v>
      </c>
      <c r="D121" s="59" t="s">
        <v>3216</v>
      </c>
      <c r="E121" s="59" t="s">
        <v>3217</v>
      </c>
      <c r="F121" s="59" t="s">
        <v>3241</v>
      </c>
      <c r="G121" s="59" t="s">
        <v>3242</v>
      </c>
      <c r="H121" s="59" t="s">
        <v>3220</v>
      </c>
      <c r="I121" s="59" t="s">
        <v>3244</v>
      </c>
      <c r="J121" s="59" t="s">
        <v>3222</v>
      </c>
      <c r="K121" s="59" t="s">
        <v>3246</v>
      </c>
      <c r="L121" s="59"/>
      <c r="M121" s="59" t="s">
        <v>3247</v>
      </c>
      <c r="N121" s="59" t="s">
        <v>3225</v>
      </c>
      <c r="O121" s="59" t="s">
        <v>3249</v>
      </c>
      <c r="P121" s="59" t="s">
        <v>3250</v>
      </c>
      <c r="Q121" s="59" t="s">
        <v>5479</v>
      </c>
      <c r="R121" s="59" t="s">
        <v>3252</v>
      </c>
      <c r="S121" s="59" t="s">
        <v>3230</v>
      </c>
      <c r="T121" s="59" t="s">
        <v>3254</v>
      </c>
      <c r="U121" s="59" t="s">
        <v>3232</v>
      </c>
      <c r="V121" s="59" t="s">
        <v>3233</v>
      </c>
      <c r="W121" s="59" t="s">
        <v>3257</v>
      </c>
      <c r="X121" s="59" t="s">
        <v>3235</v>
      </c>
    </row>
    <row r="122" spans="1:24" ht="17.25" x14ac:dyDescent="0.3">
      <c r="A122" s="59" t="s">
        <v>3259</v>
      </c>
      <c r="B122" s="59" t="s">
        <v>3306</v>
      </c>
      <c r="C122" s="59" t="s">
        <v>3284</v>
      </c>
      <c r="D122" s="59" t="s">
        <v>3239</v>
      </c>
      <c r="E122" s="59" t="s">
        <v>3240</v>
      </c>
      <c r="F122" s="59" t="s">
        <v>3264</v>
      </c>
      <c r="G122" s="59" t="s">
        <v>3265</v>
      </c>
      <c r="H122" s="59" t="s">
        <v>3243</v>
      </c>
      <c r="I122" s="59" t="s">
        <v>3267</v>
      </c>
      <c r="J122" s="59" t="s">
        <v>3245</v>
      </c>
      <c r="K122" s="59" t="s">
        <v>3269</v>
      </c>
      <c r="L122" s="59"/>
      <c r="M122" s="59" t="s">
        <v>3270</v>
      </c>
      <c r="N122" s="59" t="s">
        <v>3248</v>
      </c>
      <c r="O122" s="59" t="s">
        <v>3272</v>
      </c>
      <c r="P122" s="59" t="s">
        <v>3273</v>
      </c>
      <c r="Q122" s="59" t="s">
        <v>5467</v>
      </c>
      <c r="R122" s="59" t="s">
        <v>3275</v>
      </c>
      <c r="S122" s="59" t="s">
        <v>3253</v>
      </c>
      <c r="T122" s="59" t="s">
        <v>3277</v>
      </c>
      <c r="U122" s="59" t="s">
        <v>3255</v>
      </c>
      <c r="V122" s="59" t="s">
        <v>3256</v>
      </c>
      <c r="W122" s="59" t="s">
        <v>3280</v>
      </c>
      <c r="X122" s="59" t="s">
        <v>3258</v>
      </c>
    </row>
    <row r="123" spans="1:24" ht="17.25" x14ac:dyDescent="0.3">
      <c r="A123" s="59" t="s">
        <v>3282</v>
      </c>
      <c r="B123" s="59" t="s">
        <v>3329</v>
      </c>
      <c r="C123" s="59" t="s">
        <v>3307</v>
      </c>
      <c r="D123" s="59" t="s">
        <v>3262</v>
      </c>
      <c r="E123" s="59" t="s">
        <v>3263</v>
      </c>
      <c r="F123" s="59" t="s">
        <v>3287</v>
      </c>
      <c r="G123" s="59" t="s">
        <v>3288</v>
      </c>
      <c r="H123" s="59" t="s">
        <v>3266</v>
      </c>
      <c r="I123" s="59" t="s">
        <v>3290</v>
      </c>
      <c r="J123" s="59" t="s">
        <v>3268</v>
      </c>
      <c r="K123" s="59" t="s">
        <v>3292</v>
      </c>
      <c r="L123" s="59"/>
      <c r="M123" s="59" t="s">
        <v>3293</v>
      </c>
      <c r="N123" s="59" t="s">
        <v>3271</v>
      </c>
      <c r="O123" s="59" t="s">
        <v>3295</v>
      </c>
      <c r="P123" s="59" t="s">
        <v>3296</v>
      </c>
      <c r="Q123" s="59" t="s">
        <v>4937</v>
      </c>
      <c r="R123" s="59" t="s">
        <v>3298</v>
      </c>
      <c r="S123" s="59" t="s">
        <v>3276</v>
      </c>
      <c r="T123" s="59" t="s">
        <v>3300</v>
      </c>
      <c r="U123" s="59" t="s">
        <v>3278</v>
      </c>
      <c r="V123" s="59" t="s">
        <v>3279</v>
      </c>
      <c r="W123" s="59" t="s">
        <v>3303</v>
      </c>
      <c r="X123" s="59" t="s">
        <v>3281</v>
      </c>
    </row>
    <row r="124" spans="1:24" ht="17.25" x14ac:dyDescent="0.3">
      <c r="A124" s="59" t="s">
        <v>3305</v>
      </c>
      <c r="B124" s="59" t="s">
        <v>3351</v>
      </c>
      <c r="C124" s="59" t="s">
        <v>3330</v>
      </c>
      <c r="D124" s="59" t="s">
        <v>3285</v>
      </c>
      <c r="E124" s="59" t="s">
        <v>3286</v>
      </c>
      <c r="F124" s="59" t="s">
        <v>3310</v>
      </c>
      <c r="G124" s="59" t="s">
        <v>3311</v>
      </c>
      <c r="H124" s="59" t="s">
        <v>3289</v>
      </c>
      <c r="I124" s="59" t="s">
        <v>3313</v>
      </c>
      <c r="J124" s="59" t="s">
        <v>3291</v>
      </c>
      <c r="K124" s="59" t="s">
        <v>3315</v>
      </c>
      <c r="L124" s="59"/>
      <c r="M124" s="59" t="s">
        <v>3316</v>
      </c>
      <c r="N124" s="59" t="s">
        <v>3294</v>
      </c>
      <c r="O124" s="59" t="s">
        <v>3318</v>
      </c>
      <c r="P124" s="59" t="s">
        <v>3319</v>
      </c>
      <c r="Q124" s="59" t="s">
        <v>4979</v>
      </c>
      <c r="R124" s="59" t="s">
        <v>3321</v>
      </c>
      <c r="S124" s="59" t="s">
        <v>3299</v>
      </c>
      <c r="T124" s="59" t="s">
        <v>3323</v>
      </c>
      <c r="U124" s="59" t="s">
        <v>3301</v>
      </c>
      <c r="V124" s="59" t="s">
        <v>3302</v>
      </c>
      <c r="W124" s="59" t="s">
        <v>3326</v>
      </c>
      <c r="X124" s="59" t="s">
        <v>3304</v>
      </c>
    </row>
    <row r="125" spans="1:24" ht="17.25" x14ac:dyDescent="0.3">
      <c r="A125" s="59" t="s">
        <v>3328</v>
      </c>
      <c r="B125" s="59" t="s">
        <v>3373</v>
      </c>
      <c r="C125" s="59" t="s">
        <v>3352</v>
      </c>
      <c r="D125" s="59" t="s">
        <v>3308</v>
      </c>
      <c r="E125" s="59" t="s">
        <v>3309</v>
      </c>
      <c r="F125" s="59" t="s">
        <v>7006</v>
      </c>
      <c r="G125" s="59" t="s">
        <v>3333</v>
      </c>
      <c r="H125" s="59" t="s">
        <v>3312</v>
      </c>
      <c r="I125" s="59" t="s">
        <v>3357</v>
      </c>
      <c r="J125" s="59" t="s">
        <v>3314</v>
      </c>
      <c r="K125" s="59" t="s">
        <v>3337</v>
      </c>
      <c r="L125" s="59"/>
      <c r="M125" s="59" t="s">
        <v>3338</v>
      </c>
      <c r="N125" s="59" t="s">
        <v>3317</v>
      </c>
      <c r="O125" s="59" t="s">
        <v>3340</v>
      </c>
      <c r="P125" s="59" t="s">
        <v>3341</v>
      </c>
      <c r="Q125" s="59" t="s">
        <v>364</v>
      </c>
      <c r="R125" s="59" t="s">
        <v>3343</v>
      </c>
      <c r="S125" s="59" t="s">
        <v>3322</v>
      </c>
      <c r="T125" s="59" t="s">
        <v>3345</v>
      </c>
      <c r="U125" s="59" t="s">
        <v>3324</v>
      </c>
      <c r="V125" s="59" t="s">
        <v>3325</v>
      </c>
      <c r="W125" s="59" t="s">
        <v>3348</v>
      </c>
      <c r="X125" s="59" t="s">
        <v>3327</v>
      </c>
    </row>
    <row r="126" spans="1:24" ht="17.25" x14ac:dyDescent="0.3">
      <c r="A126" s="59" t="s">
        <v>3350</v>
      </c>
      <c r="B126" s="59" t="s">
        <v>3395</v>
      </c>
      <c r="C126" s="59" t="s">
        <v>3374</v>
      </c>
      <c r="D126" s="59" t="s">
        <v>3331</v>
      </c>
      <c r="E126" s="59" t="s">
        <v>3332</v>
      </c>
      <c r="F126" s="59" t="s">
        <v>7247</v>
      </c>
      <c r="G126" s="59" t="s">
        <v>3355</v>
      </c>
      <c r="H126" s="59" t="s">
        <v>3334</v>
      </c>
      <c r="I126" s="59" t="s">
        <v>3379</v>
      </c>
      <c r="J126" s="59" t="s">
        <v>3336</v>
      </c>
      <c r="K126" s="59" t="s">
        <v>3359</v>
      </c>
      <c r="L126" s="59"/>
      <c r="M126" s="59" t="s">
        <v>3360</v>
      </c>
      <c r="N126" s="59" t="s">
        <v>3339</v>
      </c>
      <c r="O126" s="59" t="s">
        <v>3362</v>
      </c>
      <c r="P126" s="59" t="s">
        <v>3363</v>
      </c>
      <c r="Q126" s="59" t="s">
        <v>3320</v>
      </c>
      <c r="R126" s="59" t="s">
        <v>3365</v>
      </c>
      <c r="S126" s="59" t="s">
        <v>3344</v>
      </c>
      <c r="T126" s="59" t="s">
        <v>3367</v>
      </c>
      <c r="U126" s="59" t="s">
        <v>3346</v>
      </c>
      <c r="V126" s="59" t="s">
        <v>3347</v>
      </c>
      <c r="W126" s="59" t="s">
        <v>3370</v>
      </c>
      <c r="X126" s="59" t="s">
        <v>3349</v>
      </c>
    </row>
    <row r="127" spans="1:24" ht="17.25" x14ac:dyDescent="0.3">
      <c r="A127" s="59" t="s">
        <v>3372</v>
      </c>
      <c r="B127" s="59" t="s">
        <v>3417</v>
      </c>
      <c r="C127" s="59" t="s">
        <v>3396</v>
      </c>
      <c r="D127" s="59" t="s">
        <v>3353</v>
      </c>
      <c r="E127" s="59" t="s">
        <v>3354</v>
      </c>
      <c r="F127" s="59"/>
      <c r="G127" s="59" t="s">
        <v>3377</v>
      </c>
      <c r="H127" s="59" t="s">
        <v>3356</v>
      </c>
      <c r="I127" s="59" t="s">
        <v>3401</v>
      </c>
      <c r="J127" s="59" t="s">
        <v>3358</v>
      </c>
      <c r="K127" s="59" t="s">
        <v>3381</v>
      </c>
      <c r="L127" s="59"/>
      <c r="M127" s="59" t="s">
        <v>3382</v>
      </c>
      <c r="N127" s="59" t="s">
        <v>3361</v>
      </c>
      <c r="O127" s="59" t="s">
        <v>3384</v>
      </c>
      <c r="P127" s="59" t="s">
        <v>3385</v>
      </c>
      <c r="Q127" s="59" t="s">
        <v>3562</v>
      </c>
      <c r="R127" s="59" t="s">
        <v>3387</v>
      </c>
      <c r="S127" s="59" t="s">
        <v>3366</v>
      </c>
      <c r="T127" s="59" t="s">
        <v>3389</v>
      </c>
      <c r="U127" s="59" t="s">
        <v>3368</v>
      </c>
      <c r="V127" s="59" t="s">
        <v>3369</v>
      </c>
      <c r="W127" s="59" t="s">
        <v>3392</v>
      </c>
      <c r="X127" s="59" t="s">
        <v>3371</v>
      </c>
    </row>
    <row r="128" spans="1:24" ht="17.25" x14ac:dyDescent="0.3">
      <c r="A128" s="59" t="s">
        <v>3394</v>
      </c>
      <c r="B128" s="59" t="s">
        <v>3439</v>
      </c>
      <c r="C128" s="59" t="s">
        <v>3418</v>
      </c>
      <c r="D128" s="59" t="s">
        <v>3375</v>
      </c>
      <c r="E128" s="59" t="s">
        <v>3376</v>
      </c>
      <c r="F128" s="59"/>
      <c r="G128" s="59" t="s">
        <v>3399</v>
      </c>
      <c r="H128" s="59" t="s">
        <v>3378</v>
      </c>
      <c r="I128" s="59" t="s">
        <v>3423</v>
      </c>
      <c r="J128" s="59" t="s">
        <v>3380</v>
      </c>
      <c r="K128" s="59" t="s">
        <v>3403</v>
      </c>
      <c r="L128" s="59"/>
      <c r="M128" s="59" t="s">
        <v>3404</v>
      </c>
      <c r="N128" s="59" t="s">
        <v>3383</v>
      </c>
      <c r="O128" s="59" t="s">
        <v>3406</v>
      </c>
      <c r="P128" s="59" t="s">
        <v>3407</v>
      </c>
      <c r="Q128" s="59" t="s">
        <v>3386</v>
      </c>
      <c r="R128" s="59" t="s">
        <v>3409</v>
      </c>
      <c r="S128" s="59" t="s">
        <v>3388</v>
      </c>
      <c r="T128" s="59" t="s">
        <v>3411</v>
      </c>
      <c r="U128" s="59" t="s">
        <v>3390</v>
      </c>
      <c r="V128" s="59" t="s">
        <v>3391</v>
      </c>
      <c r="W128" s="59" t="s">
        <v>3414</v>
      </c>
      <c r="X128" s="59" t="s">
        <v>3393</v>
      </c>
    </row>
    <row r="129" spans="1:24" ht="17.25" x14ac:dyDescent="0.3">
      <c r="A129" s="59" t="s">
        <v>3416</v>
      </c>
      <c r="B129" s="59" t="s">
        <v>3461</v>
      </c>
      <c r="C129" s="59" t="s">
        <v>3440</v>
      </c>
      <c r="D129" s="59" t="s">
        <v>3397</v>
      </c>
      <c r="E129" s="59" t="s">
        <v>3398</v>
      </c>
      <c r="F129" s="59"/>
      <c r="G129" s="59" t="s">
        <v>3421</v>
      </c>
      <c r="H129" s="59" t="s">
        <v>3400</v>
      </c>
      <c r="I129" s="59" t="s">
        <v>3445</v>
      </c>
      <c r="J129" s="59" t="s">
        <v>3402</v>
      </c>
      <c r="K129" s="59" t="s">
        <v>3425</v>
      </c>
      <c r="L129" s="59"/>
      <c r="M129" s="59" t="s">
        <v>3426</v>
      </c>
      <c r="N129" s="59" t="s">
        <v>3405</v>
      </c>
      <c r="O129" s="59" t="s">
        <v>3428</v>
      </c>
      <c r="P129" s="59" t="s">
        <v>3429</v>
      </c>
      <c r="Q129" s="59" t="s">
        <v>5551</v>
      </c>
      <c r="R129" s="59" t="s">
        <v>3431</v>
      </c>
      <c r="S129" s="59" t="s">
        <v>3410</v>
      </c>
      <c r="T129" s="59" t="s">
        <v>3433</v>
      </c>
      <c r="U129" s="59" t="s">
        <v>3412</v>
      </c>
      <c r="V129" s="59" t="s">
        <v>3413</v>
      </c>
      <c r="W129" s="59" t="s">
        <v>3436</v>
      </c>
      <c r="X129" s="59" t="s">
        <v>3415</v>
      </c>
    </row>
    <row r="130" spans="1:24" ht="17.25" x14ac:dyDescent="0.3">
      <c r="A130" s="59" t="s">
        <v>3438</v>
      </c>
      <c r="B130" s="59" t="s">
        <v>3483</v>
      </c>
      <c r="C130" s="59" t="s">
        <v>3462</v>
      </c>
      <c r="D130" s="59" t="s">
        <v>3419</v>
      </c>
      <c r="E130" s="59" t="s">
        <v>3420</v>
      </c>
      <c r="F130" s="59"/>
      <c r="G130" s="59" t="s">
        <v>3443</v>
      </c>
      <c r="H130" s="59" t="s">
        <v>3422</v>
      </c>
      <c r="I130" s="59" t="s">
        <v>3467</v>
      </c>
      <c r="J130" s="59" t="s">
        <v>3424</v>
      </c>
      <c r="K130" s="59" t="s">
        <v>3447</v>
      </c>
      <c r="L130" s="59"/>
      <c r="M130" s="59" t="s">
        <v>3448</v>
      </c>
      <c r="N130" s="59" t="s">
        <v>3427</v>
      </c>
      <c r="O130" s="59" t="s">
        <v>3450</v>
      </c>
      <c r="P130" s="59" t="s">
        <v>3451</v>
      </c>
      <c r="Q130" s="59" t="s">
        <v>3408</v>
      </c>
      <c r="R130" s="59" t="s">
        <v>3453</v>
      </c>
      <c r="S130" s="59" t="s">
        <v>3432</v>
      </c>
      <c r="T130" s="59" t="s">
        <v>3455</v>
      </c>
      <c r="U130" s="59" t="s">
        <v>3434</v>
      </c>
      <c r="V130" s="59" t="s">
        <v>3435</v>
      </c>
      <c r="W130" s="59" t="s">
        <v>3458</v>
      </c>
      <c r="X130" s="59" t="s">
        <v>3437</v>
      </c>
    </row>
    <row r="131" spans="1:24" ht="17.25" x14ac:dyDescent="0.3">
      <c r="A131" s="59" t="s">
        <v>3460</v>
      </c>
      <c r="B131" s="59" t="s">
        <v>3505</v>
      </c>
      <c r="C131" s="59" t="s">
        <v>3484</v>
      </c>
      <c r="D131" s="59" t="s">
        <v>3441</v>
      </c>
      <c r="E131" s="59" t="s">
        <v>3442</v>
      </c>
      <c r="F131" s="59"/>
      <c r="G131" s="59" t="s">
        <v>3465</v>
      </c>
      <c r="H131" s="59" t="s">
        <v>3444</v>
      </c>
      <c r="I131" s="59" t="s">
        <v>3489</v>
      </c>
      <c r="J131" s="59" t="s">
        <v>3446</v>
      </c>
      <c r="K131" s="59" t="s">
        <v>3469</v>
      </c>
      <c r="L131" s="59"/>
      <c r="M131" s="59" t="s">
        <v>3470</v>
      </c>
      <c r="N131" s="59" t="s">
        <v>3449</v>
      </c>
      <c r="O131" s="59" t="s">
        <v>3472</v>
      </c>
      <c r="P131" s="59" t="s">
        <v>3473</v>
      </c>
      <c r="Q131" s="59" t="s">
        <v>3672</v>
      </c>
      <c r="R131" s="59" t="s">
        <v>3475</v>
      </c>
      <c r="S131" s="59" t="s">
        <v>3454</v>
      </c>
      <c r="T131" s="59" t="s">
        <v>3477</v>
      </c>
      <c r="U131" s="59" t="s">
        <v>3456</v>
      </c>
      <c r="V131" s="59" t="s">
        <v>3457</v>
      </c>
      <c r="W131" s="59" t="s">
        <v>3480</v>
      </c>
      <c r="X131" s="59" t="s">
        <v>3459</v>
      </c>
    </row>
    <row r="132" spans="1:24" ht="17.25" x14ac:dyDescent="0.3">
      <c r="A132" s="59" t="s">
        <v>3482</v>
      </c>
      <c r="B132" s="59" t="s">
        <v>3527</v>
      </c>
      <c r="C132" s="59" t="s">
        <v>3506</v>
      </c>
      <c r="D132" s="59" t="s">
        <v>3463</v>
      </c>
      <c r="E132" s="59" t="s">
        <v>3464</v>
      </c>
      <c r="F132" s="59"/>
      <c r="G132" s="59" t="s">
        <v>3487</v>
      </c>
      <c r="H132" s="59" t="s">
        <v>3466</v>
      </c>
      <c r="I132" s="59" t="s">
        <v>3511</v>
      </c>
      <c r="J132" s="59" t="s">
        <v>3468</v>
      </c>
      <c r="K132" s="59" t="s">
        <v>3491</v>
      </c>
      <c r="L132" s="59"/>
      <c r="M132" s="59" t="s">
        <v>3492</v>
      </c>
      <c r="N132" s="59" t="s">
        <v>3471</v>
      </c>
      <c r="O132" s="59" t="s">
        <v>3494</v>
      </c>
      <c r="P132" s="59" t="s">
        <v>3495</v>
      </c>
      <c r="Q132" s="59" t="s">
        <v>1187</v>
      </c>
      <c r="R132" s="59" t="s">
        <v>3497</v>
      </c>
      <c r="S132" s="59" t="s">
        <v>3476</v>
      </c>
      <c r="T132" s="59" t="s">
        <v>3499</v>
      </c>
      <c r="U132" s="59" t="s">
        <v>3478</v>
      </c>
      <c r="V132" s="59" t="s">
        <v>3479</v>
      </c>
      <c r="W132" s="59" t="s">
        <v>3502</v>
      </c>
      <c r="X132" s="59" t="s">
        <v>3481</v>
      </c>
    </row>
    <row r="133" spans="1:24" ht="17.25" x14ac:dyDescent="0.3">
      <c r="A133" s="59" t="s">
        <v>3504</v>
      </c>
      <c r="B133" s="59" t="s">
        <v>3549</v>
      </c>
      <c r="C133" s="59" t="s">
        <v>3528</v>
      </c>
      <c r="D133" s="59" t="s">
        <v>3485</v>
      </c>
      <c r="E133" s="59" t="s">
        <v>3486</v>
      </c>
      <c r="F133" s="59"/>
      <c r="G133" s="59" t="s">
        <v>3509</v>
      </c>
      <c r="H133" s="59" t="s">
        <v>3488</v>
      </c>
      <c r="I133" s="59" t="s">
        <v>3533</v>
      </c>
      <c r="J133" s="59" t="s">
        <v>3490</v>
      </c>
      <c r="K133" s="59" t="s">
        <v>3513</v>
      </c>
      <c r="L133" s="59"/>
      <c r="M133" s="59" t="s">
        <v>3514</v>
      </c>
      <c r="N133" s="59" t="s">
        <v>3493</v>
      </c>
      <c r="O133" s="59" t="s">
        <v>3516</v>
      </c>
      <c r="P133" s="59" t="s">
        <v>3517</v>
      </c>
      <c r="Q133" s="59" t="s">
        <v>414</v>
      </c>
      <c r="R133" s="59" t="s">
        <v>3519</v>
      </c>
      <c r="S133" s="59" t="s">
        <v>3498</v>
      </c>
      <c r="T133" s="59" t="s">
        <v>3521</v>
      </c>
      <c r="U133" s="59" t="s">
        <v>3500</v>
      </c>
      <c r="V133" s="59" t="s">
        <v>3501</v>
      </c>
      <c r="W133" s="59" t="s">
        <v>3524</v>
      </c>
      <c r="X133" s="59" t="s">
        <v>3503</v>
      </c>
    </row>
    <row r="134" spans="1:24" ht="17.25" x14ac:dyDescent="0.3">
      <c r="A134" s="59" t="s">
        <v>3526</v>
      </c>
      <c r="B134" s="59" t="s">
        <v>3571</v>
      </c>
      <c r="C134" s="59" t="s">
        <v>3550</v>
      </c>
      <c r="D134" s="59" t="s">
        <v>3507</v>
      </c>
      <c r="E134" s="59" t="s">
        <v>3508</v>
      </c>
      <c r="F134" s="59"/>
      <c r="G134" s="59" t="s">
        <v>3531</v>
      </c>
      <c r="H134" s="59" t="s">
        <v>3510</v>
      </c>
      <c r="I134" s="59" t="s">
        <v>3555</v>
      </c>
      <c r="J134" s="59" t="s">
        <v>3512</v>
      </c>
      <c r="K134" s="59" t="s">
        <v>3535</v>
      </c>
      <c r="L134" s="59"/>
      <c r="M134" s="59" t="s">
        <v>3536</v>
      </c>
      <c r="N134" s="59" t="s">
        <v>3515</v>
      </c>
      <c r="O134" s="59" t="s">
        <v>3538</v>
      </c>
      <c r="P134" s="59" t="s">
        <v>3539</v>
      </c>
      <c r="Q134" s="59" t="s">
        <v>2070</v>
      </c>
      <c r="R134" s="59" t="s">
        <v>3541</v>
      </c>
      <c r="S134" s="59" t="s">
        <v>3520</v>
      </c>
      <c r="T134" s="59" t="s">
        <v>3543</v>
      </c>
      <c r="U134" s="59" t="s">
        <v>3522</v>
      </c>
      <c r="V134" s="59" t="s">
        <v>3523</v>
      </c>
      <c r="W134" s="59" t="s">
        <v>3546</v>
      </c>
      <c r="X134" s="59" t="s">
        <v>3525</v>
      </c>
    </row>
    <row r="135" spans="1:24" ht="17.25" x14ac:dyDescent="0.3">
      <c r="A135" s="59" t="s">
        <v>3548</v>
      </c>
      <c r="B135" s="59" t="s">
        <v>3593</v>
      </c>
      <c r="C135" s="59" t="s">
        <v>3572</v>
      </c>
      <c r="D135" s="59" t="s">
        <v>3529</v>
      </c>
      <c r="E135" s="59" t="s">
        <v>3530</v>
      </c>
      <c r="F135" s="59"/>
      <c r="G135" s="59" t="s">
        <v>3553</v>
      </c>
      <c r="H135" s="59" t="s">
        <v>3532</v>
      </c>
      <c r="I135" s="59" t="s">
        <v>3577</v>
      </c>
      <c r="J135" s="59" t="s">
        <v>3534</v>
      </c>
      <c r="K135" s="59" t="s">
        <v>3557</v>
      </c>
      <c r="L135" s="59"/>
      <c r="M135" s="59" t="s">
        <v>3558</v>
      </c>
      <c r="N135" s="59" t="s">
        <v>3537</v>
      </c>
      <c r="O135" s="59" t="s">
        <v>3560</v>
      </c>
      <c r="P135" s="59" t="s">
        <v>3561</v>
      </c>
      <c r="Q135" s="59" t="s">
        <v>2644</v>
      </c>
      <c r="R135" s="59" t="s">
        <v>3563</v>
      </c>
      <c r="S135" s="59" t="s">
        <v>3542</v>
      </c>
      <c r="T135" s="59" t="s">
        <v>3565</v>
      </c>
      <c r="U135" s="59" t="s">
        <v>3544</v>
      </c>
      <c r="V135" s="59" t="s">
        <v>3545</v>
      </c>
      <c r="W135" s="59" t="s">
        <v>3568</v>
      </c>
      <c r="X135" s="59" t="s">
        <v>3547</v>
      </c>
    </row>
    <row r="136" spans="1:24" ht="17.25" x14ac:dyDescent="0.3">
      <c r="A136" s="59" t="s">
        <v>3570</v>
      </c>
      <c r="B136" s="59" t="s">
        <v>3615</v>
      </c>
      <c r="C136" s="59" t="s">
        <v>3594</v>
      </c>
      <c r="D136" s="59" t="s">
        <v>3551</v>
      </c>
      <c r="E136" s="59" t="s">
        <v>3552</v>
      </c>
      <c r="F136" s="59"/>
      <c r="G136" s="59" t="s">
        <v>3575</v>
      </c>
      <c r="H136" s="59" t="s">
        <v>3554</v>
      </c>
      <c r="I136" s="59" t="s">
        <v>3599</v>
      </c>
      <c r="J136" s="59" t="s">
        <v>3556</v>
      </c>
      <c r="K136" s="59" t="s">
        <v>3579</v>
      </c>
      <c r="L136" s="59"/>
      <c r="M136" s="59" t="s">
        <v>3580</v>
      </c>
      <c r="N136" s="59" t="s">
        <v>3559</v>
      </c>
      <c r="O136" s="59" t="s">
        <v>3582</v>
      </c>
      <c r="P136" s="59" t="s">
        <v>3583</v>
      </c>
      <c r="Q136" s="59" t="s">
        <v>5216</v>
      </c>
      <c r="R136" s="59" t="s">
        <v>3585</v>
      </c>
      <c r="S136" s="59" t="s">
        <v>3564</v>
      </c>
      <c r="T136" s="59" t="s">
        <v>3587</v>
      </c>
      <c r="U136" s="59" t="s">
        <v>3566</v>
      </c>
      <c r="V136" s="59" t="s">
        <v>3567</v>
      </c>
      <c r="W136" s="59" t="s">
        <v>3590</v>
      </c>
      <c r="X136" s="59" t="s">
        <v>3569</v>
      </c>
    </row>
    <row r="137" spans="1:24" ht="17.25" x14ac:dyDescent="0.3">
      <c r="A137" s="59" t="s">
        <v>3592</v>
      </c>
      <c r="B137" s="59" t="s">
        <v>3637</v>
      </c>
      <c r="C137" s="59" t="s">
        <v>3616</v>
      </c>
      <c r="D137" s="59" t="s">
        <v>3573</v>
      </c>
      <c r="E137" s="59" t="s">
        <v>3574</v>
      </c>
      <c r="F137" s="59"/>
      <c r="G137" s="59" t="s">
        <v>3597</v>
      </c>
      <c r="H137" s="59" t="s">
        <v>3576</v>
      </c>
      <c r="I137" s="59" t="s">
        <v>3621</v>
      </c>
      <c r="J137" s="59" t="s">
        <v>3578</v>
      </c>
      <c r="K137" s="59" t="s">
        <v>3601</v>
      </c>
      <c r="L137" s="59"/>
      <c r="M137" s="59" t="s">
        <v>3602</v>
      </c>
      <c r="N137" s="59" t="s">
        <v>3581</v>
      </c>
      <c r="O137" s="59" t="s">
        <v>3604</v>
      </c>
      <c r="P137" s="59" t="s">
        <v>3605</v>
      </c>
      <c r="Q137" s="59" t="s">
        <v>3888</v>
      </c>
      <c r="R137" s="59" t="s">
        <v>3607</v>
      </c>
      <c r="S137" s="59" t="s">
        <v>3586</v>
      </c>
      <c r="T137" s="59" t="s">
        <v>3609</v>
      </c>
      <c r="U137" s="59" t="s">
        <v>3588</v>
      </c>
      <c r="V137" s="59" t="s">
        <v>3589</v>
      </c>
      <c r="W137" s="59" t="s">
        <v>3612</v>
      </c>
      <c r="X137" s="59" t="s">
        <v>3591</v>
      </c>
    </row>
    <row r="138" spans="1:24" ht="17.25" x14ac:dyDescent="0.3">
      <c r="A138" s="59" t="s">
        <v>3614</v>
      </c>
      <c r="B138" s="59" t="s">
        <v>3659</v>
      </c>
      <c r="C138" s="59" t="s">
        <v>3638</v>
      </c>
      <c r="D138" s="59" t="s">
        <v>3595</v>
      </c>
      <c r="E138" s="59" t="s">
        <v>3596</v>
      </c>
      <c r="F138" s="59"/>
      <c r="G138" s="59" t="s">
        <v>3619</v>
      </c>
      <c r="H138" s="59" t="s">
        <v>3598</v>
      </c>
      <c r="I138" s="59" t="s">
        <v>3643</v>
      </c>
      <c r="J138" s="59" t="s">
        <v>3600</v>
      </c>
      <c r="K138" s="59" t="s">
        <v>3623</v>
      </c>
      <c r="L138" s="59"/>
      <c r="M138" s="59" t="s">
        <v>3624</v>
      </c>
      <c r="N138" s="59" t="s">
        <v>3603</v>
      </c>
      <c r="O138" s="59" t="s">
        <v>3626</v>
      </c>
      <c r="P138" s="59" t="s">
        <v>3627</v>
      </c>
      <c r="Q138" s="59" t="s">
        <v>4867</v>
      </c>
      <c r="R138" s="59" t="s">
        <v>3629</v>
      </c>
      <c r="S138" s="59" t="s">
        <v>3608</v>
      </c>
      <c r="T138" s="59" t="s">
        <v>3631</v>
      </c>
      <c r="U138" s="59" t="s">
        <v>3610</v>
      </c>
      <c r="V138" s="59" t="s">
        <v>3611</v>
      </c>
      <c r="W138" s="59" t="s">
        <v>3634</v>
      </c>
      <c r="X138" s="59" t="s">
        <v>3613</v>
      </c>
    </row>
    <row r="139" spans="1:24" ht="17.25" x14ac:dyDescent="0.3">
      <c r="A139" s="59" t="s">
        <v>3636</v>
      </c>
      <c r="B139" s="59" t="s">
        <v>3681</v>
      </c>
      <c r="C139" s="59" t="s">
        <v>3660</v>
      </c>
      <c r="D139" s="59" t="s">
        <v>3617</v>
      </c>
      <c r="E139" s="59" t="s">
        <v>3618</v>
      </c>
      <c r="F139" s="59"/>
      <c r="G139" s="59" t="s">
        <v>3641</v>
      </c>
      <c r="H139" s="59" t="s">
        <v>3620</v>
      </c>
      <c r="I139" s="59" t="s">
        <v>3665</v>
      </c>
      <c r="J139" s="59" t="s">
        <v>3622</v>
      </c>
      <c r="K139" s="59" t="s">
        <v>3645</v>
      </c>
      <c r="L139" s="59"/>
      <c r="M139" s="59" t="s">
        <v>3646</v>
      </c>
      <c r="N139" s="59" t="s">
        <v>3625</v>
      </c>
      <c r="O139" s="59" t="s">
        <v>3648</v>
      </c>
      <c r="P139" s="59" t="s">
        <v>3649</v>
      </c>
      <c r="Q139" s="59" t="s">
        <v>4011</v>
      </c>
      <c r="R139" s="59" t="s">
        <v>3651</v>
      </c>
      <c r="S139" s="59" t="s">
        <v>3630</v>
      </c>
      <c r="T139" s="59" t="s">
        <v>3653</v>
      </c>
      <c r="U139" s="59" t="s">
        <v>3632</v>
      </c>
      <c r="V139" s="59" t="s">
        <v>3633</v>
      </c>
      <c r="W139" s="59" t="s">
        <v>3656</v>
      </c>
      <c r="X139" s="59" t="s">
        <v>3635</v>
      </c>
    </row>
    <row r="140" spans="1:24" ht="17.25" x14ac:dyDescent="0.3">
      <c r="A140" s="59" t="s">
        <v>3658</v>
      </c>
      <c r="B140" s="59" t="s">
        <v>3703</v>
      </c>
      <c r="C140" s="59" t="s">
        <v>3682</v>
      </c>
      <c r="D140" s="59" t="s">
        <v>3639</v>
      </c>
      <c r="E140" s="59" t="s">
        <v>3640</v>
      </c>
      <c r="F140" s="59"/>
      <c r="G140" s="59" t="s">
        <v>3663</v>
      </c>
      <c r="H140" s="59" t="s">
        <v>3642</v>
      </c>
      <c r="I140" s="59" t="s">
        <v>3687</v>
      </c>
      <c r="J140" s="59" t="s">
        <v>3644</v>
      </c>
      <c r="K140" s="59" t="s">
        <v>3667</v>
      </c>
      <c r="L140" s="59"/>
      <c r="M140" s="59" t="s">
        <v>3668</v>
      </c>
      <c r="N140" s="59" t="s">
        <v>3647</v>
      </c>
      <c r="O140" s="59" t="s">
        <v>3670</v>
      </c>
      <c r="P140" s="59" t="s">
        <v>3671</v>
      </c>
      <c r="Q140" s="59" t="s">
        <v>4797</v>
      </c>
      <c r="R140" s="59" t="s">
        <v>3673</v>
      </c>
      <c r="S140" s="59" t="s">
        <v>3652</v>
      </c>
      <c r="T140" s="59" t="s">
        <v>3675</v>
      </c>
      <c r="U140" s="59" t="s">
        <v>3654</v>
      </c>
      <c r="V140" s="59" t="s">
        <v>3655</v>
      </c>
      <c r="W140" s="59" t="s">
        <v>3678</v>
      </c>
      <c r="X140" s="59" t="s">
        <v>3657</v>
      </c>
    </row>
    <row r="141" spans="1:24" ht="17.25" x14ac:dyDescent="0.3">
      <c r="A141" s="59" t="s">
        <v>3680</v>
      </c>
      <c r="B141" s="59" t="s">
        <v>3725</v>
      </c>
      <c r="C141" s="59" t="s">
        <v>3704</v>
      </c>
      <c r="D141" s="59" t="s">
        <v>3661</v>
      </c>
      <c r="E141" s="59" t="s">
        <v>3662</v>
      </c>
      <c r="F141" s="59"/>
      <c r="G141" s="59" t="s">
        <v>3685</v>
      </c>
      <c r="H141" s="59" t="s">
        <v>3664</v>
      </c>
      <c r="I141" s="59" t="s">
        <v>3709</v>
      </c>
      <c r="J141" s="59" t="s">
        <v>3666</v>
      </c>
      <c r="K141" s="59" t="s">
        <v>3689</v>
      </c>
      <c r="L141" s="59"/>
      <c r="M141" s="59" t="s">
        <v>3690</v>
      </c>
      <c r="N141" s="59" t="s">
        <v>3669</v>
      </c>
      <c r="O141" s="59" t="s">
        <v>3692</v>
      </c>
      <c r="P141" s="59" t="s">
        <v>3693</v>
      </c>
      <c r="Q141" s="59" t="s">
        <v>5188</v>
      </c>
      <c r="R141" s="59" t="s">
        <v>3695</v>
      </c>
      <c r="S141" s="59" t="s">
        <v>3674</v>
      </c>
      <c r="T141" s="59" t="s">
        <v>3697</v>
      </c>
      <c r="U141" s="59" t="s">
        <v>3676</v>
      </c>
      <c r="V141" s="59" t="s">
        <v>3677</v>
      </c>
      <c r="W141" s="59" t="s">
        <v>3700</v>
      </c>
      <c r="X141" s="59" t="s">
        <v>3679</v>
      </c>
    </row>
    <row r="142" spans="1:24" ht="17.25" x14ac:dyDescent="0.3">
      <c r="A142" s="59" t="s">
        <v>3702</v>
      </c>
      <c r="B142" s="59" t="s">
        <v>3747</v>
      </c>
      <c r="C142" s="59" t="s">
        <v>3726</v>
      </c>
      <c r="D142" s="59" t="s">
        <v>3683</v>
      </c>
      <c r="E142" s="59" t="s">
        <v>3684</v>
      </c>
      <c r="F142" s="59"/>
      <c r="G142" s="59" t="s">
        <v>3707</v>
      </c>
      <c r="H142" s="59" t="s">
        <v>3686</v>
      </c>
      <c r="I142" s="59" t="s">
        <v>3731</v>
      </c>
      <c r="J142" s="59" t="s">
        <v>3688</v>
      </c>
      <c r="K142" s="59" t="s">
        <v>3711</v>
      </c>
      <c r="L142" s="59"/>
      <c r="M142" s="59" t="s">
        <v>3712</v>
      </c>
      <c r="N142" s="59" t="s">
        <v>3691</v>
      </c>
      <c r="O142" s="59" t="s">
        <v>3714</v>
      </c>
      <c r="P142" s="59" t="s">
        <v>3715</v>
      </c>
      <c r="Q142" s="59" t="s">
        <v>5202</v>
      </c>
      <c r="R142" s="59" t="s">
        <v>3717</v>
      </c>
      <c r="S142" s="59" t="s">
        <v>3696</v>
      </c>
      <c r="T142" s="59" t="s">
        <v>3719</v>
      </c>
      <c r="U142" s="59" t="s">
        <v>3698</v>
      </c>
      <c r="V142" s="59" t="s">
        <v>3699</v>
      </c>
      <c r="W142" s="59" t="s">
        <v>3722</v>
      </c>
      <c r="X142" s="59" t="s">
        <v>3701</v>
      </c>
    </row>
    <row r="143" spans="1:24" ht="17.25" x14ac:dyDescent="0.3">
      <c r="A143" s="59" t="s">
        <v>3724</v>
      </c>
      <c r="B143" s="59" t="s">
        <v>3769</v>
      </c>
      <c r="C143" s="59" t="s">
        <v>3748</v>
      </c>
      <c r="D143" s="59" t="s">
        <v>3705</v>
      </c>
      <c r="E143" s="59" t="s">
        <v>3706</v>
      </c>
      <c r="F143" s="59"/>
      <c r="G143" s="59" t="s">
        <v>3729</v>
      </c>
      <c r="H143" s="59" t="s">
        <v>3708</v>
      </c>
      <c r="I143" s="59" t="s">
        <v>3753</v>
      </c>
      <c r="J143" s="59" t="s">
        <v>3710</v>
      </c>
      <c r="K143" s="59" t="s">
        <v>3733</v>
      </c>
      <c r="L143" s="59"/>
      <c r="M143" s="59" t="s">
        <v>3734</v>
      </c>
      <c r="N143" s="59" t="s">
        <v>3713</v>
      </c>
      <c r="O143" s="59" t="s">
        <v>3736</v>
      </c>
      <c r="P143" s="59" t="s">
        <v>3737</v>
      </c>
      <c r="Q143" s="59" t="s">
        <v>2596</v>
      </c>
      <c r="R143" s="59" t="s">
        <v>3739</v>
      </c>
      <c r="S143" s="59" t="s">
        <v>3718</v>
      </c>
      <c r="T143" s="59" t="s">
        <v>3741</v>
      </c>
      <c r="U143" s="59" t="s">
        <v>3720</v>
      </c>
      <c r="V143" s="59" t="s">
        <v>3721</v>
      </c>
      <c r="W143" s="59" t="s">
        <v>3744</v>
      </c>
      <c r="X143" s="59" t="s">
        <v>3723</v>
      </c>
    </row>
    <row r="144" spans="1:24" ht="17.25" x14ac:dyDescent="0.3">
      <c r="A144" s="59" t="s">
        <v>3746</v>
      </c>
      <c r="B144" s="59" t="s">
        <v>3791</v>
      </c>
      <c r="C144" s="59" t="s">
        <v>3770</v>
      </c>
      <c r="D144" s="59" t="s">
        <v>3727</v>
      </c>
      <c r="E144" s="59" t="s">
        <v>3728</v>
      </c>
      <c r="F144" s="59"/>
      <c r="G144" s="59" t="s">
        <v>3751</v>
      </c>
      <c r="H144" s="59" t="s">
        <v>3730</v>
      </c>
      <c r="I144" s="59" t="s">
        <v>3775</v>
      </c>
      <c r="J144" s="59" t="s">
        <v>3732</v>
      </c>
      <c r="K144" s="59" t="s">
        <v>3755</v>
      </c>
      <c r="L144" s="59"/>
      <c r="M144" s="59" t="s">
        <v>3756</v>
      </c>
      <c r="N144" s="59" t="s">
        <v>3735</v>
      </c>
      <c r="O144" s="59" t="s">
        <v>3758</v>
      </c>
      <c r="P144" s="59" t="s">
        <v>3759</v>
      </c>
      <c r="Q144" s="59" t="s">
        <v>987</v>
      </c>
      <c r="R144" s="59" t="s">
        <v>3761</v>
      </c>
      <c r="S144" s="59" t="s">
        <v>3740</v>
      </c>
      <c r="T144" s="59" t="s">
        <v>3763</v>
      </c>
      <c r="U144" s="59" t="s">
        <v>3742</v>
      </c>
      <c r="V144" s="59" t="s">
        <v>3743</v>
      </c>
      <c r="W144" s="59" t="s">
        <v>3766</v>
      </c>
      <c r="X144" s="59" t="s">
        <v>3745</v>
      </c>
    </row>
    <row r="145" spans="1:24" ht="17.25" x14ac:dyDescent="0.3">
      <c r="A145" s="59" t="s">
        <v>3768</v>
      </c>
      <c r="B145" s="59" t="s">
        <v>3813</v>
      </c>
      <c r="C145" s="59" t="s">
        <v>3792</v>
      </c>
      <c r="D145" s="59" t="s">
        <v>3749</v>
      </c>
      <c r="E145" s="59" t="s">
        <v>3750</v>
      </c>
      <c r="F145" s="59"/>
      <c r="G145" s="59" t="s">
        <v>3773</v>
      </c>
      <c r="H145" s="59" t="s">
        <v>3752</v>
      </c>
      <c r="I145" s="59" t="s">
        <v>3797</v>
      </c>
      <c r="J145" s="59" t="s">
        <v>3754</v>
      </c>
      <c r="K145" s="59" t="s">
        <v>3777</v>
      </c>
      <c r="L145" s="59"/>
      <c r="M145" s="59" t="s">
        <v>3778</v>
      </c>
      <c r="N145" s="59" t="s">
        <v>3757</v>
      </c>
      <c r="O145" s="59" t="s">
        <v>3780</v>
      </c>
      <c r="P145" s="59" t="s">
        <v>3781</v>
      </c>
      <c r="Q145" s="59" t="s">
        <v>5133</v>
      </c>
      <c r="R145" s="59" t="s">
        <v>3783</v>
      </c>
      <c r="S145" s="59" t="s">
        <v>3762</v>
      </c>
      <c r="T145" s="59" t="s">
        <v>3785</v>
      </c>
      <c r="U145" s="59" t="s">
        <v>3764</v>
      </c>
      <c r="V145" s="59" t="s">
        <v>3765</v>
      </c>
      <c r="W145" s="59" t="s">
        <v>3788</v>
      </c>
      <c r="X145" s="59" t="s">
        <v>3767</v>
      </c>
    </row>
    <row r="146" spans="1:24" ht="17.25" x14ac:dyDescent="0.3">
      <c r="A146" s="59" t="s">
        <v>3790</v>
      </c>
      <c r="B146" s="59" t="s">
        <v>3834</v>
      </c>
      <c r="C146" s="59" t="s">
        <v>3814</v>
      </c>
      <c r="D146" s="59" t="s">
        <v>3771</v>
      </c>
      <c r="E146" s="59" t="s">
        <v>3772</v>
      </c>
      <c r="F146" s="59"/>
      <c r="G146" s="59" t="s">
        <v>3795</v>
      </c>
      <c r="H146" s="59" t="s">
        <v>3774</v>
      </c>
      <c r="I146" s="59" t="s">
        <v>3819</v>
      </c>
      <c r="J146" s="59" t="s">
        <v>3776</v>
      </c>
      <c r="K146" s="59" t="s">
        <v>3799</v>
      </c>
      <c r="L146" s="59"/>
      <c r="M146" s="59" t="s">
        <v>3800</v>
      </c>
      <c r="N146" s="59" t="s">
        <v>3779</v>
      </c>
      <c r="O146" s="59" t="s">
        <v>3802</v>
      </c>
      <c r="P146" s="59" t="s">
        <v>3803</v>
      </c>
      <c r="Q146" s="59" t="s">
        <v>3650</v>
      </c>
      <c r="R146" s="59" t="s">
        <v>3805</v>
      </c>
      <c r="S146" s="59" t="s">
        <v>3784</v>
      </c>
      <c r="T146" s="59" t="s">
        <v>3807</v>
      </c>
      <c r="U146" s="59" t="s">
        <v>3786</v>
      </c>
      <c r="V146" s="59" t="s">
        <v>3787</v>
      </c>
      <c r="W146" s="59" t="s">
        <v>3810</v>
      </c>
      <c r="X146" s="59" t="s">
        <v>3789</v>
      </c>
    </row>
    <row r="147" spans="1:24" ht="17.25" x14ac:dyDescent="0.3">
      <c r="A147" s="59" t="s">
        <v>3812</v>
      </c>
      <c r="B147" s="59" t="s">
        <v>3855</v>
      </c>
      <c r="C147" s="59" t="s">
        <v>3856</v>
      </c>
      <c r="D147" s="59" t="s">
        <v>3793</v>
      </c>
      <c r="E147" s="59" t="s">
        <v>3794</v>
      </c>
      <c r="F147" s="59"/>
      <c r="G147" s="59" t="s">
        <v>3817</v>
      </c>
      <c r="H147" s="59" t="s">
        <v>3796</v>
      </c>
      <c r="I147" s="59" t="s">
        <v>3840</v>
      </c>
      <c r="J147" s="59" t="s">
        <v>3798</v>
      </c>
      <c r="K147" s="59" t="s">
        <v>3821</v>
      </c>
      <c r="L147" s="59"/>
      <c r="M147" s="59" t="s">
        <v>3822</v>
      </c>
      <c r="N147" s="59" t="s">
        <v>3801</v>
      </c>
      <c r="O147" s="59" t="s">
        <v>3824</v>
      </c>
      <c r="P147" s="59" t="s">
        <v>3825</v>
      </c>
      <c r="Q147" s="59" t="s">
        <v>5563</v>
      </c>
      <c r="R147" s="59" t="s">
        <v>3827</v>
      </c>
      <c r="S147" s="59" t="s">
        <v>3806</v>
      </c>
      <c r="T147" s="59" t="s">
        <v>3829</v>
      </c>
      <c r="U147" s="59" t="s">
        <v>3808</v>
      </c>
      <c r="V147" s="59" t="s">
        <v>3809</v>
      </c>
      <c r="W147" s="59" t="s">
        <v>3832</v>
      </c>
      <c r="X147" s="59" t="s">
        <v>3811</v>
      </c>
    </row>
    <row r="148" spans="1:24" ht="17.25" x14ac:dyDescent="0.3">
      <c r="A148" s="59" t="s">
        <v>3833</v>
      </c>
      <c r="B148" s="59" t="s">
        <v>3875</v>
      </c>
      <c r="C148" s="59" t="s">
        <v>3876</v>
      </c>
      <c r="D148" s="59" t="s">
        <v>3815</v>
      </c>
      <c r="E148" s="59" t="s">
        <v>3816</v>
      </c>
      <c r="F148" s="59"/>
      <c r="G148" s="59" t="s">
        <v>3838</v>
      </c>
      <c r="H148" s="59" t="s">
        <v>3818</v>
      </c>
      <c r="I148" s="59" t="s">
        <v>3860</v>
      </c>
      <c r="J148" s="59" t="s">
        <v>3820</v>
      </c>
      <c r="K148" s="59" t="s">
        <v>3842</v>
      </c>
      <c r="L148" s="59"/>
      <c r="M148" s="59" t="s">
        <v>3843</v>
      </c>
      <c r="N148" s="59" t="s">
        <v>3823</v>
      </c>
      <c r="O148" s="59" t="s">
        <v>3845</v>
      </c>
      <c r="P148" s="59" t="s">
        <v>3846</v>
      </c>
      <c r="Q148" s="59" t="s">
        <v>4346</v>
      </c>
      <c r="R148" s="59" t="s">
        <v>3848</v>
      </c>
      <c r="S148" s="59" t="s">
        <v>3828</v>
      </c>
      <c r="T148" s="59" t="s">
        <v>3850</v>
      </c>
      <c r="U148" s="59" t="s">
        <v>3830</v>
      </c>
      <c r="V148" s="59" t="s">
        <v>3831</v>
      </c>
      <c r="W148" s="59" t="s">
        <v>3853</v>
      </c>
      <c r="X148" s="59" t="s">
        <v>7007</v>
      </c>
    </row>
    <row r="149" spans="1:24" ht="17.25" x14ac:dyDescent="0.3">
      <c r="A149" s="59" t="s">
        <v>3854</v>
      </c>
      <c r="B149" s="59" t="s">
        <v>3896</v>
      </c>
      <c r="C149" s="59" t="s">
        <v>3897</v>
      </c>
      <c r="D149" s="59" t="s">
        <v>3836</v>
      </c>
      <c r="E149" s="59" t="s">
        <v>3837</v>
      </c>
      <c r="F149" s="59"/>
      <c r="G149" s="59" t="s">
        <v>3879</v>
      </c>
      <c r="H149" s="59" t="s">
        <v>3839</v>
      </c>
      <c r="I149" s="59" t="s">
        <v>3881</v>
      </c>
      <c r="J149" s="59" t="s">
        <v>3841</v>
      </c>
      <c r="K149" s="59" t="s">
        <v>3862</v>
      </c>
      <c r="L149" s="59"/>
      <c r="M149" s="59" t="s">
        <v>3863</v>
      </c>
      <c r="N149" s="59" t="s">
        <v>3844</v>
      </c>
      <c r="O149" s="59" t="s">
        <v>3865</v>
      </c>
      <c r="P149" s="59" t="s">
        <v>3866</v>
      </c>
      <c r="Q149" s="59" t="s">
        <v>4519</v>
      </c>
      <c r="R149" s="59" t="s">
        <v>3868</v>
      </c>
      <c r="S149" s="59" t="s">
        <v>3849</v>
      </c>
      <c r="T149" s="59" t="s">
        <v>3870</v>
      </c>
      <c r="U149" s="59" t="s">
        <v>3851</v>
      </c>
      <c r="V149" s="59" t="s">
        <v>3852</v>
      </c>
      <c r="W149" s="59" t="s">
        <v>3873</v>
      </c>
      <c r="X149" s="59" t="s">
        <v>7008</v>
      </c>
    </row>
    <row r="150" spans="1:24" ht="17.25" x14ac:dyDescent="0.3">
      <c r="A150" s="59" t="s">
        <v>3874</v>
      </c>
      <c r="B150" s="59" t="s">
        <v>3917</v>
      </c>
      <c r="C150" s="59" t="s">
        <v>3918</v>
      </c>
      <c r="D150" s="59" t="s">
        <v>3857</v>
      </c>
      <c r="E150" s="59" t="s">
        <v>3858</v>
      </c>
      <c r="F150" s="59"/>
      <c r="G150" s="59" t="s">
        <v>3900</v>
      </c>
      <c r="H150" s="59" t="s">
        <v>3859</v>
      </c>
      <c r="I150" s="59" t="s">
        <v>3902</v>
      </c>
      <c r="J150" s="59" t="s">
        <v>3861</v>
      </c>
      <c r="K150" s="59" t="s">
        <v>3883</v>
      </c>
      <c r="L150" s="59"/>
      <c r="M150" s="59" t="s">
        <v>3884</v>
      </c>
      <c r="N150" s="59" t="s">
        <v>3864</v>
      </c>
      <c r="O150" s="59" t="s">
        <v>3886</v>
      </c>
      <c r="P150" s="59" t="s">
        <v>3887</v>
      </c>
      <c r="Q150" s="59" t="s">
        <v>1287</v>
      </c>
      <c r="R150" s="59" t="s">
        <v>3889</v>
      </c>
      <c r="S150" s="59" t="s">
        <v>3869</v>
      </c>
      <c r="T150" s="59" t="s">
        <v>3891</v>
      </c>
      <c r="U150" s="59" t="s">
        <v>3871</v>
      </c>
      <c r="V150" s="59" t="s">
        <v>3872</v>
      </c>
      <c r="W150" s="59" t="s">
        <v>3894</v>
      </c>
      <c r="X150" s="59" t="s">
        <v>7009</v>
      </c>
    </row>
    <row r="151" spans="1:24" ht="17.25" x14ac:dyDescent="0.3">
      <c r="A151" s="59" t="s">
        <v>3895</v>
      </c>
      <c r="B151" s="59" t="s">
        <v>3938</v>
      </c>
      <c r="C151" s="59" t="s">
        <v>3939</v>
      </c>
      <c r="D151" s="59" t="s">
        <v>3877</v>
      </c>
      <c r="E151" s="59" t="s">
        <v>3878</v>
      </c>
      <c r="F151" s="59"/>
      <c r="G151" s="59" t="s">
        <v>3921</v>
      </c>
      <c r="H151" s="59" t="s">
        <v>3880</v>
      </c>
      <c r="I151" s="59" t="s">
        <v>3923</v>
      </c>
      <c r="J151" s="59" t="s">
        <v>3882</v>
      </c>
      <c r="K151" s="59" t="s">
        <v>3904</v>
      </c>
      <c r="L151" s="59"/>
      <c r="M151" s="59" t="s">
        <v>3905</v>
      </c>
      <c r="N151" s="59" t="s">
        <v>3885</v>
      </c>
      <c r="O151" s="59" t="s">
        <v>3928</v>
      </c>
      <c r="P151" s="59" t="s">
        <v>3908</v>
      </c>
      <c r="Q151" s="59" t="s">
        <v>1854</v>
      </c>
      <c r="R151" s="59" t="s">
        <v>3910</v>
      </c>
      <c r="S151" s="59" t="s">
        <v>3890</v>
      </c>
      <c r="T151" s="59" t="s">
        <v>3912</v>
      </c>
      <c r="U151" s="59" t="s">
        <v>3892</v>
      </c>
      <c r="V151" s="59" t="s">
        <v>3893</v>
      </c>
      <c r="W151" s="59" t="s">
        <v>3915</v>
      </c>
      <c r="X151" s="59" t="s">
        <v>7248</v>
      </c>
    </row>
    <row r="152" spans="1:24" ht="17.25" x14ac:dyDescent="0.3">
      <c r="A152" s="59" t="s">
        <v>3916</v>
      </c>
      <c r="B152" s="59" t="s">
        <v>3959</v>
      </c>
      <c r="C152" s="59" t="s">
        <v>3960</v>
      </c>
      <c r="D152" s="59" t="s">
        <v>3898</v>
      </c>
      <c r="E152" s="59" t="s">
        <v>3899</v>
      </c>
      <c r="F152" s="59"/>
      <c r="G152" s="59" t="s">
        <v>3942</v>
      </c>
      <c r="H152" s="59" t="s">
        <v>3901</v>
      </c>
      <c r="I152" s="59" t="s">
        <v>3944</v>
      </c>
      <c r="J152" s="59" t="s">
        <v>3903</v>
      </c>
      <c r="K152" s="59" t="s">
        <v>3925</v>
      </c>
      <c r="L152" s="59"/>
      <c r="M152" s="59" t="s">
        <v>3926</v>
      </c>
      <c r="N152" s="59" t="s">
        <v>3906</v>
      </c>
      <c r="O152" s="59" t="s">
        <v>3949</v>
      </c>
      <c r="P152" s="59" t="s">
        <v>3929</v>
      </c>
      <c r="Q152" s="59" t="s">
        <v>4783</v>
      </c>
      <c r="R152" s="59" t="s">
        <v>3931</v>
      </c>
      <c r="S152" s="59" t="s">
        <v>3911</v>
      </c>
      <c r="T152" s="59" t="s">
        <v>3933</v>
      </c>
      <c r="U152" s="59" t="s">
        <v>3913</v>
      </c>
      <c r="V152" s="59" t="s">
        <v>3914</v>
      </c>
      <c r="W152" s="59" t="s">
        <v>3936</v>
      </c>
      <c r="X152" s="59"/>
    </row>
    <row r="153" spans="1:24" ht="17.25" x14ac:dyDescent="0.3">
      <c r="A153" s="59" t="s">
        <v>3937</v>
      </c>
      <c r="B153" s="59" t="s">
        <v>3979</v>
      </c>
      <c r="C153" s="59" t="s">
        <v>3980</v>
      </c>
      <c r="D153" s="59" t="s">
        <v>3919</v>
      </c>
      <c r="E153" s="59" t="s">
        <v>3920</v>
      </c>
      <c r="F153" s="59"/>
      <c r="G153" s="59" t="s">
        <v>3963</v>
      </c>
      <c r="H153" s="59" t="s">
        <v>3922</v>
      </c>
      <c r="I153" s="59" t="s">
        <v>3965</v>
      </c>
      <c r="J153" s="59" t="s">
        <v>3924</v>
      </c>
      <c r="K153" s="59" t="s">
        <v>3946</v>
      </c>
      <c r="L153" s="59"/>
      <c r="M153" s="59" t="s">
        <v>3947</v>
      </c>
      <c r="N153" s="59" t="s">
        <v>3927</v>
      </c>
      <c r="O153" s="59" t="s">
        <v>7010</v>
      </c>
      <c r="P153" s="59" t="s">
        <v>3950</v>
      </c>
      <c r="Q153" s="59" t="s">
        <v>1586</v>
      </c>
      <c r="R153" s="59" t="s">
        <v>3952</v>
      </c>
      <c r="S153" s="59" t="s">
        <v>3932</v>
      </c>
      <c r="T153" s="59" t="s">
        <v>3954</v>
      </c>
      <c r="U153" s="59" t="s">
        <v>3934</v>
      </c>
      <c r="V153" s="59" t="s">
        <v>3935</v>
      </c>
      <c r="W153" s="59" t="s">
        <v>3957</v>
      </c>
      <c r="X153" s="59"/>
    </row>
    <row r="154" spans="1:24" ht="17.25" x14ac:dyDescent="0.3">
      <c r="A154" s="59" t="s">
        <v>3958</v>
      </c>
      <c r="B154" s="59" t="s">
        <v>3999</v>
      </c>
      <c r="C154" s="59" t="s">
        <v>4000</v>
      </c>
      <c r="D154" s="59" t="s">
        <v>3940</v>
      </c>
      <c r="E154" s="59" t="s">
        <v>3941</v>
      </c>
      <c r="F154" s="59"/>
      <c r="G154" s="59" t="s">
        <v>3983</v>
      </c>
      <c r="H154" s="59" t="s">
        <v>3943</v>
      </c>
      <c r="I154" s="59" t="s">
        <v>3985</v>
      </c>
      <c r="J154" s="59" t="s">
        <v>3945</v>
      </c>
      <c r="K154" s="59" t="s">
        <v>3967</v>
      </c>
      <c r="L154" s="59"/>
      <c r="M154" s="59" t="s">
        <v>3968</v>
      </c>
      <c r="N154" s="59" t="s">
        <v>3948</v>
      </c>
      <c r="O154" s="59" t="s">
        <v>6073</v>
      </c>
      <c r="P154" s="59" t="s">
        <v>3970</v>
      </c>
      <c r="Q154" s="59" t="s">
        <v>4445</v>
      </c>
      <c r="R154" s="59" t="s">
        <v>3972</v>
      </c>
      <c r="S154" s="59" t="s">
        <v>3953</v>
      </c>
      <c r="T154" s="59" t="s">
        <v>3974</v>
      </c>
      <c r="U154" s="59" t="s">
        <v>3955</v>
      </c>
      <c r="V154" s="59" t="s">
        <v>3956</v>
      </c>
      <c r="W154" s="59" t="s">
        <v>3977</v>
      </c>
      <c r="X154" s="59"/>
    </row>
    <row r="155" spans="1:24" ht="17.25" x14ac:dyDescent="0.3">
      <c r="A155" s="59" t="s">
        <v>3978</v>
      </c>
      <c r="B155" s="59" t="s">
        <v>4019</v>
      </c>
      <c r="C155" s="59" t="s">
        <v>4020</v>
      </c>
      <c r="D155" s="59" t="s">
        <v>3961</v>
      </c>
      <c r="E155" s="59" t="s">
        <v>3962</v>
      </c>
      <c r="F155" s="59"/>
      <c r="G155" s="59" t="s">
        <v>4003</v>
      </c>
      <c r="H155" s="59" t="s">
        <v>3964</v>
      </c>
      <c r="I155" s="59" t="s">
        <v>4005</v>
      </c>
      <c r="J155" s="59" t="s">
        <v>3966</v>
      </c>
      <c r="K155" s="59" t="s">
        <v>3987</v>
      </c>
      <c r="L155" s="59"/>
      <c r="M155" s="59" t="s">
        <v>3988</v>
      </c>
      <c r="N155" s="59" t="s">
        <v>3969</v>
      </c>
      <c r="O155" s="59" t="s">
        <v>7193</v>
      </c>
      <c r="P155" s="59" t="s">
        <v>3990</v>
      </c>
      <c r="Q155" s="59" t="s">
        <v>1536</v>
      </c>
      <c r="R155" s="59" t="s">
        <v>3992</v>
      </c>
      <c r="S155" s="59" t="s">
        <v>3973</v>
      </c>
      <c r="T155" s="59" t="s">
        <v>3994</v>
      </c>
      <c r="U155" s="59" t="s">
        <v>3975</v>
      </c>
      <c r="V155" s="59" t="s">
        <v>3976</v>
      </c>
      <c r="W155" s="59" t="s">
        <v>3997</v>
      </c>
      <c r="X155" s="59"/>
    </row>
    <row r="156" spans="1:24" ht="17.25" x14ac:dyDescent="0.3">
      <c r="A156" s="59" t="s">
        <v>3998</v>
      </c>
      <c r="B156" s="59" t="s">
        <v>4039</v>
      </c>
      <c r="C156" s="59" t="s">
        <v>4040</v>
      </c>
      <c r="D156" s="59" t="s">
        <v>3981</v>
      </c>
      <c r="E156" s="59" t="s">
        <v>3982</v>
      </c>
      <c r="F156" s="59"/>
      <c r="G156" s="59" t="s">
        <v>4023</v>
      </c>
      <c r="H156" s="59" t="s">
        <v>3984</v>
      </c>
      <c r="I156" s="59" t="s">
        <v>4025</v>
      </c>
      <c r="J156" s="59" t="s">
        <v>3986</v>
      </c>
      <c r="K156" s="59" t="s">
        <v>4007</v>
      </c>
      <c r="L156" s="59"/>
      <c r="M156" s="59" t="s">
        <v>4008</v>
      </c>
      <c r="N156" s="59" t="s">
        <v>3989</v>
      </c>
      <c r="O156" s="59" t="s">
        <v>7001</v>
      </c>
      <c r="P156" s="59" t="s">
        <v>4010</v>
      </c>
      <c r="Q156" s="59" t="s">
        <v>5147</v>
      </c>
      <c r="R156" s="59" t="s">
        <v>4012</v>
      </c>
      <c r="S156" s="59" t="s">
        <v>3993</v>
      </c>
      <c r="T156" s="59" t="s">
        <v>4014</v>
      </c>
      <c r="U156" s="59" t="s">
        <v>3995</v>
      </c>
      <c r="V156" s="59" t="s">
        <v>3996</v>
      </c>
      <c r="W156" s="59" t="s">
        <v>4017</v>
      </c>
      <c r="X156" s="59"/>
    </row>
    <row r="157" spans="1:24" ht="17.25" x14ac:dyDescent="0.3">
      <c r="A157" s="59" t="s">
        <v>4018</v>
      </c>
      <c r="B157" s="59" t="s">
        <v>4058</v>
      </c>
      <c r="C157" s="59" t="s">
        <v>4059</v>
      </c>
      <c r="D157" s="59" t="s">
        <v>4001</v>
      </c>
      <c r="E157" s="59" t="s">
        <v>4002</v>
      </c>
      <c r="F157" s="59"/>
      <c r="G157" s="59" t="s">
        <v>4043</v>
      </c>
      <c r="H157" s="59" t="s">
        <v>4004</v>
      </c>
      <c r="I157" s="59" t="s">
        <v>4045</v>
      </c>
      <c r="J157" s="59" t="s">
        <v>4006</v>
      </c>
      <c r="K157" s="59" t="s">
        <v>4027</v>
      </c>
      <c r="L157" s="59"/>
      <c r="M157" s="59" t="s">
        <v>4028</v>
      </c>
      <c r="N157" s="59" t="s">
        <v>4009</v>
      </c>
      <c r="O157" s="59" t="s">
        <v>7002</v>
      </c>
      <c r="P157" s="59" t="s">
        <v>4030</v>
      </c>
      <c r="Q157" s="59" t="s">
        <v>5336</v>
      </c>
      <c r="R157" s="59" t="s">
        <v>4032</v>
      </c>
      <c r="S157" s="59" t="s">
        <v>4013</v>
      </c>
      <c r="T157" s="59" t="s">
        <v>4034</v>
      </c>
      <c r="U157" s="59" t="s">
        <v>4015</v>
      </c>
      <c r="V157" s="59" t="s">
        <v>4016</v>
      </c>
      <c r="W157" s="59" t="s">
        <v>4037</v>
      </c>
      <c r="X157" s="59"/>
    </row>
    <row r="158" spans="1:24" ht="17.25" x14ac:dyDescent="0.3">
      <c r="A158" s="59" t="s">
        <v>4038</v>
      </c>
      <c r="B158" s="59" t="s">
        <v>4077</v>
      </c>
      <c r="C158" s="59" t="s">
        <v>4078</v>
      </c>
      <c r="D158" s="59" t="s">
        <v>4021</v>
      </c>
      <c r="E158" s="59" t="s">
        <v>4022</v>
      </c>
      <c r="F158" s="59"/>
      <c r="G158" s="59" t="s">
        <v>4062</v>
      </c>
      <c r="H158" s="59" t="s">
        <v>4024</v>
      </c>
      <c r="I158" s="59" t="s">
        <v>4064</v>
      </c>
      <c r="J158" s="59" t="s">
        <v>4026</v>
      </c>
      <c r="K158" s="59" t="s">
        <v>7011</v>
      </c>
      <c r="L158" s="59"/>
      <c r="M158" s="59" t="s">
        <v>4047</v>
      </c>
      <c r="N158" s="59" t="s">
        <v>4029</v>
      </c>
      <c r="O158" s="59" t="s">
        <v>7249</v>
      </c>
      <c r="P158" s="59" t="s">
        <v>4049</v>
      </c>
      <c r="Q158" s="59" t="s">
        <v>4671</v>
      </c>
      <c r="R158" s="59" t="s">
        <v>4051</v>
      </c>
      <c r="S158" s="59" t="s">
        <v>4033</v>
      </c>
      <c r="T158" s="59" t="s">
        <v>4053</v>
      </c>
      <c r="U158" s="59" t="s">
        <v>4035</v>
      </c>
      <c r="V158" s="59" t="s">
        <v>4036</v>
      </c>
      <c r="W158" s="59" t="s">
        <v>4056</v>
      </c>
      <c r="X158" s="59"/>
    </row>
    <row r="159" spans="1:24" ht="17.25" x14ac:dyDescent="0.3">
      <c r="A159" s="59" t="s">
        <v>4057</v>
      </c>
      <c r="B159" s="59" t="s">
        <v>4096</v>
      </c>
      <c r="C159" s="59" t="s">
        <v>4097</v>
      </c>
      <c r="D159" s="59" t="s">
        <v>4041</v>
      </c>
      <c r="E159" s="59" t="s">
        <v>4042</v>
      </c>
      <c r="F159" s="59"/>
      <c r="G159" s="59" t="s">
        <v>4081</v>
      </c>
      <c r="H159" s="59" t="s">
        <v>4044</v>
      </c>
      <c r="I159" s="59" t="s">
        <v>4083</v>
      </c>
      <c r="J159" s="59" t="s">
        <v>4046</v>
      </c>
      <c r="K159" s="59" t="s">
        <v>3335</v>
      </c>
      <c r="L159" s="59"/>
      <c r="M159" s="59" t="s">
        <v>4066</v>
      </c>
      <c r="N159" s="59" t="s">
        <v>4048</v>
      </c>
      <c r="O159" s="59" t="s">
        <v>884</v>
      </c>
      <c r="P159" s="59" t="s">
        <v>4068</v>
      </c>
      <c r="Q159" s="59" t="s">
        <v>3022</v>
      </c>
      <c r="R159" s="59" t="s">
        <v>4070</v>
      </c>
      <c r="S159" s="59" t="s">
        <v>4052</v>
      </c>
      <c r="T159" s="59" t="s">
        <v>4072</v>
      </c>
      <c r="U159" s="59" t="s">
        <v>4054</v>
      </c>
      <c r="V159" s="59" t="s">
        <v>4055</v>
      </c>
      <c r="W159" s="59" t="s">
        <v>4075</v>
      </c>
      <c r="X159" s="59"/>
    </row>
    <row r="160" spans="1:24" ht="17.25" x14ac:dyDescent="0.3">
      <c r="A160" s="59" t="s">
        <v>4076</v>
      </c>
      <c r="B160" s="59" t="s">
        <v>4115</v>
      </c>
      <c r="C160" s="59" t="s">
        <v>4116</v>
      </c>
      <c r="D160" s="59" t="s">
        <v>4060</v>
      </c>
      <c r="E160" s="59" t="s">
        <v>4061</v>
      </c>
      <c r="F160" s="59"/>
      <c r="G160" s="59" t="s">
        <v>4100</v>
      </c>
      <c r="H160" s="59" t="s">
        <v>4063</v>
      </c>
      <c r="I160" s="59" t="s">
        <v>4102</v>
      </c>
      <c r="J160" s="59" t="s">
        <v>4065</v>
      </c>
      <c r="K160" s="59" t="s">
        <v>7012</v>
      </c>
      <c r="L160" s="59"/>
      <c r="M160" s="59" t="s">
        <v>4085</v>
      </c>
      <c r="N160" s="59" t="s">
        <v>4067</v>
      </c>
      <c r="O160" s="59" t="s">
        <v>1632</v>
      </c>
      <c r="P160" s="59" t="s">
        <v>4087</v>
      </c>
      <c r="Q160" s="59" t="s">
        <v>5659</v>
      </c>
      <c r="R160" s="59" t="s">
        <v>4089</v>
      </c>
      <c r="S160" s="59" t="s">
        <v>4071</v>
      </c>
      <c r="T160" s="59" t="s">
        <v>4091</v>
      </c>
      <c r="U160" s="59" t="s">
        <v>4073</v>
      </c>
      <c r="V160" s="59" t="s">
        <v>4074</v>
      </c>
      <c r="W160" s="59" t="s">
        <v>4094</v>
      </c>
      <c r="X160" s="59"/>
    </row>
    <row r="161" spans="1:24" ht="17.25" x14ac:dyDescent="0.3">
      <c r="A161" s="59" t="s">
        <v>4095</v>
      </c>
      <c r="B161" s="59" t="s">
        <v>4134</v>
      </c>
      <c r="C161" s="59" t="s">
        <v>4135</v>
      </c>
      <c r="D161" s="59" t="s">
        <v>4079</v>
      </c>
      <c r="E161" s="59" t="s">
        <v>4080</v>
      </c>
      <c r="F161" s="59"/>
      <c r="G161" s="59" t="s">
        <v>4119</v>
      </c>
      <c r="H161" s="59" t="s">
        <v>4082</v>
      </c>
      <c r="I161" s="59" t="s">
        <v>4121</v>
      </c>
      <c r="J161" s="59" t="s">
        <v>4084</v>
      </c>
      <c r="K161" s="59" t="s">
        <v>7013</v>
      </c>
      <c r="L161" s="59"/>
      <c r="M161" s="59" t="s">
        <v>4104</v>
      </c>
      <c r="N161" s="59" t="s">
        <v>4086</v>
      </c>
      <c r="O161" s="59" t="s">
        <v>684</v>
      </c>
      <c r="P161" s="59" t="s">
        <v>4106</v>
      </c>
      <c r="Q161" s="59" t="s">
        <v>5161</v>
      </c>
      <c r="R161" s="59" t="s">
        <v>4108</v>
      </c>
      <c r="S161" s="59" t="s">
        <v>4090</v>
      </c>
      <c r="T161" s="59" t="s">
        <v>4110</v>
      </c>
      <c r="U161" s="59" t="s">
        <v>4092</v>
      </c>
      <c r="V161" s="59" t="s">
        <v>4093</v>
      </c>
      <c r="W161" s="59" t="s">
        <v>4113</v>
      </c>
      <c r="X161" s="59"/>
    </row>
    <row r="162" spans="1:24" ht="17.25" x14ac:dyDescent="0.3">
      <c r="A162" s="59" t="s">
        <v>4114</v>
      </c>
      <c r="B162" s="59" t="s">
        <v>4153</v>
      </c>
      <c r="C162" s="59" t="s">
        <v>4154</v>
      </c>
      <c r="D162" s="59" t="s">
        <v>4098</v>
      </c>
      <c r="E162" s="59" t="s">
        <v>4099</v>
      </c>
      <c r="F162" s="59"/>
      <c r="G162" s="59" t="s">
        <v>4138</v>
      </c>
      <c r="H162" s="59" t="s">
        <v>4101</v>
      </c>
      <c r="I162" s="59" t="s">
        <v>4140</v>
      </c>
      <c r="J162" s="59" t="s">
        <v>4103</v>
      </c>
      <c r="K162" s="59" t="s">
        <v>7250</v>
      </c>
      <c r="L162" s="59"/>
      <c r="M162" s="59" t="s">
        <v>4123</v>
      </c>
      <c r="N162" s="59" t="s">
        <v>4105</v>
      </c>
      <c r="O162" s="59" t="s">
        <v>909</v>
      </c>
      <c r="P162" s="59" t="s">
        <v>4125</v>
      </c>
      <c r="Q162" s="59" t="s">
        <v>5348</v>
      </c>
      <c r="R162" s="59" t="s">
        <v>4127</v>
      </c>
      <c r="S162" s="59" t="s">
        <v>4109</v>
      </c>
      <c r="T162" s="59" t="s">
        <v>4129</v>
      </c>
      <c r="U162" s="59" t="s">
        <v>4111</v>
      </c>
      <c r="V162" s="59" t="s">
        <v>4112</v>
      </c>
      <c r="W162" s="59" t="s">
        <v>4132</v>
      </c>
      <c r="X162" s="59"/>
    </row>
    <row r="163" spans="1:24" ht="17.25" x14ac:dyDescent="0.3">
      <c r="A163" s="59" t="s">
        <v>4133</v>
      </c>
      <c r="B163" s="59" t="s">
        <v>4172</v>
      </c>
      <c r="C163" s="59" t="s">
        <v>4173</v>
      </c>
      <c r="D163" s="59" t="s">
        <v>4117</v>
      </c>
      <c r="E163" s="59" t="s">
        <v>4118</v>
      </c>
      <c r="F163" s="59"/>
      <c r="G163" s="59" t="s">
        <v>4157</v>
      </c>
      <c r="H163" s="59" t="s">
        <v>4120</v>
      </c>
      <c r="I163" s="59" t="s">
        <v>4159</v>
      </c>
      <c r="J163" s="59" t="s">
        <v>4122</v>
      </c>
      <c r="K163" s="59" t="s">
        <v>7251</v>
      </c>
      <c r="L163" s="59"/>
      <c r="M163" s="59" t="s">
        <v>4142</v>
      </c>
      <c r="N163" s="59" t="s">
        <v>4124</v>
      </c>
      <c r="O163" s="59" t="s">
        <v>934</v>
      </c>
      <c r="P163" s="59" t="s">
        <v>4144</v>
      </c>
      <c r="Q163" s="59" t="s">
        <v>3540</v>
      </c>
      <c r="R163" s="59" t="s">
        <v>4146</v>
      </c>
      <c r="S163" s="59" t="s">
        <v>4128</v>
      </c>
      <c r="T163" s="59" t="s">
        <v>4148</v>
      </c>
      <c r="U163" s="59" t="s">
        <v>4130</v>
      </c>
      <c r="V163" s="59" t="s">
        <v>4131</v>
      </c>
      <c r="W163" s="59" t="s">
        <v>4151</v>
      </c>
      <c r="X163" s="59"/>
    </row>
    <row r="164" spans="1:24" ht="17.25" x14ac:dyDescent="0.3">
      <c r="A164" s="59" t="s">
        <v>4152</v>
      </c>
      <c r="B164" s="59" t="s">
        <v>4191</v>
      </c>
      <c r="C164" s="59" t="s">
        <v>4192</v>
      </c>
      <c r="D164" s="59" t="s">
        <v>4155</v>
      </c>
      <c r="E164" s="59" t="s">
        <v>4137</v>
      </c>
      <c r="F164" s="59"/>
      <c r="G164" s="59" t="s">
        <v>4176</v>
      </c>
      <c r="H164" s="59" t="s">
        <v>4139</v>
      </c>
      <c r="I164" s="59" t="s">
        <v>4178</v>
      </c>
      <c r="J164" s="59" t="s">
        <v>4141</v>
      </c>
      <c r="K164" s="59"/>
      <c r="L164" s="59"/>
      <c r="M164" s="59" t="s">
        <v>4161</v>
      </c>
      <c r="N164" s="59" t="s">
        <v>4143</v>
      </c>
      <c r="O164" s="59" t="s">
        <v>634</v>
      </c>
      <c r="P164" s="59" t="s">
        <v>4163</v>
      </c>
      <c r="Q164" s="59" t="s">
        <v>613</v>
      </c>
      <c r="R164" s="59" t="s">
        <v>4165</v>
      </c>
      <c r="S164" s="59" t="s">
        <v>4147</v>
      </c>
      <c r="T164" s="59" t="s">
        <v>4167</v>
      </c>
      <c r="U164" s="59" t="s">
        <v>4149</v>
      </c>
      <c r="V164" s="59" t="s">
        <v>4150</v>
      </c>
      <c r="W164" s="59" t="s">
        <v>4170</v>
      </c>
      <c r="X164" s="59"/>
    </row>
    <row r="165" spans="1:24" ht="17.25" x14ac:dyDescent="0.3">
      <c r="A165" s="59" t="s">
        <v>4171</v>
      </c>
      <c r="B165" s="59" t="s">
        <v>4210</v>
      </c>
      <c r="C165" s="59" t="s">
        <v>4211</v>
      </c>
      <c r="D165" s="59" t="s">
        <v>4174</v>
      </c>
      <c r="E165" s="59" t="s">
        <v>4156</v>
      </c>
      <c r="F165" s="59"/>
      <c r="G165" s="59" t="s">
        <v>4195</v>
      </c>
      <c r="H165" s="59" t="s">
        <v>4158</v>
      </c>
      <c r="I165" s="59" t="s">
        <v>4197</v>
      </c>
      <c r="J165" s="59" t="s">
        <v>4160</v>
      </c>
      <c r="K165" s="59"/>
      <c r="L165" s="59"/>
      <c r="M165" s="59" t="s">
        <v>4180</v>
      </c>
      <c r="N165" s="59" t="s">
        <v>4162</v>
      </c>
      <c r="O165" s="59" t="s">
        <v>1208</v>
      </c>
      <c r="P165" s="59" t="s">
        <v>4182</v>
      </c>
      <c r="Q165" s="59" t="s">
        <v>1362</v>
      </c>
      <c r="R165" s="59" t="s">
        <v>4184</v>
      </c>
      <c r="S165" s="59" t="s">
        <v>4166</v>
      </c>
      <c r="T165" s="59" t="s">
        <v>4186</v>
      </c>
      <c r="U165" s="59" t="s">
        <v>4168</v>
      </c>
      <c r="V165" s="59" t="s">
        <v>4169</v>
      </c>
      <c r="W165" s="59" t="s">
        <v>4189</v>
      </c>
      <c r="X165" s="59"/>
    </row>
    <row r="166" spans="1:24" ht="17.25" x14ac:dyDescent="0.3">
      <c r="A166" s="59" t="s">
        <v>4190</v>
      </c>
      <c r="B166" s="59" t="s">
        <v>4229</v>
      </c>
      <c r="C166" s="59" t="s">
        <v>4230</v>
      </c>
      <c r="D166" s="59" t="s">
        <v>4193</v>
      </c>
      <c r="E166" s="59" t="s">
        <v>4175</v>
      </c>
      <c r="F166" s="59"/>
      <c r="G166" s="59" t="s">
        <v>4214</v>
      </c>
      <c r="H166" s="59" t="s">
        <v>4177</v>
      </c>
      <c r="I166" s="59" t="s">
        <v>4216</v>
      </c>
      <c r="J166" s="59" t="s">
        <v>4179</v>
      </c>
      <c r="K166" s="59"/>
      <c r="L166" s="59"/>
      <c r="M166" s="59" t="s">
        <v>4199</v>
      </c>
      <c r="N166" s="59" t="s">
        <v>4181</v>
      </c>
      <c r="O166" s="59" t="s">
        <v>1308</v>
      </c>
      <c r="P166" s="59" t="s">
        <v>4201</v>
      </c>
      <c r="Q166" s="59" t="s">
        <v>5420</v>
      </c>
      <c r="R166" s="59" t="s">
        <v>4203</v>
      </c>
      <c r="S166" s="59" t="s">
        <v>4185</v>
      </c>
      <c r="T166" s="59" t="s">
        <v>4205</v>
      </c>
      <c r="U166" s="59" t="s">
        <v>4187</v>
      </c>
      <c r="V166" s="59" t="s">
        <v>4188</v>
      </c>
      <c r="W166" s="59" t="s">
        <v>4208</v>
      </c>
      <c r="X166" s="59"/>
    </row>
    <row r="167" spans="1:24" ht="17.25" x14ac:dyDescent="0.3">
      <c r="A167" s="59" t="s">
        <v>4209</v>
      </c>
      <c r="B167" s="59" t="s">
        <v>4247</v>
      </c>
      <c r="C167" s="59" t="s">
        <v>4248</v>
      </c>
      <c r="D167" s="59" t="s">
        <v>4212</v>
      </c>
      <c r="E167" s="59" t="s">
        <v>4194</v>
      </c>
      <c r="F167" s="59"/>
      <c r="G167" s="59" t="s">
        <v>4233</v>
      </c>
      <c r="H167" s="59" t="s">
        <v>4196</v>
      </c>
      <c r="I167" s="59" t="s">
        <v>4235</v>
      </c>
      <c r="J167" s="59" t="s">
        <v>4198</v>
      </c>
      <c r="K167" s="59"/>
      <c r="L167" s="59"/>
      <c r="M167" s="59" t="s">
        <v>4218</v>
      </c>
      <c r="N167" s="59" t="s">
        <v>4200</v>
      </c>
      <c r="O167" s="59" t="s">
        <v>1258</v>
      </c>
      <c r="P167" s="59" t="s">
        <v>4220</v>
      </c>
      <c r="Q167" s="59" t="s">
        <v>3251</v>
      </c>
      <c r="R167" s="59" t="s">
        <v>4222</v>
      </c>
      <c r="S167" s="59" t="s">
        <v>4204</v>
      </c>
      <c r="T167" s="59" t="s">
        <v>4224</v>
      </c>
      <c r="U167" s="59" t="s">
        <v>4206</v>
      </c>
      <c r="V167" s="59" t="s">
        <v>4207</v>
      </c>
      <c r="W167" s="59" t="s">
        <v>4227</v>
      </c>
      <c r="X167" s="59"/>
    </row>
    <row r="168" spans="1:24" ht="17.25" x14ac:dyDescent="0.3">
      <c r="A168" s="59" t="s">
        <v>4228</v>
      </c>
      <c r="B168" s="59" t="s">
        <v>4265</v>
      </c>
      <c r="C168" s="59" t="s">
        <v>4266</v>
      </c>
      <c r="D168" s="59" t="s">
        <v>4231</v>
      </c>
      <c r="E168" s="59" t="s">
        <v>4213</v>
      </c>
      <c r="F168" s="59"/>
      <c r="G168" s="59" t="s">
        <v>4251</v>
      </c>
      <c r="H168" s="59" t="s">
        <v>4215</v>
      </c>
      <c r="I168" s="59" t="s">
        <v>4253</v>
      </c>
      <c r="J168" s="59" t="s">
        <v>4217</v>
      </c>
      <c r="K168" s="59"/>
      <c r="L168" s="59"/>
      <c r="M168" s="59" t="s">
        <v>4236</v>
      </c>
      <c r="N168" s="59" t="s">
        <v>4219</v>
      </c>
      <c r="O168" s="59" t="s">
        <v>510</v>
      </c>
      <c r="P168" s="59" t="s">
        <v>4238</v>
      </c>
      <c r="Q168" s="59" t="s">
        <v>2812</v>
      </c>
      <c r="R168" s="59" t="s">
        <v>4240</v>
      </c>
      <c r="S168" s="59" t="s">
        <v>4223</v>
      </c>
      <c r="T168" s="59" t="s">
        <v>4242</v>
      </c>
      <c r="U168" s="59" t="s">
        <v>4225</v>
      </c>
      <c r="V168" s="59" t="s">
        <v>4226</v>
      </c>
      <c r="W168" s="59" t="s">
        <v>4245</v>
      </c>
      <c r="X168" s="59"/>
    </row>
    <row r="169" spans="1:24" ht="17.25" x14ac:dyDescent="0.3">
      <c r="A169" s="59" t="s">
        <v>4246</v>
      </c>
      <c r="B169" s="59" t="s">
        <v>4283</v>
      </c>
      <c r="C169" s="59" t="s">
        <v>4284</v>
      </c>
      <c r="D169" s="59" t="s">
        <v>4249</v>
      </c>
      <c r="E169" s="59" t="s">
        <v>4232</v>
      </c>
      <c r="F169" s="59"/>
      <c r="G169" s="59" t="s">
        <v>4269</v>
      </c>
      <c r="H169" s="59" t="s">
        <v>4234</v>
      </c>
      <c r="I169" s="59" t="s">
        <v>4271</v>
      </c>
      <c r="J169" s="59" t="s">
        <v>7014</v>
      </c>
      <c r="K169" s="59"/>
      <c r="L169" s="59"/>
      <c r="M169" s="59" t="s">
        <v>4254</v>
      </c>
      <c r="N169" s="59" t="s">
        <v>4237</v>
      </c>
      <c r="O169" s="59" t="s">
        <v>560</v>
      </c>
      <c r="P169" s="59" t="s">
        <v>4256</v>
      </c>
      <c r="Q169" s="59" t="s">
        <v>2836</v>
      </c>
      <c r="R169" s="59" t="s">
        <v>4258</v>
      </c>
      <c r="S169" s="59" t="s">
        <v>4241</v>
      </c>
      <c r="T169" s="59" t="s">
        <v>4260</v>
      </c>
      <c r="U169" s="59" t="s">
        <v>4243</v>
      </c>
      <c r="V169" s="59" t="s">
        <v>4244</v>
      </c>
      <c r="W169" s="59" t="s">
        <v>4263</v>
      </c>
      <c r="X169" s="59"/>
    </row>
    <row r="170" spans="1:24" ht="17.25" x14ac:dyDescent="0.3">
      <c r="A170" s="59" t="s">
        <v>4264</v>
      </c>
      <c r="B170" s="59" t="s">
        <v>4301</v>
      </c>
      <c r="C170" s="59" t="s">
        <v>4302</v>
      </c>
      <c r="D170" s="59" t="s">
        <v>4267</v>
      </c>
      <c r="E170" s="59" t="s">
        <v>4250</v>
      </c>
      <c r="F170" s="59"/>
      <c r="G170" s="59" t="s">
        <v>4287</v>
      </c>
      <c r="H170" s="59" t="s">
        <v>4252</v>
      </c>
      <c r="I170" s="59" t="s">
        <v>4289</v>
      </c>
      <c r="J170" s="59" t="s">
        <v>7015</v>
      </c>
      <c r="K170" s="59"/>
      <c r="L170" s="59"/>
      <c r="M170" s="59" t="s">
        <v>4272</v>
      </c>
      <c r="N170" s="59" t="s">
        <v>4255</v>
      </c>
      <c r="O170" s="59" t="s">
        <v>1333</v>
      </c>
      <c r="P170" s="59" t="s">
        <v>4274</v>
      </c>
      <c r="Q170" s="59" t="s">
        <v>389</v>
      </c>
      <c r="R170" s="59" t="s">
        <v>4276</v>
      </c>
      <c r="S170" s="59" t="s">
        <v>4259</v>
      </c>
      <c r="T170" s="59" t="s">
        <v>4278</v>
      </c>
      <c r="U170" s="59" t="s">
        <v>4261</v>
      </c>
      <c r="V170" s="59" t="s">
        <v>4262</v>
      </c>
      <c r="W170" s="59" t="s">
        <v>4281</v>
      </c>
      <c r="X170" s="59"/>
    </row>
    <row r="171" spans="1:24" ht="17.25" x14ac:dyDescent="0.3">
      <c r="A171" s="59" t="s">
        <v>4282</v>
      </c>
      <c r="B171" s="59" t="s">
        <v>4319</v>
      </c>
      <c r="C171" s="59" t="s">
        <v>4320</v>
      </c>
      <c r="D171" s="59" t="s">
        <v>4285</v>
      </c>
      <c r="E171" s="59" t="s">
        <v>4268</v>
      </c>
      <c r="F171" s="59"/>
      <c r="G171" s="59" t="s">
        <v>4305</v>
      </c>
      <c r="H171" s="59" t="s">
        <v>4270</v>
      </c>
      <c r="I171" s="59" t="s">
        <v>4307</v>
      </c>
      <c r="J171" s="59" t="s">
        <v>7016</v>
      </c>
      <c r="K171" s="59"/>
      <c r="L171" s="59"/>
      <c r="M171" s="59" t="s">
        <v>4290</v>
      </c>
      <c r="N171" s="59" t="s">
        <v>4273</v>
      </c>
      <c r="O171" s="59" t="s">
        <v>609</v>
      </c>
      <c r="P171" s="59" t="s">
        <v>4292</v>
      </c>
      <c r="Q171" s="59" t="s">
        <v>2500</v>
      </c>
      <c r="R171" s="59" t="s">
        <v>4294</v>
      </c>
      <c r="S171" s="59" t="s">
        <v>4277</v>
      </c>
      <c r="T171" s="59" t="s">
        <v>4296</v>
      </c>
      <c r="U171" s="59" t="s">
        <v>4279</v>
      </c>
      <c r="V171" s="59" t="s">
        <v>4280</v>
      </c>
      <c r="W171" s="59" t="s">
        <v>4299</v>
      </c>
      <c r="X171" s="59"/>
    </row>
    <row r="172" spans="1:24" ht="17.25" x14ac:dyDescent="0.3">
      <c r="A172" s="59" t="s">
        <v>4300</v>
      </c>
      <c r="B172" s="59" t="s">
        <v>4337</v>
      </c>
      <c r="C172" s="59" t="s">
        <v>4338</v>
      </c>
      <c r="D172" s="59" t="s">
        <v>4303</v>
      </c>
      <c r="E172" s="59" t="s">
        <v>4286</v>
      </c>
      <c r="F172" s="59"/>
      <c r="G172" s="59" t="s">
        <v>4323</v>
      </c>
      <c r="H172" s="59" t="s">
        <v>4288</v>
      </c>
      <c r="I172" s="59" t="s">
        <v>4325</v>
      </c>
      <c r="J172" s="59" t="s">
        <v>7017</v>
      </c>
      <c r="K172" s="59"/>
      <c r="L172" s="59"/>
      <c r="M172" s="59" t="s">
        <v>4308</v>
      </c>
      <c r="N172" s="59" t="s">
        <v>4291</v>
      </c>
      <c r="O172" s="59" t="s">
        <v>1358</v>
      </c>
      <c r="P172" s="59" t="s">
        <v>4310</v>
      </c>
      <c r="Q172" s="59" t="s">
        <v>2716</v>
      </c>
      <c r="R172" s="59" t="s">
        <v>4312</v>
      </c>
      <c r="S172" s="59" t="s">
        <v>4295</v>
      </c>
      <c r="T172" s="59" t="s">
        <v>4314</v>
      </c>
      <c r="U172" s="59" t="s">
        <v>4297</v>
      </c>
      <c r="V172" s="59" t="s">
        <v>4298</v>
      </c>
      <c r="W172" s="59" t="s">
        <v>4317</v>
      </c>
      <c r="X172" s="59"/>
    </row>
    <row r="173" spans="1:24" ht="17.25" x14ac:dyDescent="0.3">
      <c r="A173" s="59" t="s">
        <v>4318</v>
      </c>
      <c r="B173" s="59" t="s">
        <v>4354</v>
      </c>
      <c r="C173" s="59" t="s">
        <v>4355</v>
      </c>
      <c r="D173" s="59" t="s">
        <v>4321</v>
      </c>
      <c r="E173" s="59" t="s">
        <v>4304</v>
      </c>
      <c r="F173" s="59"/>
      <c r="G173" s="59" t="s">
        <v>4341</v>
      </c>
      <c r="H173" s="59" t="s">
        <v>4306</v>
      </c>
      <c r="I173" s="59" t="s">
        <v>4342</v>
      </c>
      <c r="J173" s="59" t="s">
        <v>7018</v>
      </c>
      <c r="K173" s="59"/>
      <c r="L173" s="59"/>
      <c r="M173" s="59" t="s">
        <v>4326</v>
      </c>
      <c r="N173" s="59" t="s">
        <v>4309</v>
      </c>
      <c r="O173" s="59" t="s">
        <v>1582</v>
      </c>
      <c r="P173" s="59" t="s">
        <v>4328</v>
      </c>
      <c r="Q173" s="59" t="s">
        <v>4741</v>
      </c>
      <c r="R173" s="59" t="s">
        <v>4330</v>
      </c>
      <c r="S173" s="59" t="s">
        <v>4313</v>
      </c>
      <c r="T173" s="59" t="s">
        <v>4332</v>
      </c>
      <c r="U173" s="59" t="s">
        <v>4315</v>
      </c>
      <c r="V173" s="59" t="s">
        <v>4316</v>
      </c>
      <c r="W173" s="59" t="s">
        <v>4335</v>
      </c>
      <c r="X173" s="59"/>
    </row>
    <row r="174" spans="1:24" ht="17.25" x14ac:dyDescent="0.3">
      <c r="A174" s="59" t="s">
        <v>4336</v>
      </c>
      <c r="B174" s="59" t="s">
        <v>4371</v>
      </c>
      <c r="C174" s="59" t="s">
        <v>4372</v>
      </c>
      <c r="D174" s="59" t="s">
        <v>4339</v>
      </c>
      <c r="E174" s="59" t="s">
        <v>4322</v>
      </c>
      <c r="F174" s="59"/>
      <c r="G174" s="59" t="s">
        <v>4357</v>
      </c>
      <c r="H174" s="59" t="s">
        <v>4324</v>
      </c>
      <c r="I174" s="59" t="s">
        <v>4359</v>
      </c>
      <c r="J174" s="59" t="s">
        <v>7019</v>
      </c>
      <c r="K174" s="59"/>
      <c r="L174" s="59"/>
      <c r="M174" s="59" t="s">
        <v>4343</v>
      </c>
      <c r="N174" s="59" t="s">
        <v>4327</v>
      </c>
      <c r="O174" s="59" t="s">
        <v>859</v>
      </c>
      <c r="P174" s="59" t="s">
        <v>4345</v>
      </c>
      <c r="Q174" s="59" t="s">
        <v>3297</v>
      </c>
      <c r="R174" s="59" t="s">
        <v>4347</v>
      </c>
      <c r="S174" s="59" t="s">
        <v>4331</v>
      </c>
      <c r="T174" s="59" t="s">
        <v>4349</v>
      </c>
      <c r="U174" s="59" t="s">
        <v>4333</v>
      </c>
      <c r="V174" s="59" t="s">
        <v>4334</v>
      </c>
      <c r="W174" s="59" t="s">
        <v>4352</v>
      </c>
      <c r="X174" s="59"/>
    </row>
    <row r="175" spans="1:24" ht="17.25" x14ac:dyDescent="0.3">
      <c r="A175" s="59" t="s">
        <v>4353</v>
      </c>
      <c r="B175" s="59" t="s">
        <v>4388</v>
      </c>
      <c r="C175" s="59" t="s">
        <v>4389</v>
      </c>
      <c r="D175" s="59" t="s">
        <v>4356</v>
      </c>
      <c r="E175" s="59" t="s">
        <v>4340</v>
      </c>
      <c r="F175" s="59"/>
      <c r="G175" s="59" t="s">
        <v>4374</v>
      </c>
      <c r="H175" s="59" t="s">
        <v>4358</v>
      </c>
      <c r="I175" s="59" t="s">
        <v>4376</v>
      </c>
      <c r="J175" s="59" t="s">
        <v>7020</v>
      </c>
      <c r="K175" s="59"/>
      <c r="L175" s="59"/>
      <c r="M175" s="59" t="s">
        <v>4360</v>
      </c>
      <c r="N175" s="59" t="s">
        <v>4344</v>
      </c>
      <c r="O175" s="59" t="s">
        <v>709</v>
      </c>
      <c r="P175" s="59" t="s">
        <v>4362</v>
      </c>
      <c r="Q175" s="59" t="s">
        <v>3136</v>
      </c>
      <c r="R175" s="59" t="s">
        <v>4364</v>
      </c>
      <c r="S175" s="59" t="s">
        <v>4348</v>
      </c>
      <c r="T175" s="59" t="s">
        <v>4366</v>
      </c>
      <c r="U175" s="59" t="s">
        <v>4350</v>
      </c>
      <c r="V175" s="59" t="s">
        <v>4351</v>
      </c>
      <c r="W175" s="59" t="s">
        <v>4369</v>
      </c>
      <c r="X175" s="59"/>
    </row>
    <row r="176" spans="1:24" ht="17.25" x14ac:dyDescent="0.3">
      <c r="A176" s="59" t="s">
        <v>4370</v>
      </c>
      <c r="B176" s="59" t="s">
        <v>4405</v>
      </c>
      <c r="C176" s="59" t="s">
        <v>4406</v>
      </c>
      <c r="D176" s="59" t="s">
        <v>4373</v>
      </c>
      <c r="E176" s="59" t="s">
        <v>7021</v>
      </c>
      <c r="F176" s="59"/>
      <c r="G176" s="59" t="s">
        <v>4391</v>
      </c>
      <c r="H176" s="59" t="s">
        <v>4375</v>
      </c>
      <c r="I176" s="59" t="s">
        <v>4393</v>
      </c>
      <c r="J176" s="59" t="s">
        <v>7194</v>
      </c>
      <c r="K176" s="59"/>
      <c r="L176" s="59"/>
      <c r="M176" s="59" t="s">
        <v>4377</v>
      </c>
      <c r="N176" s="59" t="s">
        <v>4361</v>
      </c>
      <c r="O176" s="59" t="s">
        <v>809</v>
      </c>
      <c r="P176" s="59" t="s">
        <v>4379</v>
      </c>
      <c r="Q176" s="59" t="s">
        <v>4257</v>
      </c>
      <c r="R176" s="59" t="s">
        <v>4381</v>
      </c>
      <c r="S176" s="59" t="s">
        <v>4365</v>
      </c>
      <c r="T176" s="59" t="s">
        <v>4383</v>
      </c>
      <c r="U176" s="59" t="s">
        <v>4367</v>
      </c>
      <c r="V176" s="59" t="s">
        <v>4368</v>
      </c>
      <c r="W176" s="59" t="s">
        <v>4386</v>
      </c>
      <c r="X176" s="59"/>
    </row>
    <row r="177" spans="1:24" ht="17.25" x14ac:dyDescent="0.3">
      <c r="A177" s="59" t="s">
        <v>4387</v>
      </c>
      <c r="B177" s="59" t="s">
        <v>4421</v>
      </c>
      <c r="C177" s="59" t="s">
        <v>4422</v>
      </c>
      <c r="D177" s="59" t="s">
        <v>4390</v>
      </c>
      <c r="E177" s="59" t="s">
        <v>7022</v>
      </c>
      <c r="F177" s="59"/>
      <c r="G177" s="59" t="s">
        <v>4408</v>
      </c>
      <c r="H177" s="59" t="s">
        <v>4392</v>
      </c>
      <c r="I177" s="59" t="s">
        <v>4410</v>
      </c>
      <c r="J177" s="59" t="s">
        <v>7195</v>
      </c>
      <c r="K177" s="59"/>
      <c r="L177" s="59"/>
      <c r="M177" s="59" t="s">
        <v>4394</v>
      </c>
      <c r="N177" s="59" t="s">
        <v>4378</v>
      </c>
      <c r="O177" s="59" t="s">
        <v>983</v>
      </c>
      <c r="P177" s="59" t="s">
        <v>4396</v>
      </c>
      <c r="Q177" s="59" t="s">
        <v>4275</v>
      </c>
      <c r="R177" s="59" t="s">
        <v>4398</v>
      </c>
      <c r="S177" s="59" t="s">
        <v>4382</v>
      </c>
      <c r="T177" s="59" t="s">
        <v>4400</v>
      </c>
      <c r="U177" s="59" t="s">
        <v>4384</v>
      </c>
      <c r="V177" s="59" t="s">
        <v>4385</v>
      </c>
      <c r="W177" s="59" t="s">
        <v>4403</v>
      </c>
      <c r="X177" s="59"/>
    </row>
    <row r="178" spans="1:24" ht="17.25" x14ac:dyDescent="0.3">
      <c r="A178" s="59" t="s">
        <v>4404</v>
      </c>
      <c r="B178" s="59" t="s">
        <v>4437</v>
      </c>
      <c r="C178" s="59" t="s">
        <v>4438</v>
      </c>
      <c r="D178" s="59" t="s">
        <v>4407</v>
      </c>
      <c r="E178" s="59" t="s">
        <v>7023</v>
      </c>
      <c r="F178" s="59"/>
      <c r="G178" s="59" t="s">
        <v>4424</v>
      </c>
      <c r="H178" s="59" t="s">
        <v>4409</v>
      </c>
      <c r="I178" s="59" t="s">
        <v>4426</v>
      </c>
      <c r="J178" s="59" t="s">
        <v>7196</v>
      </c>
      <c r="K178" s="59"/>
      <c r="L178" s="59"/>
      <c r="M178" s="59" t="s">
        <v>4411</v>
      </c>
      <c r="N178" s="59" t="s">
        <v>4395</v>
      </c>
      <c r="O178" s="59" t="s">
        <v>585</v>
      </c>
      <c r="P178" s="59" t="s">
        <v>4412</v>
      </c>
      <c r="Q178" s="59" t="s">
        <v>4293</v>
      </c>
      <c r="R178" s="59" t="s">
        <v>4414</v>
      </c>
      <c r="S178" s="59" t="s">
        <v>4399</v>
      </c>
      <c r="T178" s="59" t="s">
        <v>4416</v>
      </c>
      <c r="U178" s="59" t="s">
        <v>4401</v>
      </c>
      <c r="V178" s="59" t="s">
        <v>4402</v>
      </c>
      <c r="W178" s="59" t="s">
        <v>4419</v>
      </c>
      <c r="X178" s="59"/>
    </row>
    <row r="179" spans="1:24" ht="17.25" x14ac:dyDescent="0.3">
      <c r="A179" s="59" t="s">
        <v>4420</v>
      </c>
      <c r="B179" s="59" t="s">
        <v>4453</v>
      </c>
      <c r="C179" s="59" t="s">
        <v>4454</v>
      </c>
      <c r="D179" s="59" t="s">
        <v>4423</v>
      </c>
      <c r="E179" s="59" t="s">
        <v>6507</v>
      </c>
      <c r="F179" s="59"/>
      <c r="G179" s="59" t="s">
        <v>4440</v>
      </c>
      <c r="H179" s="59" t="s">
        <v>4425</v>
      </c>
      <c r="I179" s="59" t="s">
        <v>4442</v>
      </c>
      <c r="J179" s="59" t="s">
        <v>7252</v>
      </c>
      <c r="K179" s="59"/>
      <c r="L179" s="59"/>
      <c r="M179" s="59" t="s">
        <v>4427</v>
      </c>
      <c r="N179" s="59" t="s">
        <v>7024</v>
      </c>
      <c r="O179" s="59" t="s">
        <v>1706</v>
      </c>
      <c r="P179" s="59" t="s">
        <v>4428</v>
      </c>
      <c r="Q179" s="59" t="s">
        <v>5035</v>
      </c>
      <c r="R179" s="59" t="s">
        <v>4430</v>
      </c>
      <c r="S179" s="59" t="s">
        <v>4415</v>
      </c>
      <c r="T179" s="59" t="s">
        <v>4432</v>
      </c>
      <c r="U179" s="59" t="s">
        <v>4417</v>
      </c>
      <c r="V179" s="59" t="s">
        <v>4418</v>
      </c>
      <c r="W179" s="59" t="s">
        <v>4435</v>
      </c>
      <c r="X179" s="59"/>
    </row>
    <row r="180" spans="1:24" ht="17.25" x14ac:dyDescent="0.3">
      <c r="A180" s="59" t="s">
        <v>4436</v>
      </c>
      <c r="B180" s="59" t="s">
        <v>4469</v>
      </c>
      <c r="C180" s="59" t="s">
        <v>4470</v>
      </c>
      <c r="D180" s="59" t="s">
        <v>4439</v>
      </c>
      <c r="E180" s="59" t="s">
        <v>7025</v>
      </c>
      <c r="F180" s="59"/>
      <c r="G180" s="59" t="s">
        <v>4456</v>
      </c>
      <c r="H180" s="59" t="s">
        <v>4441</v>
      </c>
      <c r="I180" s="59" t="s">
        <v>4458</v>
      </c>
      <c r="J180" s="59" t="s">
        <v>7253</v>
      </c>
      <c r="K180" s="59"/>
      <c r="L180" s="59"/>
      <c r="M180" s="59" t="s">
        <v>4443</v>
      </c>
      <c r="N180" s="59" t="s">
        <v>7026</v>
      </c>
      <c r="O180" s="59" t="s">
        <v>1008</v>
      </c>
      <c r="P180" s="59" t="s">
        <v>4444</v>
      </c>
      <c r="Q180" s="59" t="s">
        <v>5706</v>
      </c>
      <c r="R180" s="59" t="s">
        <v>4446</v>
      </c>
      <c r="S180" s="59" t="s">
        <v>4431</v>
      </c>
      <c r="T180" s="59" t="s">
        <v>4448</v>
      </c>
      <c r="U180" s="59" t="s">
        <v>4433</v>
      </c>
      <c r="V180" s="59" t="s">
        <v>4434</v>
      </c>
      <c r="W180" s="59" t="s">
        <v>4451</v>
      </c>
      <c r="X180" s="59"/>
    </row>
    <row r="181" spans="1:24" ht="17.25" x14ac:dyDescent="0.3">
      <c r="A181" s="59" t="s">
        <v>4452</v>
      </c>
      <c r="B181" s="59" t="s">
        <v>4484</v>
      </c>
      <c r="C181" s="59" t="s">
        <v>4485</v>
      </c>
      <c r="D181" s="59" t="s">
        <v>4455</v>
      </c>
      <c r="E181" s="59" t="s">
        <v>7197</v>
      </c>
      <c r="F181" s="59"/>
      <c r="G181" s="59" t="s">
        <v>4472</v>
      </c>
      <c r="H181" s="59" t="s">
        <v>4457</v>
      </c>
      <c r="I181" s="59" t="s">
        <v>7027</v>
      </c>
      <c r="J181" s="59" t="s">
        <v>7254</v>
      </c>
      <c r="K181" s="59"/>
      <c r="L181" s="59"/>
      <c r="M181" s="59" t="s">
        <v>4459</v>
      </c>
      <c r="N181" s="59" t="s">
        <v>7028</v>
      </c>
      <c r="O181" s="59" t="s">
        <v>1607</v>
      </c>
      <c r="P181" s="59" t="s">
        <v>4460</v>
      </c>
      <c r="Q181" s="59" t="s">
        <v>5244</v>
      </c>
      <c r="R181" s="59" t="s">
        <v>4462</v>
      </c>
      <c r="S181" s="59" t="s">
        <v>4447</v>
      </c>
      <c r="T181" s="59" t="s">
        <v>4464</v>
      </c>
      <c r="U181" s="59" t="s">
        <v>4449</v>
      </c>
      <c r="V181" s="59" t="s">
        <v>4450</v>
      </c>
      <c r="W181" s="59" t="s">
        <v>4467</v>
      </c>
      <c r="X181" s="59"/>
    </row>
    <row r="182" spans="1:24" ht="17.25" x14ac:dyDescent="0.3">
      <c r="A182" s="59" t="s">
        <v>4468</v>
      </c>
      <c r="B182" s="59" t="s">
        <v>4499</v>
      </c>
      <c r="C182" s="59" t="s">
        <v>7031</v>
      </c>
      <c r="D182" s="59" t="s">
        <v>4471</v>
      </c>
      <c r="E182" s="59" t="s">
        <v>7255</v>
      </c>
      <c r="F182" s="59"/>
      <c r="G182" s="59" t="s">
        <v>4487</v>
      </c>
      <c r="H182" s="59" t="s">
        <v>4473</v>
      </c>
      <c r="I182" s="59" t="s">
        <v>7029</v>
      </c>
      <c r="J182" s="59"/>
      <c r="K182" s="59"/>
      <c r="L182" s="59"/>
      <c r="M182" s="59" t="s">
        <v>4474</v>
      </c>
      <c r="N182" s="59" t="s">
        <v>7030</v>
      </c>
      <c r="O182" s="59" t="s">
        <v>1508</v>
      </c>
      <c r="P182" s="59" t="s">
        <v>4475</v>
      </c>
      <c r="Q182" s="59" t="s">
        <v>5444</v>
      </c>
      <c r="R182" s="59" t="s">
        <v>4477</v>
      </c>
      <c r="S182" s="59" t="s">
        <v>4463</v>
      </c>
      <c r="T182" s="59" t="s">
        <v>4479</v>
      </c>
      <c r="U182" s="59" t="s">
        <v>4465</v>
      </c>
      <c r="V182" s="59" t="s">
        <v>4466</v>
      </c>
      <c r="W182" s="59" t="s">
        <v>4482</v>
      </c>
      <c r="X182" s="59"/>
    </row>
    <row r="183" spans="1:24" ht="17.25" x14ac:dyDescent="0.3">
      <c r="A183" s="59" t="s">
        <v>4483</v>
      </c>
      <c r="B183" s="59" t="s">
        <v>4513</v>
      </c>
      <c r="C183" s="59" t="s">
        <v>7034</v>
      </c>
      <c r="D183" s="59" t="s">
        <v>4486</v>
      </c>
      <c r="E183" s="59" t="s">
        <v>3201</v>
      </c>
      <c r="F183" s="59"/>
      <c r="G183" s="59" t="s">
        <v>4501</v>
      </c>
      <c r="H183" s="59" t="s">
        <v>4488</v>
      </c>
      <c r="I183" s="59" t="s">
        <v>7032</v>
      </c>
      <c r="J183" s="59"/>
      <c r="K183" s="59"/>
      <c r="L183" s="59"/>
      <c r="M183" s="59" t="s">
        <v>4489</v>
      </c>
      <c r="N183" s="59" t="s">
        <v>7033</v>
      </c>
      <c r="O183" s="59" t="s">
        <v>7256</v>
      </c>
      <c r="P183" s="59" t="s">
        <v>4490</v>
      </c>
      <c r="Q183" s="59" t="s">
        <v>5671</v>
      </c>
      <c r="R183" s="59" t="s">
        <v>4492</v>
      </c>
      <c r="S183" s="59" t="s">
        <v>4478</v>
      </c>
      <c r="T183" s="59" t="s">
        <v>4494</v>
      </c>
      <c r="U183" s="59" t="s">
        <v>4480</v>
      </c>
      <c r="V183" s="59" t="s">
        <v>4481</v>
      </c>
      <c r="W183" s="59" t="s">
        <v>4497</v>
      </c>
      <c r="X183" s="59"/>
    </row>
    <row r="184" spans="1:24" ht="17.25" x14ac:dyDescent="0.3">
      <c r="A184" s="59" t="s">
        <v>4498</v>
      </c>
      <c r="B184" s="59" t="s">
        <v>4527</v>
      </c>
      <c r="C184" s="59" t="s">
        <v>7037</v>
      </c>
      <c r="D184" s="59" t="s">
        <v>4500</v>
      </c>
      <c r="E184" s="59"/>
      <c r="F184" s="59"/>
      <c r="G184" s="59" t="s">
        <v>4515</v>
      </c>
      <c r="H184" s="59" t="s">
        <v>4502</v>
      </c>
      <c r="I184" s="59" t="s">
        <v>7035</v>
      </c>
      <c r="J184" s="59"/>
      <c r="K184" s="59"/>
      <c r="L184" s="59"/>
      <c r="M184" s="59" t="s">
        <v>4503</v>
      </c>
      <c r="N184" s="59" t="s">
        <v>7036</v>
      </c>
      <c r="O184" s="59"/>
      <c r="P184" s="59" t="s">
        <v>4504</v>
      </c>
      <c r="Q184" s="59" t="s">
        <v>3205</v>
      </c>
      <c r="R184" s="59" t="s">
        <v>4506</v>
      </c>
      <c r="S184" s="59" t="s">
        <v>4493</v>
      </c>
      <c r="T184" s="59" t="s">
        <v>4522</v>
      </c>
      <c r="U184" s="59" t="s">
        <v>4495</v>
      </c>
      <c r="V184" s="59" t="s">
        <v>4496</v>
      </c>
      <c r="W184" s="59" t="s">
        <v>4511</v>
      </c>
      <c r="X184" s="59"/>
    </row>
    <row r="185" spans="1:24" ht="17.25" x14ac:dyDescent="0.3">
      <c r="A185" s="59" t="s">
        <v>4512</v>
      </c>
      <c r="B185" s="59" t="s">
        <v>4540</v>
      </c>
      <c r="C185" s="59" t="s">
        <v>7040</v>
      </c>
      <c r="D185" s="59" t="s">
        <v>4514</v>
      </c>
      <c r="E185" s="59"/>
      <c r="F185" s="59"/>
      <c r="G185" s="59" t="s">
        <v>4529</v>
      </c>
      <c r="H185" s="59" t="s">
        <v>4516</v>
      </c>
      <c r="I185" s="59" t="s">
        <v>7038</v>
      </c>
      <c r="J185" s="59"/>
      <c r="K185" s="59"/>
      <c r="L185" s="59"/>
      <c r="M185" s="59" t="s">
        <v>4517</v>
      </c>
      <c r="N185" s="59" t="s">
        <v>7039</v>
      </c>
      <c r="O185" s="59"/>
      <c r="P185" s="59" t="s">
        <v>4518</v>
      </c>
      <c r="Q185" s="59" t="s">
        <v>5754</v>
      </c>
      <c r="R185" s="59" t="s">
        <v>4520</v>
      </c>
      <c r="S185" s="59" t="s">
        <v>4507</v>
      </c>
      <c r="T185" s="59" t="s">
        <v>4536</v>
      </c>
      <c r="U185" s="59" t="s">
        <v>4509</v>
      </c>
      <c r="V185" s="59" t="s">
        <v>4510</v>
      </c>
      <c r="W185" s="59" t="s">
        <v>4525</v>
      </c>
      <c r="X185" s="59"/>
    </row>
    <row r="186" spans="1:24" ht="17.25" x14ac:dyDescent="0.3">
      <c r="A186" s="59" t="s">
        <v>4526</v>
      </c>
      <c r="B186" s="59" t="s">
        <v>4554</v>
      </c>
      <c r="C186" s="59" t="s">
        <v>7257</v>
      </c>
      <c r="D186" s="59" t="s">
        <v>4528</v>
      </c>
      <c r="E186" s="59"/>
      <c r="F186" s="59"/>
      <c r="G186" s="59" t="s">
        <v>4542</v>
      </c>
      <c r="H186" s="59" t="s">
        <v>4530</v>
      </c>
      <c r="I186" s="59" t="s">
        <v>7041</v>
      </c>
      <c r="J186" s="59"/>
      <c r="K186" s="59"/>
      <c r="L186" s="59"/>
      <c r="M186" s="59" t="s">
        <v>4531</v>
      </c>
      <c r="N186" s="59" t="s">
        <v>3835</v>
      </c>
      <c r="O186" s="59"/>
      <c r="P186" s="59" t="s">
        <v>4532</v>
      </c>
      <c r="Q186" s="59" t="s">
        <v>4546</v>
      </c>
      <c r="R186" s="59" t="s">
        <v>4534</v>
      </c>
      <c r="S186" s="59" t="s">
        <v>4521</v>
      </c>
      <c r="T186" s="59" t="s">
        <v>4549</v>
      </c>
      <c r="U186" s="59" t="s">
        <v>4523</v>
      </c>
      <c r="V186" s="59" t="s">
        <v>4524</v>
      </c>
      <c r="W186" s="59" t="s">
        <v>4539</v>
      </c>
      <c r="X186" s="59"/>
    </row>
    <row r="187" spans="1:24" ht="17.25" x14ac:dyDescent="0.3">
      <c r="A187" s="59" t="s">
        <v>4553</v>
      </c>
      <c r="B187" s="59" t="s">
        <v>4568</v>
      </c>
      <c r="C187" s="59" t="s">
        <v>7258</v>
      </c>
      <c r="D187" s="59" t="s">
        <v>4541</v>
      </c>
      <c r="E187" s="59"/>
      <c r="F187" s="59"/>
      <c r="G187" s="59" t="s">
        <v>4556</v>
      </c>
      <c r="H187" s="59" t="s">
        <v>4543</v>
      </c>
      <c r="I187" s="59" t="s">
        <v>7042</v>
      </c>
      <c r="J187" s="59"/>
      <c r="K187" s="59"/>
      <c r="L187" s="59"/>
      <c r="M187" s="59" t="s">
        <v>4544</v>
      </c>
      <c r="N187" s="59" t="s">
        <v>1283</v>
      </c>
      <c r="O187" s="59"/>
      <c r="P187" s="59" t="s">
        <v>4545</v>
      </c>
      <c r="Q187" s="59" t="s">
        <v>688</v>
      </c>
      <c r="R187" s="59" t="s">
        <v>4547</v>
      </c>
      <c r="S187" s="59" t="s">
        <v>4535</v>
      </c>
      <c r="T187" s="59" t="s">
        <v>4563</v>
      </c>
      <c r="U187" s="59" t="s">
        <v>4537</v>
      </c>
      <c r="V187" s="59" t="s">
        <v>4538</v>
      </c>
      <c r="W187" s="59" t="s">
        <v>4552</v>
      </c>
      <c r="X187" s="59"/>
    </row>
    <row r="188" spans="1:24" ht="17.25" x14ac:dyDescent="0.3">
      <c r="A188" s="59" t="s">
        <v>4567</v>
      </c>
      <c r="B188" s="59" t="s">
        <v>4582</v>
      </c>
      <c r="C188" s="59" t="s">
        <v>7259</v>
      </c>
      <c r="D188" s="59" t="s">
        <v>4555</v>
      </c>
      <c r="E188" s="59"/>
      <c r="F188" s="59"/>
      <c r="G188" s="59" t="s">
        <v>4570</v>
      </c>
      <c r="H188" s="59" t="s">
        <v>4557</v>
      </c>
      <c r="I188" s="59" t="s">
        <v>7043</v>
      </c>
      <c r="J188" s="59"/>
      <c r="K188" s="59"/>
      <c r="L188" s="59"/>
      <c r="M188" s="59" t="s">
        <v>4558</v>
      </c>
      <c r="N188" s="59" t="s">
        <v>535</v>
      </c>
      <c r="O188" s="59"/>
      <c r="P188" s="59" t="s">
        <v>4559</v>
      </c>
      <c r="Q188" s="59" t="s">
        <v>5778</v>
      </c>
      <c r="R188" s="59" t="s">
        <v>4561</v>
      </c>
      <c r="S188" s="59" t="s">
        <v>4548</v>
      </c>
      <c r="T188" s="59" t="s">
        <v>4577</v>
      </c>
      <c r="U188" s="59" t="s">
        <v>4550</v>
      </c>
      <c r="V188" s="59" t="s">
        <v>4551</v>
      </c>
      <c r="W188" s="59" t="s">
        <v>4566</v>
      </c>
      <c r="X188" s="59"/>
    </row>
    <row r="189" spans="1:24" ht="17.25" x14ac:dyDescent="0.3">
      <c r="A189" s="59" t="s">
        <v>4581</v>
      </c>
      <c r="B189" s="59" t="s">
        <v>4596</v>
      </c>
      <c r="C189" s="59"/>
      <c r="D189" s="59" t="s">
        <v>4569</v>
      </c>
      <c r="E189" s="59"/>
      <c r="F189" s="59"/>
      <c r="G189" s="59" t="s">
        <v>4584</v>
      </c>
      <c r="H189" s="59" t="s">
        <v>4571</v>
      </c>
      <c r="I189" s="59" t="s">
        <v>7044</v>
      </c>
      <c r="J189" s="59"/>
      <c r="K189" s="59"/>
      <c r="L189" s="59"/>
      <c r="M189" s="59" t="s">
        <v>4572</v>
      </c>
      <c r="N189" s="59" t="s">
        <v>385</v>
      </c>
      <c r="O189" s="59"/>
      <c r="P189" s="59" t="s">
        <v>4573</v>
      </c>
      <c r="Q189" s="59" t="s">
        <v>1710</v>
      </c>
      <c r="R189" s="59" t="s">
        <v>4575</v>
      </c>
      <c r="S189" s="59" t="s">
        <v>4562</v>
      </c>
      <c r="T189" s="59" t="s">
        <v>4591</v>
      </c>
      <c r="U189" s="59" t="s">
        <v>4564</v>
      </c>
      <c r="V189" s="59" t="s">
        <v>4565</v>
      </c>
      <c r="W189" s="59" t="s">
        <v>4580</v>
      </c>
      <c r="X189" s="59"/>
    </row>
    <row r="190" spans="1:24" ht="17.25" x14ac:dyDescent="0.3">
      <c r="A190" s="59" t="s">
        <v>4595</v>
      </c>
      <c r="B190" s="59" t="s">
        <v>4610</v>
      </c>
      <c r="C190" s="59"/>
      <c r="D190" s="59" t="s">
        <v>4583</v>
      </c>
      <c r="E190" s="59"/>
      <c r="F190" s="59"/>
      <c r="G190" s="59" t="s">
        <v>4598</v>
      </c>
      <c r="H190" s="59" t="s">
        <v>4585</v>
      </c>
      <c r="I190" s="59" t="s">
        <v>7045</v>
      </c>
      <c r="J190" s="59"/>
      <c r="K190" s="59"/>
      <c r="L190" s="59"/>
      <c r="M190" s="59" t="s">
        <v>4586</v>
      </c>
      <c r="N190" s="59" t="s">
        <v>360</v>
      </c>
      <c r="O190" s="59"/>
      <c r="P190" s="59" t="s">
        <v>4587</v>
      </c>
      <c r="Q190" s="59" t="s">
        <v>3342</v>
      </c>
      <c r="R190" s="59" t="s">
        <v>4589</v>
      </c>
      <c r="S190" s="59" t="s">
        <v>4576</v>
      </c>
      <c r="T190" s="59" t="s">
        <v>4605</v>
      </c>
      <c r="U190" s="59" t="s">
        <v>4578</v>
      </c>
      <c r="V190" s="59" t="s">
        <v>4579</v>
      </c>
      <c r="W190" s="59" t="s">
        <v>4594</v>
      </c>
      <c r="X190" s="59"/>
    </row>
    <row r="191" spans="1:24" ht="17.25" x14ac:dyDescent="0.3">
      <c r="A191" s="59" t="s">
        <v>4609</v>
      </c>
      <c r="B191" s="59" t="s">
        <v>4623</v>
      </c>
      <c r="C191" s="59"/>
      <c r="D191" s="59" t="s">
        <v>4597</v>
      </c>
      <c r="E191" s="59"/>
      <c r="F191" s="59"/>
      <c r="G191" s="59" t="s">
        <v>4612</v>
      </c>
      <c r="H191" s="59" t="s">
        <v>4599</v>
      </c>
      <c r="I191" s="59" t="s">
        <v>7260</v>
      </c>
      <c r="J191" s="59"/>
      <c r="K191" s="59"/>
      <c r="L191" s="59"/>
      <c r="M191" s="59" t="s">
        <v>4600</v>
      </c>
      <c r="N191" s="59" t="s">
        <v>410</v>
      </c>
      <c r="O191" s="59"/>
      <c r="P191" s="59" t="s">
        <v>4601</v>
      </c>
      <c r="Q191" s="59" t="s">
        <v>2953</v>
      </c>
      <c r="R191" s="59" t="s">
        <v>4603</v>
      </c>
      <c r="S191" s="59" t="s">
        <v>4590</v>
      </c>
      <c r="T191" s="59" t="s">
        <v>4619</v>
      </c>
      <c r="U191" s="59" t="s">
        <v>4592</v>
      </c>
      <c r="V191" s="59" t="s">
        <v>4593</v>
      </c>
      <c r="W191" s="59" t="s">
        <v>4608</v>
      </c>
      <c r="X191" s="59"/>
    </row>
    <row r="192" spans="1:24" ht="17.25" x14ac:dyDescent="0.3">
      <c r="A192" s="59" t="s">
        <v>4622</v>
      </c>
      <c r="B192" s="59" t="s">
        <v>4637</v>
      </c>
      <c r="C192" s="59"/>
      <c r="D192" s="59" t="s">
        <v>4611</v>
      </c>
      <c r="E192" s="59"/>
      <c r="F192" s="59"/>
      <c r="G192" s="59" t="s">
        <v>4625</v>
      </c>
      <c r="H192" s="59" t="s">
        <v>4613</v>
      </c>
      <c r="I192" s="59"/>
      <c r="J192" s="59"/>
      <c r="K192" s="59"/>
      <c r="L192" s="59"/>
      <c r="M192" s="59" t="s">
        <v>4614</v>
      </c>
      <c r="N192" s="59" t="s">
        <v>460</v>
      </c>
      <c r="O192" s="59"/>
      <c r="P192" s="59" t="s">
        <v>4615</v>
      </c>
      <c r="Q192" s="59" t="s">
        <v>1926</v>
      </c>
      <c r="R192" s="59" t="s">
        <v>4617</v>
      </c>
      <c r="S192" s="59" t="s">
        <v>4604</v>
      </c>
      <c r="T192" s="59" t="s">
        <v>4632</v>
      </c>
      <c r="U192" s="59" t="s">
        <v>4606</v>
      </c>
      <c r="V192" s="59" t="s">
        <v>4607</v>
      </c>
      <c r="W192" s="59" t="s">
        <v>4635</v>
      </c>
      <c r="X192" s="59"/>
    </row>
    <row r="193" spans="1:24" ht="17.25" x14ac:dyDescent="0.3">
      <c r="A193" s="59" t="s">
        <v>4636</v>
      </c>
      <c r="B193" s="59" t="s">
        <v>4651</v>
      </c>
      <c r="C193" s="59"/>
      <c r="D193" s="59" t="s">
        <v>4624</v>
      </c>
      <c r="E193" s="59"/>
      <c r="F193" s="59"/>
      <c r="G193" s="59" t="s">
        <v>4639</v>
      </c>
      <c r="H193" s="59" t="s">
        <v>4626</v>
      </c>
      <c r="I193" s="59"/>
      <c r="J193" s="59"/>
      <c r="K193" s="59"/>
      <c r="L193" s="59"/>
      <c r="M193" s="59" t="s">
        <v>4627</v>
      </c>
      <c r="N193" s="59" t="s">
        <v>834</v>
      </c>
      <c r="O193" s="59"/>
      <c r="P193" s="59" t="s">
        <v>4628</v>
      </c>
      <c r="Q193" s="59" t="s">
        <v>3045</v>
      </c>
      <c r="R193" s="59" t="s">
        <v>4630</v>
      </c>
      <c r="S193" s="59" t="s">
        <v>4618</v>
      </c>
      <c r="T193" s="59" t="s">
        <v>4646</v>
      </c>
      <c r="U193" s="59" t="s">
        <v>4620</v>
      </c>
      <c r="V193" s="59" t="s">
        <v>4621</v>
      </c>
      <c r="W193" s="59" t="s">
        <v>4649</v>
      </c>
      <c r="X193" s="59"/>
    </row>
    <row r="194" spans="1:24" ht="17.25" x14ac:dyDescent="0.3">
      <c r="A194" s="59" t="s">
        <v>4650</v>
      </c>
      <c r="B194" s="59" t="s">
        <v>4665</v>
      </c>
      <c r="C194" s="59"/>
      <c r="D194" s="59" t="s">
        <v>4638</v>
      </c>
      <c r="E194" s="59"/>
      <c r="F194" s="59"/>
      <c r="G194" s="59" t="s">
        <v>4653</v>
      </c>
      <c r="H194" s="59" t="s">
        <v>4640</v>
      </c>
      <c r="I194" s="59"/>
      <c r="J194" s="59"/>
      <c r="K194" s="59"/>
      <c r="L194" s="59"/>
      <c r="M194" s="59" t="s">
        <v>4641</v>
      </c>
      <c r="N194" s="59" t="s">
        <v>435</v>
      </c>
      <c r="O194" s="59"/>
      <c r="P194" s="59" t="s">
        <v>4642</v>
      </c>
      <c r="Q194" s="59" t="s">
        <v>5647</v>
      </c>
      <c r="R194" s="59" t="s">
        <v>4644</v>
      </c>
      <c r="S194" s="59" t="s">
        <v>4631</v>
      </c>
      <c r="T194" s="59" t="s">
        <v>4660</v>
      </c>
      <c r="U194" s="59" t="s">
        <v>4633</v>
      </c>
      <c r="V194" s="59" t="s">
        <v>4634</v>
      </c>
      <c r="W194" s="59" t="s">
        <v>4663</v>
      </c>
      <c r="X194" s="59"/>
    </row>
    <row r="195" spans="1:24" ht="17.25" x14ac:dyDescent="0.3">
      <c r="A195" s="59" t="s">
        <v>4664</v>
      </c>
      <c r="B195" s="59" t="s">
        <v>4679</v>
      </c>
      <c r="C195" s="59"/>
      <c r="D195" s="59" t="s">
        <v>4652</v>
      </c>
      <c r="E195" s="59"/>
      <c r="F195" s="59"/>
      <c r="G195" s="59" t="s">
        <v>4667</v>
      </c>
      <c r="H195" s="59" t="s">
        <v>4654</v>
      </c>
      <c r="I195" s="59"/>
      <c r="J195" s="59"/>
      <c r="K195" s="59"/>
      <c r="L195" s="59"/>
      <c r="M195" s="59" t="s">
        <v>4655</v>
      </c>
      <c r="N195" s="59" t="s">
        <v>1682</v>
      </c>
      <c r="O195" s="59"/>
      <c r="P195" s="59" t="s">
        <v>4656</v>
      </c>
      <c r="Q195" s="59" t="s">
        <v>1950</v>
      </c>
      <c r="R195" s="59" t="s">
        <v>4658</v>
      </c>
      <c r="S195" s="59" t="s">
        <v>4645</v>
      </c>
      <c r="T195" s="59" t="s">
        <v>4674</v>
      </c>
      <c r="U195" s="59" t="s">
        <v>4647</v>
      </c>
      <c r="V195" s="59" t="s">
        <v>4648</v>
      </c>
      <c r="W195" s="59" t="s">
        <v>4677</v>
      </c>
      <c r="X195" s="59"/>
    </row>
    <row r="196" spans="1:24" ht="17.25" x14ac:dyDescent="0.3">
      <c r="A196" s="59" t="s">
        <v>4678</v>
      </c>
      <c r="B196" s="59" t="s">
        <v>4693</v>
      </c>
      <c r="C196" s="59"/>
      <c r="D196" s="59" t="s">
        <v>4666</v>
      </c>
      <c r="E196" s="59"/>
      <c r="F196" s="59"/>
      <c r="G196" s="59" t="s">
        <v>4681</v>
      </c>
      <c r="H196" s="59" t="s">
        <v>4668</v>
      </c>
      <c r="I196" s="59"/>
      <c r="J196" s="59"/>
      <c r="K196" s="59"/>
      <c r="L196" s="59"/>
      <c r="M196" s="59" t="s">
        <v>4669</v>
      </c>
      <c r="N196" s="59" t="s">
        <v>784</v>
      </c>
      <c r="O196" s="59"/>
      <c r="P196" s="59" t="s">
        <v>4670</v>
      </c>
      <c r="Q196" s="59" t="s">
        <v>5077</v>
      </c>
      <c r="R196" s="59" t="s">
        <v>4672</v>
      </c>
      <c r="S196" s="59" t="s">
        <v>4659</v>
      </c>
      <c r="T196" s="59" t="s">
        <v>4688</v>
      </c>
      <c r="U196" s="59" t="s">
        <v>4661</v>
      </c>
      <c r="V196" s="59" t="s">
        <v>4662</v>
      </c>
      <c r="W196" s="59" t="s">
        <v>4691</v>
      </c>
      <c r="X196" s="59"/>
    </row>
    <row r="197" spans="1:24" ht="17.25" x14ac:dyDescent="0.3">
      <c r="A197" s="59" t="s">
        <v>4692</v>
      </c>
      <c r="B197" s="59" t="s">
        <v>4707</v>
      </c>
      <c r="C197" s="59"/>
      <c r="D197" s="59" t="s">
        <v>4680</v>
      </c>
      <c r="E197" s="59"/>
      <c r="F197" s="59"/>
      <c r="G197" s="59" t="s">
        <v>4695</v>
      </c>
      <c r="H197" s="59" t="s">
        <v>4682</v>
      </c>
      <c r="I197" s="59"/>
      <c r="J197" s="59"/>
      <c r="K197" s="59"/>
      <c r="L197" s="59"/>
      <c r="M197" s="59" t="s">
        <v>4683</v>
      </c>
      <c r="N197" s="59" t="s">
        <v>1058</v>
      </c>
      <c r="O197" s="59"/>
      <c r="P197" s="59" t="s">
        <v>4684</v>
      </c>
      <c r="Q197" s="59" t="s">
        <v>5299</v>
      </c>
      <c r="R197" s="59" t="s">
        <v>4686</v>
      </c>
      <c r="S197" s="59" t="s">
        <v>4673</v>
      </c>
      <c r="T197" s="59" t="s">
        <v>4702</v>
      </c>
      <c r="U197" s="59" t="s">
        <v>4675</v>
      </c>
      <c r="V197" s="59" t="s">
        <v>4676</v>
      </c>
      <c r="W197" s="59" t="s">
        <v>4705</v>
      </c>
      <c r="X197" s="59"/>
    </row>
    <row r="198" spans="1:24" ht="17.25" x14ac:dyDescent="0.3">
      <c r="A198" s="59" t="s">
        <v>4706</v>
      </c>
      <c r="B198" s="59" t="s">
        <v>4721</v>
      </c>
      <c r="C198" s="59"/>
      <c r="D198" s="59" t="s">
        <v>4694</v>
      </c>
      <c r="E198" s="59"/>
      <c r="F198" s="59"/>
      <c r="G198" s="59" t="s">
        <v>4709</v>
      </c>
      <c r="H198" s="59" t="s">
        <v>4696</v>
      </c>
      <c r="I198" s="59"/>
      <c r="J198" s="59"/>
      <c r="K198" s="59"/>
      <c r="L198" s="59"/>
      <c r="M198" s="59" t="s">
        <v>4697</v>
      </c>
      <c r="N198" s="59" t="s">
        <v>1033</v>
      </c>
      <c r="O198" s="59"/>
      <c r="P198" s="59" t="s">
        <v>4698</v>
      </c>
      <c r="Q198" s="59" t="s">
        <v>2189</v>
      </c>
      <c r="R198" s="59" t="s">
        <v>4700</v>
      </c>
      <c r="S198" s="59" t="s">
        <v>4687</v>
      </c>
      <c r="T198" s="59" t="s">
        <v>4716</v>
      </c>
      <c r="U198" s="59" t="s">
        <v>4689</v>
      </c>
      <c r="V198" s="59" t="s">
        <v>4690</v>
      </c>
      <c r="W198" s="59" t="s">
        <v>4719</v>
      </c>
      <c r="X198" s="59"/>
    </row>
    <row r="199" spans="1:24" ht="17.25" x14ac:dyDescent="0.3">
      <c r="A199" s="59" t="s">
        <v>4720</v>
      </c>
      <c r="B199" s="59" t="s">
        <v>4735</v>
      </c>
      <c r="C199" s="59"/>
      <c r="D199" s="59" t="s">
        <v>4708</v>
      </c>
      <c r="E199" s="59"/>
      <c r="F199" s="59"/>
      <c r="G199" s="59" t="s">
        <v>4723</v>
      </c>
      <c r="H199" s="59" t="s">
        <v>4710</v>
      </c>
      <c r="I199" s="59"/>
      <c r="J199" s="59"/>
      <c r="K199" s="59"/>
      <c r="L199" s="59"/>
      <c r="M199" s="59" t="s">
        <v>4711</v>
      </c>
      <c r="N199" s="59" t="s">
        <v>1458</v>
      </c>
      <c r="O199" s="59"/>
      <c r="P199" s="59" t="s">
        <v>4712</v>
      </c>
      <c r="Q199" s="59" t="s">
        <v>2142</v>
      </c>
      <c r="R199" s="59" t="s">
        <v>4714</v>
      </c>
      <c r="S199" s="59" t="s">
        <v>4701</v>
      </c>
      <c r="T199" s="59" t="s">
        <v>4730</v>
      </c>
      <c r="U199" s="59" t="s">
        <v>4703</v>
      </c>
      <c r="V199" s="59" t="s">
        <v>4704</v>
      </c>
      <c r="W199" s="59" t="s">
        <v>4733</v>
      </c>
      <c r="X199" s="59"/>
    </row>
    <row r="200" spans="1:24" ht="17.25" x14ac:dyDescent="0.3">
      <c r="A200" s="59" t="s">
        <v>4734</v>
      </c>
      <c r="B200" s="59" t="s">
        <v>4749</v>
      </c>
      <c r="C200" s="59"/>
      <c r="D200" s="59" t="s">
        <v>4722</v>
      </c>
      <c r="E200" s="59"/>
      <c r="F200" s="59"/>
      <c r="G200" s="59" t="s">
        <v>4737</v>
      </c>
      <c r="H200" s="59" t="s">
        <v>4724</v>
      </c>
      <c r="I200" s="59"/>
      <c r="J200" s="59"/>
      <c r="K200" s="59"/>
      <c r="L200" s="59"/>
      <c r="M200" s="59" t="s">
        <v>4725</v>
      </c>
      <c r="N200" s="59" t="s">
        <v>1083</v>
      </c>
      <c r="O200" s="59"/>
      <c r="P200" s="59" t="s">
        <v>4726</v>
      </c>
      <c r="Q200" s="59" t="s">
        <v>5694</v>
      </c>
      <c r="R200" s="59" t="s">
        <v>4728</v>
      </c>
      <c r="S200" s="59" t="s">
        <v>4715</v>
      </c>
      <c r="T200" s="59" t="s">
        <v>4744</v>
      </c>
      <c r="U200" s="59" t="s">
        <v>4717</v>
      </c>
      <c r="V200" s="59" t="s">
        <v>4718</v>
      </c>
      <c r="W200" s="59" t="s">
        <v>4747</v>
      </c>
      <c r="X200" s="59"/>
    </row>
    <row r="201" spans="1:24" ht="17.25" x14ac:dyDescent="0.3">
      <c r="A201" s="59" t="s">
        <v>4748</v>
      </c>
      <c r="B201" s="59" t="s">
        <v>4763</v>
      </c>
      <c r="C201" s="59"/>
      <c r="D201" s="59" t="s">
        <v>4736</v>
      </c>
      <c r="E201" s="59"/>
      <c r="F201" s="59"/>
      <c r="G201" s="59" t="s">
        <v>4751</v>
      </c>
      <c r="H201" s="59" t="s">
        <v>4738</v>
      </c>
      <c r="I201" s="59"/>
      <c r="J201" s="59"/>
      <c r="K201" s="59"/>
      <c r="L201" s="59"/>
      <c r="M201" s="59" t="s">
        <v>4739</v>
      </c>
      <c r="N201" s="59" t="s">
        <v>1108</v>
      </c>
      <c r="O201" s="59"/>
      <c r="P201" s="59" t="s">
        <v>4740</v>
      </c>
      <c r="Q201" s="59" t="s">
        <v>2380</v>
      </c>
      <c r="R201" s="59" t="s">
        <v>4742</v>
      </c>
      <c r="S201" s="59" t="s">
        <v>4729</v>
      </c>
      <c r="T201" s="59" t="s">
        <v>4758</v>
      </c>
      <c r="U201" s="59" t="s">
        <v>4731</v>
      </c>
      <c r="V201" s="59" t="s">
        <v>4732</v>
      </c>
      <c r="W201" s="59" t="s">
        <v>4761</v>
      </c>
      <c r="X201" s="59"/>
    </row>
    <row r="202" spans="1:24" ht="17.25" x14ac:dyDescent="0.3">
      <c r="A202" s="59" t="s">
        <v>4762</v>
      </c>
      <c r="B202" s="59" t="s">
        <v>4777</v>
      </c>
      <c r="C202" s="59"/>
      <c r="D202" s="59" t="s">
        <v>4750</v>
      </c>
      <c r="E202" s="59"/>
      <c r="F202" s="59"/>
      <c r="G202" s="59" t="s">
        <v>4765</v>
      </c>
      <c r="H202" s="59" t="s">
        <v>4752</v>
      </c>
      <c r="I202" s="59"/>
      <c r="J202" s="59"/>
      <c r="K202" s="59"/>
      <c r="L202" s="59"/>
      <c r="M202" s="59" t="s">
        <v>4753</v>
      </c>
      <c r="N202" s="59" t="s">
        <v>1133</v>
      </c>
      <c r="O202" s="59"/>
      <c r="P202" s="59" t="s">
        <v>4754</v>
      </c>
      <c r="Q202" s="59" t="s">
        <v>788</v>
      </c>
      <c r="R202" s="59" t="s">
        <v>4756</v>
      </c>
      <c r="S202" s="59" t="s">
        <v>4743</v>
      </c>
      <c r="T202" s="59" t="s">
        <v>4772</v>
      </c>
      <c r="U202" s="59" t="s">
        <v>4745</v>
      </c>
      <c r="V202" s="59" t="s">
        <v>4746</v>
      </c>
      <c r="W202" s="59" t="s">
        <v>4775</v>
      </c>
      <c r="X202" s="59"/>
    </row>
    <row r="203" spans="1:24" ht="17.25" x14ac:dyDescent="0.3">
      <c r="A203" s="59" t="s">
        <v>4776</v>
      </c>
      <c r="B203" s="59" t="s">
        <v>4791</v>
      </c>
      <c r="C203" s="59"/>
      <c r="D203" s="59" t="s">
        <v>4764</v>
      </c>
      <c r="E203" s="59"/>
      <c r="F203" s="59"/>
      <c r="G203" s="59" t="s">
        <v>4779</v>
      </c>
      <c r="H203" s="59" t="s">
        <v>4766</v>
      </c>
      <c r="I203" s="59"/>
      <c r="J203" s="59"/>
      <c r="K203" s="59"/>
      <c r="L203" s="59"/>
      <c r="M203" s="59" t="s">
        <v>4767</v>
      </c>
      <c r="N203" s="59" t="s">
        <v>1158</v>
      </c>
      <c r="O203" s="59"/>
      <c r="P203" s="59" t="s">
        <v>4768</v>
      </c>
      <c r="Q203" s="59" t="s">
        <v>5049</v>
      </c>
      <c r="R203" s="59" t="s">
        <v>4770</v>
      </c>
      <c r="S203" s="59" t="s">
        <v>4757</v>
      </c>
      <c r="T203" s="59" t="s">
        <v>4786</v>
      </c>
      <c r="U203" s="59" t="s">
        <v>4759</v>
      </c>
      <c r="V203" s="59" t="s">
        <v>4760</v>
      </c>
      <c r="W203" s="59" t="s">
        <v>4789</v>
      </c>
      <c r="X203" s="59"/>
    </row>
    <row r="204" spans="1:24" ht="17.25" x14ac:dyDescent="0.3">
      <c r="A204" s="59" t="s">
        <v>4790</v>
      </c>
      <c r="B204" s="59" t="s">
        <v>4805</v>
      </c>
      <c r="C204" s="59"/>
      <c r="D204" s="59" t="s">
        <v>4778</v>
      </c>
      <c r="E204" s="59"/>
      <c r="F204" s="59"/>
      <c r="G204" s="59" t="s">
        <v>4793</v>
      </c>
      <c r="H204" s="59" t="s">
        <v>4780</v>
      </c>
      <c r="I204" s="59"/>
      <c r="J204" s="59"/>
      <c r="K204" s="59"/>
      <c r="L204" s="59"/>
      <c r="M204" s="59" t="s">
        <v>4781</v>
      </c>
      <c r="N204" s="59" t="s">
        <v>659</v>
      </c>
      <c r="O204" s="59"/>
      <c r="P204" s="59" t="s">
        <v>4782</v>
      </c>
      <c r="Q204" s="59" t="s">
        <v>5491</v>
      </c>
      <c r="R204" s="59" t="s">
        <v>4784</v>
      </c>
      <c r="S204" s="59" t="s">
        <v>4771</v>
      </c>
      <c r="T204" s="59" t="s">
        <v>4800</v>
      </c>
      <c r="U204" s="59" t="s">
        <v>4773</v>
      </c>
      <c r="V204" s="59" t="s">
        <v>4774</v>
      </c>
      <c r="W204" s="59" t="s">
        <v>4803</v>
      </c>
      <c r="X204" s="59"/>
    </row>
    <row r="205" spans="1:24" ht="17.25" x14ac:dyDescent="0.3">
      <c r="A205" s="59" t="s">
        <v>4804</v>
      </c>
      <c r="B205" s="59" t="s">
        <v>4819</v>
      </c>
      <c r="C205" s="59"/>
      <c r="D205" s="59" t="s">
        <v>4792</v>
      </c>
      <c r="E205" s="59"/>
      <c r="F205" s="59"/>
      <c r="G205" s="59" t="s">
        <v>4807</v>
      </c>
      <c r="H205" s="59" t="s">
        <v>4794</v>
      </c>
      <c r="I205" s="59"/>
      <c r="J205" s="59"/>
      <c r="K205" s="59"/>
      <c r="L205" s="59"/>
      <c r="M205" s="59" t="s">
        <v>4795</v>
      </c>
      <c r="N205" s="59" t="s">
        <v>7261</v>
      </c>
      <c r="O205" s="59"/>
      <c r="P205" s="59" t="s">
        <v>4796</v>
      </c>
      <c r="Q205" s="59" t="s">
        <v>5862</v>
      </c>
      <c r="R205" s="59" t="s">
        <v>4798</v>
      </c>
      <c r="S205" s="59" t="s">
        <v>4785</v>
      </c>
      <c r="T205" s="59" t="s">
        <v>4814</v>
      </c>
      <c r="U205" s="59" t="s">
        <v>4787</v>
      </c>
      <c r="V205" s="59" t="s">
        <v>4788</v>
      </c>
      <c r="W205" s="59" t="s">
        <v>4817</v>
      </c>
      <c r="X205" s="59"/>
    </row>
    <row r="206" spans="1:24" ht="17.25" x14ac:dyDescent="0.3">
      <c r="A206" s="59" t="s">
        <v>4818</v>
      </c>
      <c r="B206" s="59" t="s">
        <v>4833</v>
      </c>
      <c r="C206" s="59"/>
      <c r="D206" s="59" t="s">
        <v>4806</v>
      </c>
      <c r="E206" s="59"/>
      <c r="F206" s="59"/>
      <c r="G206" s="59" t="s">
        <v>4821</v>
      </c>
      <c r="H206" s="59" t="s">
        <v>4808</v>
      </c>
      <c r="I206" s="59"/>
      <c r="J206" s="59"/>
      <c r="K206" s="59"/>
      <c r="L206" s="59"/>
      <c r="M206" s="59" t="s">
        <v>4809</v>
      </c>
      <c r="N206" s="59" t="s">
        <v>1532</v>
      </c>
      <c r="O206" s="59"/>
      <c r="P206" s="59" t="s">
        <v>4810</v>
      </c>
      <c r="Q206" s="59" t="s">
        <v>7046</v>
      </c>
      <c r="R206" s="59" t="s">
        <v>4812</v>
      </c>
      <c r="S206" s="59" t="s">
        <v>4799</v>
      </c>
      <c r="T206" s="59" t="s">
        <v>4828</v>
      </c>
      <c r="U206" s="59" t="s">
        <v>4801</v>
      </c>
      <c r="V206" s="59" t="s">
        <v>4802</v>
      </c>
      <c r="W206" s="59" t="s">
        <v>4831</v>
      </c>
      <c r="X206" s="59"/>
    </row>
    <row r="207" spans="1:24" ht="17.25" x14ac:dyDescent="0.3">
      <c r="A207" s="59" t="s">
        <v>4832</v>
      </c>
      <c r="B207" s="59" t="s">
        <v>4847</v>
      </c>
      <c r="C207" s="59"/>
      <c r="D207" s="59" t="s">
        <v>4820</v>
      </c>
      <c r="E207" s="59"/>
      <c r="F207" s="59"/>
      <c r="G207" s="59" t="s">
        <v>4835</v>
      </c>
      <c r="H207" s="59" t="s">
        <v>4822</v>
      </c>
      <c r="I207" s="59"/>
      <c r="J207" s="59"/>
      <c r="K207" s="59"/>
      <c r="L207" s="59"/>
      <c r="M207" s="59" t="s">
        <v>4823</v>
      </c>
      <c r="N207" s="59" t="s">
        <v>1233</v>
      </c>
      <c r="O207" s="59"/>
      <c r="P207" s="59" t="s">
        <v>4824</v>
      </c>
      <c r="Q207" s="59" t="s">
        <v>713</v>
      </c>
      <c r="R207" s="59" t="s">
        <v>4826</v>
      </c>
      <c r="S207" s="59" t="s">
        <v>4813</v>
      </c>
      <c r="T207" s="59" t="s">
        <v>4842</v>
      </c>
      <c r="U207" s="59" t="s">
        <v>4815</v>
      </c>
      <c r="V207" s="59" t="s">
        <v>4816</v>
      </c>
      <c r="W207" s="59" t="s">
        <v>4845</v>
      </c>
      <c r="X207" s="59"/>
    </row>
    <row r="208" spans="1:24" ht="17.25" x14ac:dyDescent="0.3">
      <c r="A208" s="59" t="s">
        <v>4846</v>
      </c>
      <c r="B208" s="59" t="s">
        <v>4861</v>
      </c>
      <c r="C208" s="59"/>
      <c r="D208" s="59" t="s">
        <v>4834</v>
      </c>
      <c r="E208" s="59"/>
      <c r="F208" s="59"/>
      <c r="G208" s="59" t="s">
        <v>4849</v>
      </c>
      <c r="H208" s="59" t="s">
        <v>4836</v>
      </c>
      <c r="I208" s="59"/>
      <c r="J208" s="59"/>
      <c r="K208" s="59"/>
      <c r="L208" s="59"/>
      <c r="M208" s="59" t="s">
        <v>4837</v>
      </c>
      <c r="N208" s="59" t="s">
        <v>1657</v>
      </c>
      <c r="O208" s="59"/>
      <c r="P208" s="59" t="s">
        <v>4838</v>
      </c>
      <c r="Q208" s="59" t="s">
        <v>489</v>
      </c>
      <c r="R208" s="59" t="s">
        <v>4840</v>
      </c>
      <c r="S208" s="59" t="s">
        <v>4827</v>
      </c>
      <c r="T208" s="59" t="s">
        <v>4856</v>
      </c>
      <c r="U208" s="59" t="s">
        <v>4829</v>
      </c>
      <c r="V208" s="59" t="s">
        <v>4830</v>
      </c>
      <c r="W208" s="59" t="s">
        <v>4859</v>
      </c>
      <c r="X208" s="59"/>
    </row>
    <row r="209" spans="1:24" ht="17.25" x14ac:dyDescent="0.3">
      <c r="A209" s="59" t="s">
        <v>4860</v>
      </c>
      <c r="B209" s="59" t="s">
        <v>4875</v>
      </c>
      <c r="C209" s="59"/>
      <c r="D209" s="59" t="s">
        <v>4848</v>
      </c>
      <c r="E209" s="59"/>
      <c r="F209" s="59"/>
      <c r="G209" s="59" t="s">
        <v>4863</v>
      </c>
      <c r="H209" s="59" t="s">
        <v>4850</v>
      </c>
      <c r="I209" s="59"/>
      <c r="J209" s="59"/>
      <c r="K209" s="59"/>
      <c r="L209" s="59"/>
      <c r="M209" s="59" t="s">
        <v>4851</v>
      </c>
      <c r="N209" s="59" t="s">
        <v>7262</v>
      </c>
      <c r="O209" s="59"/>
      <c r="P209" s="59" t="s">
        <v>4852</v>
      </c>
      <c r="Q209" s="59" t="s">
        <v>2046</v>
      </c>
      <c r="R209" s="59" t="s">
        <v>4854</v>
      </c>
      <c r="S209" s="59" t="s">
        <v>4841</v>
      </c>
      <c r="T209" s="59" t="s">
        <v>4870</v>
      </c>
      <c r="U209" s="59" t="s">
        <v>4843</v>
      </c>
      <c r="V209" s="59" t="s">
        <v>4844</v>
      </c>
      <c r="W209" s="59" t="s">
        <v>4873</v>
      </c>
      <c r="X209" s="59"/>
    </row>
    <row r="210" spans="1:24" ht="17.25" x14ac:dyDescent="0.3">
      <c r="A210" s="59" t="s">
        <v>4874</v>
      </c>
      <c r="B210" s="59" t="s">
        <v>4889</v>
      </c>
      <c r="C210" s="59"/>
      <c r="D210" s="59" t="s">
        <v>4862</v>
      </c>
      <c r="E210" s="59"/>
      <c r="F210" s="59"/>
      <c r="G210" s="59" t="s">
        <v>4877</v>
      </c>
      <c r="H210" s="59" t="s">
        <v>4864</v>
      </c>
      <c r="I210" s="59"/>
      <c r="J210" s="59"/>
      <c r="K210" s="59"/>
      <c r="L210" s="59"/>
      <c r="M210" s="59" t="s">
        <v>4865</v>
      </c>
      <c r="N210" s="59" t="s">
        <v>7263</v>
      </c>
      <c r="O210" s="59"/>
      <c r="P210" s="59" t="s">
        <v>4866</v>
      </c>
      <c r="Q210" s="59" t="s">
        <v>2999</v>
      </c>
      <c r="R210" s="59" t="s">
        <v>4868</v>
      </c>
      <c r="S210" s="59" t="s">
        <v>4855</v>
      </c>
      <c r="T210" s="59" t="s">
        <v>4884</v>
      </c>
      <c r="U210" s="59" t="s">
        <v>4857</v>
      </c>
      <c r="V210" s="59" t="s">
        <v>4858</v>
      </c>
      <c r="W210" s="59" t="s">
        <v>4887</v>
      </c>
      <c r="X210" s="59"/>
    </row>
    <row r="211" spans="1:24" ht="17.25" x14ac:dyDescent="0.3">
      <c r="A211" s="59" t="s">
        <v>4888</v>
      </c>
      <c r="B211" s="59" t="s">
        <v>4903</v>
      </c>
      <c r="C211" s="59"/>
      <c r="D211" s="59" t="s">
        <v>4876</v>
      </c>
      <c r="E211" s="59"/>
      <c r="F211" s="59"/>
      <c r="G211" s="59" t="s">
        <v>4891</v>
      </c>
      <c r="H211" s="59" t="s">
        <v>4878</v>
      </c>
      <c r="I211" s="59"/>
      <c r="J211" s="59"/>
      <c r="K211" s="59"/>
      <c r="L211" s="59"/>
      <c r="M211" s="59" t="s">
        <v>4879</v>
      </c>
      <c r="N211" s="59" t="s">
        <v>734</v>
      </c>
      <c r="O211" s="59"/>
      <c r="P211" s="59" t="s">
        <v>4880</v>
      </c>
      <c r="Q211" s="59" t="s">
        <v>3159</v>
      </c>
      <c r="R211" s="59" t="s">
        <v>4882</v>
      </c>
      <c r="S211" s="59" t="s">
        <v>4869</v>
      </c>
      <c r="T211" s="59" t="s">
        <v>4898</v>
      </c>
      <c r="U211" s="59" t="s">
        <v>4871</v>
      </c>
      <c r="V211" s="59" t="s">
        <v>4872</v>
      </c>
      <c r="W211" s="59" t="s">
        <v>4901</v>
      </c>
      <c r="X211" s="59"/>
    </row>
    <row r="212" spans="1:24" ht="17.25" x14ac:dyDescent="0.3">
      <c r="A212" s="59" t="s">
        <v>4902</v>
      </c>
      <c r="B212" s="59" t="s">
        <v>4917</v>
      </c>
      <c r="C212" s="59"/>
      <c r="D212" s="59" t="s">
        <v>4890</v>
      </c>
      <c r="E212" s="59"/>
      <c r="F212" s="59"/>
      <c r="G212" s="59" t="s">
        <v>4905</v>
      </c>
      <c r="H212" s="59" t="s">
        <v>4892</v>
      </c>
      <c r="I212" s="59"/>
      <c r="J212" s="59"/>
      <c r="K212" s="59"/>
      <c r="L212" s="59"/>
      <c r="M212" s="59" t="s">
        <v>4893</v>
      </c>
      <c r="N212" s="59" t="s">
        <v>1183</v>
      </c>
      <c r="O212" s="59"/>
      <c r="P212" s="59" t="s">
        <v>4894</v>
      </c>
      <c r="Q212" s="59" t="s">
        <v>2213</v>
      </c>
      <c r="R212" s="59" t="s">
        <v>4896</v>
      </c>
      <c r="S212" s="59" t="s">
        <v>4883</v>
      </c>
      <c r="T212" s="59" t="s">
        <v>4912</v>
      </c>
      <c r="U212" s="59" t="s">
        <v>4885</v>
      </c>
      <c r="V212" s="59" t="s">
        <v>4886</v>
      </c>
      <c r="W212" s="59" t="s">
        <v>4915</v>
      </c>
      <c r="X212" s="59"/>
    </row>
    <row r="213" spans="1:24" ht="17.25" x14ac:dyDescent="0.3">
      <c r="A213" s="59" t="s">
        <v>4916</v>
      </c>
      <c r="B213" s="59" t="s">
        <v>4931</v>
      </c>
      <c r="C213" s="59"/>
      <c r="D213" s="59" t="s">
        <v>4904</v>
      </c>
      <c r="E213" s="59"/>
      <c r="F213" s="59"/>
      <c r="G213" s="59" t="s">
        <v>4919</v>
      </c>
      <c r="H213" s="59" t="s">
        <v>4906</v>
      </c>
      <c r="I213" s="59"/>
      <c r="J213" s="59"/>
      <c r="K213" s="59"/>
      <c r="L213" s="59"/>
      <c r="M213" s="59" t="s">
        <v>4907</v>
      </c>
      <c r="N213" s="59" t="s">
        <v>1557</v>
      </c>
      <c r="O213" s="59"/>
      <c r="P213" s="59" t="s">
        <v>4908</v>
      </c>
      <c r="Q213" s="59" t="s">
        <v>1437</v>
      </c>
      <c r="R213" s="59" t="s">
        <v>4910</v>
      </c>
      <c r="S213" s="59" t="s">
        <v>4897</v>
      </c>
      <c r="T213" s="59" t="s">
        <v>4926</v>
      </c>
      <c r="U213" s="59" t="s">
        <v>4899</v>
      </c>
      <c r="V213" s="59" t="s">
        <v>4900</v>
      </c>
      <c r="W213" s="59" t="s">
        <v>4929</v>
      </c>
      <c r="X213" s="59"/>
    </row>
    <row r="214" spans="1:24" ht="17.25" x14ac:dyDescent="0.3">
      <c r="A214" s="59" t="s">
        <v>4930</v>
      </c>
      <c r="B214" s="59" t="s">
        <v>4945</v>
      </c>
      <c r="C214" s="59"/>
      <c r="D214" s="59" t="s">
        <v>4918</v>
      </c>
      <c r="E214" s="59"/>
      <c r="F214" s="59"/>
      <c r="G214" s="59" t="s">
        <v>4933</v>
      </c>
      <c r="H214" s="59" t="s">
        <v>4920</v>
      </c>
      <c r="I214" s="59"/>
      <c r="J214" s="59"/>
      <c r="K214" s="59"/>
      <c r="L214" s="59"/>
      <c r="M214" s="59" t="s">
        <v>4921</v>
      </c>
      <c r="N214" s="59" t="s">
        <v>759</v>
      </c>
      <c r="O214" s="59"/>
      <c r="P214" s="59" t="s">
        <v>4922</v>
      </c>
      <c r="Q214" s="59" t="s">
        <v>813</v>
      </c>
      <c r="R214" s="59" t="s">
        <v>4924</v>
      </c>
      <c r="S214" s="59" t="s">
        <v>4911</v>
      </c>
      <c r="T214" s="59" t="s">
        <v>4940</v>
      </c>
      <c r="U214" s="59" t="s">
        <v>4913</v>
      </c>
      <c r="V214" s="59" t="s">
        <v>4914</v>
      </c>
      <c r="W214" s="59" t="s">
        <v>4943</v>
      </c>
      <c r="X214" s="59"/>
    </row>
    <row r="215" spans="1:24" ht="17.25" x14ac:dyDescent="0.3">
      <c r="A215" s="59" t="s">
        <v>4944</v>
      </c>
      <c r="B215" s="59" t="s">
        <v>4959</v>
      </c>
      <c r="C215" s="59"/>
      <c r="D215" s="59" t="s">
        <v>4932</v>
      </c>
      <c r="E215" s="59"/>
      <c r="F215" s="59"/>
      <c r="G215" s="59" t="s">
        <v>4947</v>
      </c>
      <c r="H215" s="59" t="s">
        <v>4934</v>
      </c>
      <c r="I215" s="59"/>
      <c r="J215" s="59"/>
      <c r="K215" s="59"/>
      <c r="L215" s="59"/>
      <c r="M215" s="59" t="s">
        <v>4935</v>
      </c>
      <c r="N215" s="59" t="s">
        <v>485</v>
      </c>
      <c r="O215" s="59"/>
      <c r="P215" s="59" t="s">
        <v>4936</v>
      </c>
      <c r="Q215" s="59" t="s">
        <v>3694</v>
      </c>
      <c r="R215" s="59" t="s">
        <v>4938</v>
      </c>
      <c r="S215" s="59" t="s">
        <v>4925</v>
      </c>
      <c r="T215" s="59" t="s">
        <v>4954</v>
      </c>
      <c r="U215" s="59" t="s">
        <v>4927</v>
      </c>
      <c r="V215" s="59" t="s">
        <v>4928</v>
      </c>
      <c r="W215" s="59" t="s">
        <v>4957</v>
      </c>
      <c r="X215" s="59"/>
    </row>
    <row r="216" spans="1:24" ht="17.25" x14ac:dyDescent="0.3">
      <c r="A216" s="59" t="s">
        <v>4958</v>
      </c>
      <c r="B216" s="59" t="s">
        <v>4973</v>
      </c>
      <c r="C216" s="59"/>
      <c r="D216" s="59" t="s">
        <v>4946</v>
      </c>
      <c r="E216" s="59"/>
      <c r="F216" s="59"/>
      <c r="G216" s="59" t="s">
        <v>4961</v>
      </c>
      <c r="H216" s="59" t="s">
        <v>4948</v>
      </c>
      <c r="I216" s="59"/>
      <c r="J216" s="59"/>
      <c r="K216" s="59"/>
      <c r="L216" s="59"/>
      <c r="M216" s="59" t="s">
        <v>4949</v>
      </c>
      <c r="N216" s="59" t="s">
        <v>1731</v>
      </c>
      <c r="O216" s="59"/>
      <c r="P216" s="59" t="s">
        <v>4950</v>
      </c>
      <c r="Q216" s="59" t="s">
        <v>589</v>
      </c>
      <c r="R216" s="59" t="s">
        <v>4952</v>
      </c>
      <c r="S216" s="59" t="s">
        <v>4939</v>
      </c>
      <c r="T216" s="59" t="s">
        <v>4968</v>
      </c>
      <c r="U216" s="59" t="s">
        <v>4941</v>
      </c>
      <c r="V216" s="59" t="s">
        <v>4942</v>
      </c>
      <c r="W216" s="59" t="s">
        <v>4971</v>
      </c>
      <c r="X216" s="59"/>
    </row>
    <row r="217" spans="1:24" ht="17.25" x14ac:dyDescent="0.3">
      <c r="A217" s="59" t="s">
        <v>4972</v>
      </c>
      <c r="B217" s="59" t="s">
        <v>4987</v>
      </c>
      <c r="C217" s="59"/>
      <c r="D217" s="59" t="s">
        <v>4960</v>
      </c>
      <c r="E217" s="59"/>
      <c r="F217" s="59"/>
      <c r="G217" s="59" t="s">
        <v>4975</v>
      </c>
      <c r="H217" s="59" t="s">
        <v>4962</v>
      </c>
      <c r="I217" s="59"/>
      <c r="J217" s="59"/>
      <c r="K217" s="59"/>
      <c r="L217" s="59"/>
      <c r="M217" s="59" t="s">
        <v>4963</v>
      </c>
      <c r="N217" s="59" t="s">
        <v>1383</v>
      </c>
      <c r="O217" s="59"/>
      <c r="P217" s="59" t="s">
        <v>4964</v>
      </c>
      <c r="Q217" s="59" t="s">
        <v>1782</v>
      </c>
      <c r="R217" s="59" t="s">
        <v>4966</v>
      </c>
      <c r="S217" s="59" t="s">
        <v>4953</v>
      </c>
      <c r="T217" s="59" t="s">
        <v>4982</v>
      </c>
      <c r="U217" s="59" t="s">
        <v>4955</v>
      </c>
      <c r="V217" s="59" t="s">
        <v>4956</v>
      </c>
      <c r="W217" s="59" t="s">
        <v>4985</v>
      </c>
      <c r="X217" s="59"/>
    </row>
    <row r="218" spans="1:24" ht="17.25" x14ac:dyDescent="0.3">
      <c r="A218" s="59" t="s">
        <v>4986</v>
      </c>
      <c r="B218" s="59" t="s">
        <v>5001</v>
      </c>
      <c r="C218" s="59"/>
      <c r="D218" s="59" t="s">
        <v>4974</v>
      </c>
      <c r="E218" s="59"/>
      <c r="F218" s="59"/>
      <c r="G218" s="59" t="s">
        <v>4989</v>
      </c>
      <c r="H218" s="59" t="s">
        <v>4976</v>
      </c>
      <c r="I218" s="59"/>
      <c r="J218" s="59"/>
      <c r="K218" s="59"/>
      <c r="L218" s="59"/>
      <c r="M218" s="59" t="s">
        <v>4977</v>
      </c>
      <c r="N218" s="59" t="s">
        <v>1433</v>
      </c>
      <c r="O218" s="59"/>
      <c r="P218" s="59" t="s">
        <v>4978</v>
      </c>
      <c r="Q218" s="59" t="s">
        <v>1830</v>
      </c>
      <c r="R218" s="59" t="s">
        <v>4980</v>
      </c>
      <c r="S218" s="59" t="s">
        <v>4967</v>
      </c>
      <c r="T218" s="59" t="s">
        <v>4996</v>
      </c>
      <c r="U218" s="59" t="s">
        <v>4969</v>
      </c>
      <c r="V218" s="59" t="s">
        <v>4970</v>
      </c>
      <c r="W218" s="59" t="s">
        <v>4999</v>
      </c>
      <c r="X218" s="59"/>
    </row>
    <row r="219" spans="1:24" ht="17.25" x14ac:dyDescent="0.3">
      <c r="A219" s="59" t="s">
        <v>5000</v>
      </c>
      <c r="B219" s="59" t="s">
        <v>5015</v>
      </c>
      <c r="C219" s="59"/>
      <c r="D219" s="59" t="s">
        <v>4988</v>
      </c>
      <c r="E219" s="59"/>
      <c r="F219" s="59"/>
      <c r="G219" s="59" t="s">
        <v>5003</v>
      </c>
      <c r="H219" s="59" t="s">
        <v>4990</v>
      </c>
      <c r="I219" s="59"/>
      <c r="J219" s="59"/>
      <c r="K219" s="59"/>
      <c r="L219" s="59"/>
      <c r="M219" s="59" t="s">
        <v>4991</v>
      </c>
      <c r="N219" s="59" t="s">
        <v>1483</v>
      </c>
      <c r="O219" s="59"/>
      <c r="P219" s="59" t="s">
        <v>4992</v>
      </c>
      <c r="Q219" s="59" t="s">
        <v>5683</v>
      </c>
      <c r="R219" s="59" t="s">
        <v>4994</v>
      </c>
      <c r="S219" s="59" t="s">
        <v>4981</v>
      </c>
      <c r="T219" s="59" t="s">
        <v>5010</v>
      </c>
      <c r="U219" s="59" t="s">
        <v>4983</v>
      </c>
      <c r="V219" s="59" t="s">
        <v>4984</v>
      </c>
      <c r="W219" s="59" t="s">
        <v>5013</v>
      </c>
      <c r="X219" s="59"/>
    </row>
    <row r="220" spans="1:24" ht="17.25" x14ac:dyDescent="0.3">
      <c r="A220" s="59" t="s">
        <v>5014</v>
      </c>
      <c r="B220" s="59" t="s">
        <v>5029</v>
      </c>
      <c r="C220" s="59"/>
      <c r="D220" s="59" t="s">
        <v>5002</v>
      </c>
      <c r="E220" s="59"/>
      <c r="F220" s="59"/>
      <c r="G220" s="59" t="s">
        <v>5017</v>
      </c>
      <c r="H220" s="59" t="s">
        <v>5004</v>
      </c>
      <c r="I220" s="59"/>
      <c r="J220" s="59"/>
      <c r="K220" s="59"/>
      <c r="L220" s="59"/>
      <c r="M220" s="59" t="s">
        <v>5005</v>
      </c>
      <c r="N220" s="59" t="s">
        <v>1408</v>
      </c>
      <c r="O220" s="59"/>
      <c r="P220" s="59" t="s">
        <v>5006</v>
      </c>
      <c r="Q220" s="59" t="s">
        <v>4311</v>
      </c>
      <c r="R220" s="59" t="s">
        <v>5008</v>
      </c>
      <c r="S220" s="59" t="s">
        <v>4995</v>
      </c>
      <c r="T220" s="59" t="s">
        <v>5024</v>
      </c>
      <c r="U220" s="59" t="s">
        <v>4997</v>
      </c>
      <c r="V220" s="59" t="s">
        <v>4998</v>
      </c>
      <c r="W220" s="59" t="s">
        <v>5027</v>
      </c>
      <c r="X220" s="59"/>
    </row>
    <row r="221" spans="1:24" ht="17.25" x14ac:dyDescent="0.3">
      <c r="A221" s="59" t="s">
        <v>5028</v>
      </c>
      <c r="B221" s="59" t="s">
        <v>5043</v>
      </c>
      <c r="C221" s="59"/>
      <c r="D221" s="59" t="s">
        <v>5016</v>
      </c>
      <c r="E221" s="59"/>
      <c r="F221" s="59"/>
      <c r="G221" s="59" t="s">
        <v>5031</v>
      </c>
      <c r="H221" s="59" t="s">
        <v>5018</v>
      </c>
      <c r="I221" s="59"/>
      <c r="J221" s="59"/>
      <c r="K221" s="59"/>
      <c r="L221" s="59"/>
      <c r="M221" s="59" t="s">
        <v>5019</v>
      </c>
      <c r="N221" s="59" t="s">
        <v>7264</v>
      </c>
      <c r="O221" s="59"/>
      <c r="P221" s="59" t="s">
        <v>5020</v>
      </c>
      <c r="Q221" s="59" t="s">
        <v>4895</v>
      </c>
      <c r="R221" s="59" t="s">
        <v>5022</v>
      </c>
      <c r="S221" s="59" t="s">
        <v>5009</v>
      </c>
      <c r="T221" s="59" t="s">
        <v>5038</v>
      </c>
      <c r="U221" s="59" t="s">
        <v>5011</v>
      </c>
      <c r="V221" s="59" t="s">
        <v>5012</v>
      </c>
      <c r="W221" s="59" t="s">
        <v>5041</v>
      </c>
      <c r="X221" s="59"/>
    </row>
    <row r="222" spans="1:24" ht="17.25" x14ac:dyDescent="0.3">
      <c r="A222" s="59" t="s">
        <v>5042</v>
      </c>
      <c r="B222" s="59" t="s">
        <v>5057</v>
      </c>
      <c r="C222" s="59"/>
      <c r="D222" s="59" t="s">
        <v>5030</v>
      </c>
      <c r="E222" s="59"/>
      <c r="F222" s="59"/>
      <c r="G222" s="59" t="s">
        <v>5045</v>
      </c>
      <c r="H222" s="59" t="s">
        <v>5032</v>
      </c>
      <c r="I222" s="59"/>
      <c r="J222" s="59"/>
      <c r="K222" s="59"/>
      <c r="L222" s="59"/>
      <c r="M222" s="59" t="s">
        <v>5033</v>
      </c>
      <c r="N222" s="59"/>
      <c r="O222" s="59"/>
      <c r="P222" s="59" t="s">
        <v>5034</v>
      </c>
      <c r="Q222" s="59" t="s">
        <v>4909</v>
      </c>
      <c r="R222" s="59" t="s">
        <v>5036</v>
      </c>
      <c r="S222" s="59" t="s">
        <v>5023</v>
      </c>
      <c r="T222" s="59" t="s">
        <v>5052</v>
      </c>
      <c r="U222" s="59" t="s">
        <v>5025</v>
      </c>
      <c r="V222" s="59" t="s">
        <v>5026</v>
      </c>
      <c r="W222" s="59" t="s">
        <v>5055</v>
      </c>
      <c r="X222" s="59"/>
    </row>
    <row r="223" spans="1:24" ht="17.25" x14ac:dyDescent="0.3">
      <c r="A223" s="59" t="s">
        <v>5056</v>
      </c>
      <c r="B223" s="59" t="s">
        <v>5071</v>
      </c>
      <c r="C223" s="59"/>
      <c r="D223" s="59" t="s">
        <v>5044</v>
      </c>
      <c r="E223" s="59"/>
      <c r="F223" s="59"/>
      <c r="G223" s="59" t="s">
        <v>5059</v>
      </c>
      <c r="H223" s="59" t="s">
        <v>5046</v>
      </c>
      <c r="I223" s="59"/>
      <c r="J223" s="59"/>
      <c r="K223" s="59"/>
      <c r="L223" s="59"/>
      <c r="M223" s="59" t="s">
        <v>5047</v>
      </c>
      <c r="N223" s="59"/>
      <c r="O223" s="59"/>
      <c r="P223" s="59" t="s">
        <v>5048</v>
      </c>
      <c r="Q223" s="59" t="s">
        <v>2572</v>
      </c>
      <c r="R223" s="59" t="s">
        <v>5050</v>
      </c>
      <c r="S223" s="59" t="s">
        <v>5037</v>
      </c>
      <c r="T223" s="59" t="s">
        <v>5066</v>
      </c>
      <c r="U223" s="59" t="s">
        <v>5039</v>
      </c>
      <c r="V223" s="59" t="s">
        <v>5040</v>
      </c>
      <c r="W223" s="59" t="s">
        <v>5069</v>
      </c>
      <c r="X223" s="59"/>
    </row>
    <row r="224" spans="1:24" ht="17.25" x14ac:dyDescent="0.3">
      <c r="A224" s="59" t="s">
        <v>5070</v>
      </c>
      <c r="B224" s="59" t="s">
        <v>5085</v>
      </c>
      <c r="C224" s="59"/>
      <c r="D224" s="59" t="s">
        <v>5058</v>
      </c>
      <c r="E224" s="59"/>
      <c r="F224" s="59"/>
      <c r="G224" s="59" t="s">
        <v>5073</v>
      </c>
      <c r="H224" s="59" t="s">
        <v>5060</v>
      </c>
      <c r="I224" s="59"/>
      <c r="J224" s="59"/>
      <c r="K224" s="59"/>
      <c r="L224" s="59"/>
      <c r="M224" s="59" t="s">
        <v>5061</v>
      </c>
      <c r="N224" s="59"/>
      <c r="O224" s="59"/>
      <c r="P224" s="59" t="s">
        <v>5062</v>
      </c>
      <c r="Q224" s="59" t="s">
        <v>4329</v>
      </c>
      <c r="R224" s="59" t="s">
        <v>5064</v>
      </c>
      <c r="S224" s="59" t="s">
        <v>5051</v>
      </c>
      <c r="T224" s="59" t="s">
        <v>5080</v>
      </c>
      <c r="U224" s="59" t="s">
        <v>5053</v>
      </c>
      <c r="V224" s="59" t="s">
        <v>5054</v>
      </c>
      <c r="W224" s="59" t="s">
        <v>5083</v>
      </c>
      <c r="X224" s="59"/>
    </row>
    <row r="225" spans="1:24" ht="17.25" x14ac:dyDescent="0.3">
      <c r="A225" s="59" t="s">
        <v>5084</v>
      </c>
      <c r="B225" s="59" t="s">
        <v>5099</v>
      </c>
      <c r="C225" s="59"/>
      <c r="D225" s="59" t="s">
        <v>5072</v>
      </c>
      <c r="E225" s="59"/>
      <c r="F225" s="59"/>
      <c r="G225" s="59" t="s">
        <v>5087</v>
      </c>
      <c r="H225" s="59" t="s">
        <v>5074</v>
      </c>
      <c r="I225" s="59"/>
      <c r="J225" s="59"/>
      <c r="K225" s="59"/>
      <c r="L225" s="59"/>
      <c r="M225" s="59" t="s">
        <v>5075</v>
      </c>
      <c r="N225" s="59"/>
      <c r="O225" s="59"/>
      <c r="P225" s="59" t="s">
        <v>5076</v>
      </c>
      <c r="Q225" s="59" t="s">
        <v>4811</v>
      </c>
      <c r="R225" s="59" t="s">
        <v>5078</v>
      </c>
      <c r="S225" s="59" t="s">
        <v>5065</v>
      </c>
      <c r="T225" s="59" t="s">
        <v>5094</v>
      </c>
      <c r="U225" s="59" t="s">
        <v>5067</v>
      </c>
      <c r="V225" s="59" t="s">
        <v>5068</v>
      </c>
      <c r="W225" s="59" t="s">
        <v>5097</v>
      </c>
      <c r="X225" s="59"/>
    </row>
    <row r="226" spans="1:24" ht="17.25" x14ac:dyDescent="0.3">
      <c r="A226" s="59" t="s">
        <v>5098</v>
      </c>
      <c r="B226" s="59" t="s">
        <v>5113</v>
      </c>
      <c r="C226" s="59"/>
      <c r="D226" s="59" t="s">
        <v>5086</v>
      </c>
      <c r="E226" s="59"/>
      <c r="F226" s="59"/>
      <c r="G226" s="59" t="s">
        <v>5101</v>
      </c>
      <c r="H226" s="59" t="s">
        <v>5088</v>
      </c>
      <c r="I226" s="59"/>
      <c r="J226" s="59"/>
      <c r="K226" s="59"/>
      <c r="L226" s="59"/>
      <c r="M226" s="59" t="s">
        <v>5089</v>
      </c>
      <c r="N226" s="59"/>
      <c r="O226" s="59"/>
      <c r="P226" s="59" t="s">
        <v>5090</v>
      </c>
      <c r="Q226" s="59" t="s">
        <v>4727</v>
      </c>
      <c r="R226" s="59" t="s">
        <v>5092</v>
      </c>
      <c r="S226" s="59" t="s">
        <v>5079</v>
      </c>
      <c r="T226" s="59" t="s">
        <v>5108</v>
      </c>
      <c r="U226" s="59" t="s">
        <v>5081</v>
      </c>
      <c r="V226" s="59" t="s">
        <v>5082</v>
      </c>
      <c r="W226" s="59" t="s">
        <v>5111</v>
      </c>
      <c r="X226" s="59"/>
    </row>
    <row r="227" spans="1:24" ht="17.25" x14ac:dyDescent="0.3">
      <c r="A227" s="59" t="s">
        <v>5112</v>
      </c>
      <c r="B227" s="59" t="s">
        <v>5127</v>
      </c>
      <c r="C227" s="59"/>
      <c r="D227" s="59" t="s">
        <v>5100</v>
      </c>
      <c r="E227" s="59"/>
      <c r="F227" s="59"/>
      <c r="G227" s="59" t="s">
        <v>5115</v>
      </c>
      <c r="H227" s="59" t="s">
        <v>5102</v>
      </c>
      <c r="I227" s="59"/>
      <c r="J227" s="59"/>
      <c r="K227" s="59"/>
      <c r="L227" s="59"/>
      <c r="M227" s="59" t="s">
        <v>5103</v>
      </c>
      <c r="N227" s="59"/>
      <c r="O227" s="59"/>
      <c r="P227" s="59" t="s">
        <v>5104</v>
      </c>
      <c r="Q227" s="59" t="s">
        <v>4126</v>
      </c>
      <c r="R227" s="59" t="s">
        <v>5106</v>
      </c>
      <c r="S227" s="59" t="s">
        <v>5093</v>
      </c>
      <c r="T227" s="59" t="s">
        <v>5122</v>
      </c>
      <c r="U227" s="59" t="s">
        <v>5095</v>
      </c>
      <c r="V227" s="59" t="s">
        <v>5096</v>
      </c>
      <c r="W227" s="59" t="s">
        <v>5125</v>
      </c>
      <c r="X227" s="59"/>
    </row>
    <row r="228" spans="1:24" ht="17.25" x14ac:dyDescent="0.3">
      <c r="A228" s="59" t="s">
        <v>5126</v>
      </c>
      <c r="B228" s="59" t="s">
        <v>5141</v>
      </c>
      <c r="C228" s="59"/>
      <c r="D228" s="59" t="s">
        <v>5114</v>
      </c>
      <c r="E228" s="59"/>
      <c r="F228" s="59"/>
      <c r="G228" s="59" t="s">
        <v>5129</v>
      </c>
      <c r="H228" s="59" t="s">
        <v>5116</v>
      </c>
      <c r="I228" s="59"/>
      <c r="J228" s="59"/>
      <c r="K228" s="59"/>
      <c r="L228" s="59"/>
      <c r="M228" s="59" t="s">
        <v>5117</v>
      </c>
      <c r="N228" s="59"/>
      <c r="O228" s="59"/>
      <c r="P228" s="59" t="s">
        <v>5118</v>
      </c>
      <c r="Q228" s="59" t="s">
        <v>5599</v>
      </c>
      <c r="R228" s="59" t="s">
        <v>5120</v>
      </c>
      <c r="S228" s="59" t="s">
        <v>5107</v>
      </c>
      <c r="T228" s="59" t="s">
        <v>5136</v>
      </c>
      <c r="U228" s="59" t="s">
        <v>5109</v>
      </c>
      <c r="V228" s="59" t="s">
        <v>5110</v>
      </c>
      <c r="W228" s="59" t="s">
        <v>5139</v>
      </c>
      <c r="X228" s="59"/>
    </row>
    <row r="229" spans="1:24" ht="17.25" x14ac:dyDescent="0.3">
      <c r="A229" s="59" t="s">
        <v>5140</v>
      </c>
      <c r="B229" s="59" t="s">
        <v>5155</v>
      </c>
      <c r="C229" s="59"/>
      <c r="D229" s="59" t="s">
        <v>5128</v>
      </c>
      <c r="E229" s="59"/>
      <c r="F229" s="59"/>
      <c r="G229" s="59" t="s">
        <v>5143</v>
      </c>
      <c r="H229" s="59" t="s">
        <v>5130</v>
      </c>
      <c r="I229" s="59"/>
      <c r="J229" s="59"/>
      <c r="K229" s="59"/>
      <c r="L229" s="59"/>
      <c r="M229" s="59" t="s">
        <v>5131</v>
      </c>
      <c r="N229" s="59"/>
      <c r="O229" s="59"/>
      <c r="P229" s="59" t="s">
        <v>5132</v>
      </c>
      <c r="Q229" s="59" t="s">
        <v>3068</v>
      </c>
      <c r="R229" s="59" t="s">
        <v>5134</v>
      </c>
      <c r="S229" s="59" t="s">
        <v>5121</v>
      </c>
      <c r="T229" s="59" t="s">
        <v>5150</v>
      </c>
      <c r="U229" s="59" t="s">
        <v>5123</v>
      </c>
      <c r="V229" s="59" t="s">
        <v>5124</v>
      </c>
      <c r="W229" s="59" t="s">
        <v>5153</v>
      </c>
      <c r="X229" s="59"/>
    </row>
    <row r="230" spans="1:24" ht="17.25" x14ac:dyDescent="0.3">
      <c r="A230" s="59" t="s">
        <v>5154</v>
      </c>
      <c r="B230" s="59" t="s">
        <v>5169</v>
      </c>
      <c r="C230" s="59"/>
      <c r="D230" s="59" t="s">
        <v>5142</v>
      </c>
      <c r="E230" s="59"/>
      <c r="F230" s="59"/>
      <c r="G230" s="59" t="s">
        <v>5157</v>
      </c>
      <c r="H230" s="59" t="s">
        <v>5144</v>
      </c>
      <c r="I230" s="59"/>
      <c r="J230" s="59"/>
      <c r="K230" s="59"/>
      <c r="L230" s="59"/>
      <c r="M230" s="59" t="s">
        <v>5145</v>
      </c>
      <c r="N230" s="59"/>
      <c r="O230" s="59"/>
      <c r="P230" s="59" t="s">
        <v>5146</v>
      </c>
      <c r="Q230" s="59" t="s">
        <v>5105</v>
      </c>
      <c r="R230" s="59" t="s">
        <v>5148</v>
      </c>
      <c r="S230" s="59" t="s">
        <v>5135</v>
      </c>
      <c r="T230" s="59" t="s">
        <v>5164</v>
      </c>
      <c r="U230" s="59" t="s">
        <v>5137</v>
      </c>
      <c r="V230" s="59" t="s">
        <v>5138</v>
      </c>
      <c r="W230" s="59" t="s">
        <v>5167</v>
      </c>
      <c r="X230" s="59"/>
    </row>
    <row r="231" spans="1:24" ht="17.25" x14ac:dyDescent="0.3">
      <c r="A231" s="59" t="s">
        <v>5168</v>
      </c>
      <c r="B231" s="59" t="s">
        <v>5183</v>
      </c>
      <c r="C231" s="59"/>
      <c r="D231" s="59" t="s">
        <v>5156</v>
      </c>
      <c r="E231" s="59"/>
      <c r="F231" s="59"/>
      <c r="G231" s="59" t="s">
        <v>5171</v>
      </c>
      <c r="H231" s="59" t="s">
        <v>5158</v>
      </c>
      <c r="I231" s="59"/>
      <c r="J231" s="59"/>
      <c r="K231" s="59"/>
      <c r="L231" s="59"/>
      <c r="M231" s="59" t="s">
        <v>5159</v>
      </c>
      <c r="N231" s="59"/>
      <c r="O231" s="59"/>
      <c r="P231" s="59" t="s">
        <v>5160</v>
      </c>
      <c r="Q231" s="59" t="s">
        <v>863</v>
      </c>
      <c r="R231" s="59" t="s">
        <v>5162</v>
      </c>
      <c r="S231" s="59" t="s">
        <v>5149</v>
      </c>
      <c r="T231" s="59" t="s">
        <v>5178</v>
      </c>
      <c r="U231" s="59" t="s">
        <v>5151</v>
      </c>
      <c r="V231" s="59" t="s">
        <v>5152</v>
      </c>
      <c r="W231" s="59" t="s">
        <v>5181</v>
      </c>
      <c r="X231" s="59"/>
    </row>
    <row r="232" spans="1:24" ht="17.25" x14ac:dyDescent="0.3">
      <c r="A232" s="59" t="s">
        <v>5182</v>
      </c>
      <c r="B232" s="59" t="s">
        <v>5196</v>
      </c>
      <c r="C232" s="59"/>
      <c r="D232" s="59" t="s">
        <v>5170</v>
      </c>
      <c r="E232" s="59"/>
      <c r="F232" s="59"/>
      <c r="G232" s="59" t="s">
        <v>5185</v>
      </c>
      <c r="H232" s="59" t="s">
        <v>5172</v>
      </c>
      <c r="I232" s="59"/>
      <c r="J232" s="59"/>
      <c r="K232" s="59"/>
      <c r="L232" s="59"/>
      <c r="M232" s="59" t="s">
        <v>5173</v>
      </c>
      <c r="N232" s="59"/>
      <c r="O232" s="59"/>
      <c r="P232" s="59" t="s">
        <v>5174</v>
      </c>
      <c r="Q232" s="59" t="s">
        <v>4685</v>
      </c>
      <c r="R232" s="59" t="s">
        <v>5176</v>
      </c>
      <c r="S232" s="59" t="s">
        <v>5163</v>
      </c>
      <c r="T232" s="59" t="s">
        <v>5191</v>
      </c>
      <c r="U232" s="59" t="s">
        <v>5165</v>
      </c>
      <c r="V232" s="59" t="s">
        <v>5166</v>
      </c>
      <c r="W232" s="59" t="s">
        <v>5194</v>
      </c>
      <c r="X232" s="59"/>
    </row>
    <row r="233" spans="1:24" ht="17.25" x14ac:dyDescent="0.3">
      <c r="A233" s="59" t="s">
        <v>5195</v>
      </c>
      <c r="B233" s="59" t="s">
        <v>5210</v>
      </c>
      <c r="C233" s="59"/>
      <c r="D233" s="59" t="s">
        <v>5184</v>
      </c>
      <c r="E233" s="59"/>
      <c r="F233" s="59"/>
      <c r="G233" s="59" t="s">
        <v>5198</v>
      </c>
      <c r="H233" s="59" t="s">
        <v>5186</v>
      </c>
      <c r="I233" s="59"/>
      <c r="J233" s="59"/>
      <c r="K233" s="59"/>
      <c r="L233" s="59"/>
      <c r="M233" s="59" t="s">
        <v>5187</v>
      </c>
      <c r="N233" s="59"/>
      <c r="O233" s="59"/>
      <c r="P233" s="59" t="s">
        <v>5201</v>
      </c>
      <c r="Q233" s="59" t="s">
        <v>1611</v>
      </c>
      <c r="R233" s="59" t="s">
        <v>5189</v>
      </c>
      <c r="S233" s="59" t="s">
        <v>5177</v>
      </c>
      <c r="T233" s="59" t="s">
        <v>5205</v>
      </c>
      <c r="U233" s="59" t="s">
        <v>5179</v>
      </c>
      <c r="V233" s="59" t="s">
        <v>5180</v>
      </c>
      <c r="W233" s="59" t="s">
        <v>5208</v>
      </c>
      <c r="X233" s="59"/>
    </row>
    <row r="234" spans="1:24" ht="17.25" x14ac:dyDescent="0.3">
      <c r="A234" s="59" t="s">
        <v>5209</v>
      </c>
      <c r="B234" s="59" t="s">
        <v>5224</v>
      </c>
      <c r="C234" s="59"/>
      <c r="D234" s="59" t="s">
        <v>5197</v>
      </c>
      <c r="E234" s="59"/>
      <c r="F234" s="59"/>
      <c r="G234" s="59" t="s">
        <v>5212</v>
      </c>
      <c r="H234" s="59" t="s">
        <v>5199</v>
      </c>
      <c r="I234" s="59"/>
      <c r="J234" s="59"/>
      <c r="K234" s="59"/>
      <c r="L234" s="59"/>
      <c r="M234" s="59" t="s">
        <v>5200</v>
      </c>
      <c r="N234" s="59"/>
      <c r="O234" s="59"/>
      <c r="P234" s="59" t="s">
        <v>5215</v>
      </c>
      <c r="Q234" s="59" t="s">
        <v>4923</v>
      </c>
      <c r="R234" s="59" t="s">
        <v>5203</v>
      </c>
      <c r="S234" s="59" t="s">
        <v>5190</v>
      </c>
      <c r="T234" s="59" t="s">
        <v>5219</v>
      </c>
      <c r="U234" s="59" t="s">
        <v>5192</v>
      </c>
      <c r="V234" s="59" t="s">
        <v>5193</v>
      </c>
      <c r="W234" s="59" t="s">
        <v>5222</v>
      </c>
      <c r="X234" s="59"/>
    </row>
    <row r="235" spans="1:24" ht="17.25" x14ac:dyDescent="0.3">
      <c r="A235" s="59" t="s">
        <v>5223</v>
      </c>
      <c r="B235" s="59" t="s">
        <v>5238</v>
      </c>
      <c r="C235" s="59"/>
      <c r="D235" s="59" t="s">
        <v>5211</v>
      </c>
      <c r="E235" s="59"/>
      <c r="F235" s="59"/>
      <c r="G235" s="59" t="s">
        <v>5226</v>
      </c>
      <c r="H235" s="59" t="s">
        <v>5213</v>
      </c>
      <c r="I235" s="59"/>
      <c r="J235" s="59"/>
      <c r="K235" s="59"/>
      <c r="L235" s="59"/>
      <c r="M235" s="59" t="s">
        <v>5214</v>
      </c>
      <c r="N235" s="59"/>
      <c r="O235" s="59"/>
      <c r="P235" s="59" t="s">
        <v>5229</v>
      </c>
      <c r="Q235" s="59" t="s">
        <v>1112</v>
      </c>
      <c r="R235" s="59" t="s">
        <v>5217</v>
      </c>
      <c r="S235" s="59" t="s">
        <v>5204</v>
      </c>
      <c r="T235" s="59" t="s">
        <v>5233</v>
      </c>
      <c r="U235" s="59" t="s">
        <v>5206</v>
      </c>
      <c r="V235" s="59" t="s">
        <v>5207</v>
      </c>
      <c r="W235" s="59" t="s">
        <v>5236</v>
      </c>
      <c r="X235" s="59"/>
    </row>
    <row r="236" spans="1:24" ht="17.25" x14ac:dyDescent="0.3">
      <c r="A236" s="59" t="s">
        <v>5237</v>
      </c>
      <c r="B236" s="59" t="s">
        <v>5252</v>
      </c>
      <c r="C236" s="59"/>
      <c r="D236" s="59" t="s">
        <v>5225</v>
      </c>
      <c r="E236" s="59"/>
      <c r="F236" s="59"/>
      <c r="G236" s="59" t="s">
        <v>5240</v>
      </c>
      <c r="H236" s="59" t="s">
        <v>5227</v>
      </c>
      <c r="I236" s="59"/>
      <c r="J236" s="59"/>
      <c r="K236" s="59"/>
      <c r="L236" s="59"/>
      <c r="M236" s="59" t="s">
        <v>5228</v>
      </c>
      <c r="N236" s="59"/>
      <c r="O236" s="59"/>
      <c r="P236" s="59" t="s">
        <v>5243</v>
      </c>
      <c r="Q236" s="59" t="s">
        <v>1237</v>
      </c>
      <c r="R236" s="59" t="s">
        <v>5231</v>
      </c>
      <c r="S236" s="59" t="s">
        <v>5218</v>
      </c>
      <c r="T236" s="59" t="s">
        <v>5247</v>
      </c>
      <c r="U236" s="59" t="s">
        <v>5220</v>
      </c>
      <c r="V236" s="59" t="s">
        <v>5221</v>
      </c>
      <c r="W236" s="59" t="s">
        <v>5250</v>
      </c>
      <c r="X236" s="59"/>
    </row>
    <row r="237" spans="1:24" ht="17.25" x14ac:dyDescent="0.3">
      <c r="A237" s="59" t="s">
        <v>5251</v>
      </c>
      <c r="B237" s="59" t="s">
        <v>5266</v>
      </c>
      <c r="C237" s="59"/>
      <c r="D237" s="59" t="s">
        <v>5239</v>
      </c>
      <c r="E237" s="59"/>
      <c r="F237" s="59"/>
      <c r="G237" s="59" t="s">
        <v>5254</v>
      </c>
      <c r="H237" s="59" t="s">
        <v>5241</v>
      </c>
      <c r="I237" s="59"/>
      <c r="J237" s="59"/>
      <c r="K237" s="59"/>
      <c r="L237" s="59"/>
      <c r="M237" s="59" t="s">
        <v>5242</v>
      </c>
      <c r="N237" s="59"/>
      <c r="O237" s="59"/>
      <c r="P237" s="59" t="s">
        <v>5257</v>
      </c>
      <c r="Q237" s="59" t="s">
        <v>3091</v>
      </c>
      <c r="R237" s="59" t="s">
        <v>5245</v>
      </c>
      <c r="S237" s="59" t="s">
        <v>5232</v>
      </c>
      <c r="T237" s="59" t="s">
        <v>5261</v>
      </c>
      <c r="U237" s="59" t="s">
        <v>5234</v>
      </c>
      <c r="V237" s="59" t="s">
        <v>5235</v>
      </c>
      <c r="W237" s="59" t="s">
        <v>5264</v>
      </c>
      <c r="X237" s="59"/>
    </row>
    <row r="238" spans="1:24" ht="17.25" x14ac:dyDescent="0.3">
      <c r="A238" s="59" t="s">
        <v>5265</v>
      </c>
      <c r="B238" s="59" t="s">
        <v>5280</v>
      </c>
      <c r="C238" s="59"/>
      <c r="D238" s="59" t="s">
        <v>5253</v>
      </c>
      <c r="E238" s="59"/>
      <c r="F238" s="59"/>
      <c r="G238" s="59" t="s">
        <v>5268</v>
      </c>
      <c r="H238" s="59" t="s">
        <v>5255</v>
      </c>
      <c r="I238" s="59"/>
      <c r="J238" s="59"/>
      <c r="K238" s="59"/>
      <c r="L238" s="59"/>
      <c r="M238" s="59" t="s">
        <v>5256</v>
      </c>
      <c r="N238" s="59"/>
      <c r="O238" s="59"/>
      <c r="P238" s="59" t="s">
        <v>5271</v>
      </c>
      <c r="Q238" s="59" t="s">
        <v>2118</v>
      </c>
      <c r="R238" s="59" t="s">
        <v>5259</v>
      </c>
      <c r="S238" s="59" t="s">
        <v>5246</v>
      </c>
      <c r="T238" s="59" t="s">
        <v>5275</v>
      </c>
      <c r="U238" s="59" t="s">
        <v>5248</v>
      </c>
      <c r="V238" s="59" t="s">
        <v>5249</v>
      </c>
      <c r="W238" s="59" t="s">
        <v>5278</v>
      </c>
      <c r="X238" s="59"/>
    </row>
    <row r="239" spans="1:24" ht="17.25" x14ac:dyDescent="0.3">
      <c r="A239" s="59" t="s">
        <v>5279</v>
      </c>
      <c r="B239" s="59" t="s">
        <v>5294</v>
      </c>
      <c r="C239" s="59"/>
      <c r="D239" s="59" t="s">
        <v>5267</v>
      </c>
      <c r="E239" s="59"/>
      <c r="F239" s="59"/>
      <c r="G239" s="59" t="s">
        <v>5282</v>
      </c>
      <c r="H239" s="59" t="s">
        <v>5269</v>
      </c>
      <c r="I239" s="59"/>
      <c r="J239" s="59"/>
      <c r="K239" s="59"/>
      <c r="L239" s="59"/>
      <c r="M239" s="59" t="s">
        <v>5270</v>
      </c>
      <c r="N239" s="59"/>
      <c r="O239" s="59"/>
      <c r="P239" s="59" t="s">
        <v>5285</v>
      </c>
      <c r="Q239" s="59" t="s">
        <v>1212</v>
      </c>
      <c r="R239" s="59" t="s">
        <v>5273</v>
      </c>
      <c r="S239" s="59" t="s">
        <v>5260</v>
      </c>
      <c r="T239" s="59" t="s">
        <v>5289</v>
      </c>
      <c r="U239" s="59" t="s">
        <v>5262</v>
      </c>
      <c r="V239" s="59" t="s">
        <v>5263</v>
      </c>
      <c r="W239" s="59" t="s">
        <v>5292</v>
      </c>
      <c r="X239" s="59"/>
    </row>
    <row r="240" spans="1:24" ht="17.25" x14ac:dyDescent="0.3">
      <c r="A240" s="59" t="s">
        <v>5293</v>
      </c>
      <c r="B240" s="59" t="s">
        <v>5307</v>
      </c>
      <c r="C240" s="59"/>
      <c r="D240" s="59" t="s">
        <v>5281</v>
      </c>
      <c r="E240" s="59"/>
      <c r="F240" s="59"/>
      <c r="G240" s="59" t="s">
        <v>5295</v>
      </c>
      <c r="H240" s="59" t="s">
        <v>5283</v>
      </c>
      <c r="I240" s="59"/>
      <c r="J240" s="59"/>
      <c r="K240" s="59"/>
      <c r="L240" s="59"/>
      <c r="M240" s="59" t="s">
        <v>5284</v>
      </c>
      <c r="N240" s="59"/>
      <c r="O240" s="59"/>
      <c r="P240" s="59" t="s">
        <v>5298</v>
      </c>
      <c r="Q240" s="59" t="s">
        <v>2094</v>
      </c>
      <c r="R240" s="59" t="s">
        <v>5287</v>
      </c>
      <c r="S240" s="59" t="s">
        <v>5274</v>
      </c>
      <c r="T240" s="59" t="s">
        <v>5302</v>
      </c>
      <c r="U240" s="59" t="s">
        <v>5276</v>
      </c>
      <c r="V240" s="59" t="s">
        <v>5277</v>
      </c>
      <c r="W240" s="59" t="s">
        <v>5305</v>
      </c>
      <c r="X240" s="59"/>
    </row>
    <row r="241" spans="1:24" ht="17.25" x14ac:dyDescent="0.3">
      <c r="A241" s="59" t="s">
        <v>5306</v>
      </c>
      <c r="B241" s="59" t="s">
        <v>5319</v>
      </c>
      <c r="C241" s="59"/>
      <c r="D241" s="59" t="s">
        <v>7047</v>
      </c>
      <c r="E241" s="59"/>
      <c r="F241" s="59"/>
      <c r="G241" s="59" t="s">
        <v>5308</v>
      </c>
      <c r="H241" s="59" t="s">
        <v>5296</v>
      </c>
      <c r="I241" s="59"/>
      <c r="J241" s="59"/>
      <c r="K241" s="59"/>
      <c r="L241" s="59"/>
      <c r="M241" s="59" t="s">
        <v>5297</v>
      </c>
      <c r="N241" s="59"/>
      <c r="O241" s="59"/>
      <c r="P241" s="59" t="s">
        <v>5311</v>
      </c>
      <c r="Q241" s="59" t="s">
        <v>1686</v>
      </c>
      <c r="R241" s="59" t="s">
        <v>5300</v>
      </c>
      <c r="S241" s="59" t="s">
        <v>5288</v>
      </c>
      <c r="T241" s="59" t="s">
        <v>5315</v>
      </c>
      <c r="U241" s="59" t="s">
        <v>5290</v>
      </c>
      <c r="V241" s="59" t="s">
        <v>5291</v>
      </c>
      <c r="W241" s="59" t="s">
        <v>5318</v>
      </c>
      <c r="X241" s="59"/>
    </row>
    <row r="242" spans="1:24" ht="17.25" x14ac:dyDescent="0.3">
      <c r="A242" s="59" t="s">
        <v>7048</v>
      </c>
      <c r="B242" s="59" t="s">
        <v>5331</v>
      </c>
      <c r="C242" s="59"/>
      <c r="D242" s="59" t="s">
        <v>7049</v>
      </c>
      <c r="E242" s="59"/>
      <c r="F242" s="59"/>
      <c r="G242" s="59" t="s">
        <v>5320</v>
      </c>
      <c r="H242" s="59" t="s">
        <v>5309</v>
      </c>
      <c r="I242" s="59"/>
      <c r="J242" s="59"/>
      <c r="K242" s="59"/>
      <c r="L242" s="59"/>
      <c r="M242" s="59" t="s">
        <v>5310</v>
      </c>
      <c r="N242" s="59"/>
      <c r="O242" s="59"/>
      <c r="P242" s="59" t="s">
        <v>5323</v>
      </c>
      <c r="Q242" s="59" t="s">
        <v>4164</v>
      </c>
      <c r="R242" s="59" t="s">
        <v>5313</v>
      </c>
      <c r="S242" s="59" t="s">
        <v>5301</v>
      </c>
      <c r="T242" s="59" t="s">
        <v>5327</v>
      </c>
      <c r="U242" s="59" t="s">
        <v>5303</v>
      </c>
      <c r="V242" s="59" t="s">
        <v>5304</v>
      </c>
      <c r="W242" s="59" t="s">
        <v>5330</v>
      </c>
      <c r="X242" s="59"/>
    </row>
    <row r="243" spans="1:24" ht="17.25" x14ac:dyDescent="0.3">
      <c r="A243" s="59" t="s">
        <v>7050</v>
      </c>
      <c r="B243" s="59" t="s">
        <v>5343</v>
      </c>
      <c r="C243" s="59"/>
      <c r="D243" s="59" t="s">
        <v>7051</v>
      </c>
      <c r="E243" s="59"/>
      <c r="F243" s="59"/>
      <c r="G243" s="59" t="s">
        <v>5332</v>
      </c>
      <c r="H243" s="59" t="s">
        <v>5321</v>
      </c>
      <c r="I243" s="59"/>
      <c r="J243" s="59"/>
      <c r="K243" s="59"/>
      <c r="L243" s="59"/>
      <c r="M243" s="59" t="s">
        <v>5322</v>
      </c>
      <c r="N243" s="59"/>
      <c r="O243" s="59"/>
      <c r="P243" s="59" t="s">
        <v>5335</v>
      </c>
      <c r="Q243" s="59" t="s">
        <v>2524</v>
      </c>
      <c r="R243" s="59" t="s">
        <v>5325</v>
      </c>
      <c r="S243" s="59" t="s">
        <v>5314</v>
      </c>
      <c r="T243" s="59" t="s">
        <v>5339</v>
      </c>
      <c r="U243" s="59" t="s">
        <v>5316</v>
      </c>
      <c r="V243" s="59" t="s">
        <v>5317</v>
      </c>
      <c r="W243" s="59" t="s">
        <v>5342</v>
      </c>
      <c r="X243" s="59"/>
    </row>
    <row r="244" spans="1:24" ht="17.25" x14ac:dyDescent="0.3">
      <c r="A244" s="59" t="s">
        <v>7052</v>
      </c>
      <c r="B244" s="59" t="s">
        <v>5355</v>
      </c>
      <c r="C244" s="59"/>
      <c r="D244" s="59" t="s">
        <v>7053</v>
      </c>
      <c r="E244" s="59"/>
      <c r="F244" s="59"/>
      <c r="G244" s="59" t="s">
        <v>5344</v>
      </c>
      <c r="H244" s="59" t="s">
        <v>5333</v>
      </c>
      <c r="I244" s="59"/>
      <c r="J244" s="59"/>
      <c r="K244" s="59"/>
      <c r="L244" s="59"/>
      <c r="M244" s="59" t="s">
        <v>5334</v>
      </c>
      <c r="N244" s="59"/>
      <c r="O244" s="59"/>
      <c r="P244" s="59" t="s">
        <v>5347</v>
      </c>
      <c r="Q244" s="59" t="s">
        <v>5007</v>
      </c>
      <c r="R244" s="59" t="s">
        <v>5337</v>
      </c>
      <c r="S244" s="59" t="s">
        <v>5326</v>
      </c>
      <c r="T244" s="59" t="s">
        <v>5351</v>
      </c>
      <c r="U244" s="59" t="s">
        <v>5328</v>
      </c>
      <c r="V244" s="59" t="s">
        <v>5329</v>
      </c>
      <c r="W244" s="59" t="s">
        <v>5354</v>
      </c>
      <c r="X244" s="59"/>
    </row>
    <row r="245" spans="1:24" ht="17.25" x14ac:dyDescent="0.3">
      <c r="A245" s="59" t="s">
        <v>7054</v>
      </c>
      <c r="B245" s="59" t="s">
        <v>5367</v>
      </c>
      <c r="C245" s="59"/>
      <c r="D245" s="59" t="s">
        <v>7055</v>
      </c>
      <c r="E245" s="59"/>
      <c r="F245" s="59"/>
      <c r="G245" s="59" t="s">
        <v>5356</v>
      </c>
      <c r="H245" s="59" t="s">
        <v>5345</v>
      </c>
      <c r="I245" s="59"/>
      <c r="J245" s="59"/>
      <c r="K245" s="59"/>
      <c r="L245" s="59"/>
      <c r="M245" s="59" t="s">
        <v>5346</v>
      </c>
      <c r="N245" s="59"/>
      <c r="O245" s="59"/>
      <c r="P245" s="59" t="s">
        <v>5359</v>
      </c>
      <c r="Q245" s="59" t="s">
        <v>1337</v>
      </c>
      <c r="R245" s="59" t="s">
        <v>5349</v>
      </c>
      <c r="S245" s="59" t="s">
        <v>5338</v>
      </c>
      <c r="T245" s="59" t="s">
        <v>5363</v>
      </c>
      <c r="U245" s="59" t="s">
        <v>5340</v>
      </c>
      <c r="V245" s="59" t="s">
        <v>5341</v>
      </c>
      <c r="W245" s="59" t="s">
        <v>5366</v>
      </c>
      <c r="X245" s="59"/>
    </row>
    <row r="246" spans="1:24" ht="17.25" x14ac:dyDescent="0.3">
      <c r="A246" s="59" t="s">
        <v>7056</v>
      </c>
      <c r="B246" s="59" t="s">
        <v>5379</v>
      </c>
      <c r="C246" s="59"/>
      <c r="D246" s="59" t="s">
        <v>7057</v>
      </c>
      <c r="E246" s="59"/>
      <c r="F246" s="59"/>
      <c r="G246" s="59" t="s">
        <v>5368</v>
      </c>
      <c r="H246" s="59" t="s">
        <v>5357</v>
      </c>
      <c r="I246" s="59"/>
      <c r="J246" s="59"/>
      <c r="K246" s="59"/>
      <c r="L246" s="59"/>
      <c r="M246" s="59" t="s">
        <v>5358</v>
      </c>
      <c r="N246" s="59"/>
      <c r="O246" s="59"/>
      <c r="P246" s="59" t="s">
        <v>5371</v>
      </c>
      <c r="Q246" s="59" t="s">
        <v>4965</v>
      </c>
      <c r="R246" s="59" t="s">
        <v>5361</v>
      </c>
      <c r="S246" s="59" t="s">
        <v>5350</v>
      </c>
      <c r="T246" s="59" t="s">
        <v>5375</v>
      </c>
      <c r="U246" s="59" t="s">
        <v>5352</v>
      </c>
      <c r="V246" s="59" t="s">
        <v>5353</v>
      </c>
      <c r="W246" s="59" t="s">
        <v>5378</v>
      </c>
      <c r="X246" s="59"/>
    </row>
    <row r="247" spans="1:24" ht="17.25" x14ac:dyDescent="0.3">
      <c r="A247" s="59" t="s">
        <v>7058</v>
      </c>
      <c r="B247" s="59" t="s">
        <v>5391</v>
      </c>
      <c r="C247" s="59"/>
      <c r="D247" s="59" t="s">
        <v>7059</v>
      </c>
      <c r="E247" s="59"/>
      <c r="F247" s="59"/>
      <c r="G247" s="59" t="s">
        <v>5380</v>
      </c>
      <c r="H247" s="59" t="s">
        <v>5369</v>
      </c>
      <c r="I247" s="59"/>
      <c r="J247" s="59"/>
      <c r="K247" s="59"/>
      <c r="L247" s="59"/>
      <c r="M247" s="59" t="s">
        <v>5370</v>
      </c>
      <c r="N247" s="59"/>
      <c r="O247" s="59"/>
      <c r="P247" s="59" t="s">
        <v>5383</v>
      </c>
      <c r="Q247" s="59" t="s">
        <v>1412</v>
      </c>
      <c r="R247" s="59" t="s">
        <v>5373</v>
      </c>
      <c r="S247" s="59" t="s">
        <v>5362</v>
      </c>
      <c r="T247" s="59" t="s">
        <v>5387</v>
      </c>
      <c r="U247" s="59" t="s">
        <v>5364</v>
      </c>
      <c r="V247" s="59" t="s">
        <v>5365</v>
      </c>
      <c r="W247" s="59" t="s">
        <v>5390</v>
      </c>
      <c r="X247" s="59"/>
    </row>
    <row r="248" spans="1:24" ht="17.25" x14ac:dyDescent="0.3">
      <c r="A248" s="59" t="s">
        <v>7060</v>
      </c>
      <c r="B248" s="59" t="s">
        <v>5403</v>
      </c>
      <c r="C248" s="59"/>
      <c r="D248" s="59" t="s">
        <v>7061</v>
      </c>
      <c r="E248" s="59"/>
      <c r="F248" s="59"/>
      <c r="G248" s="59" t="s">
        <v>5392</v>
      </c>
      <c r="H248" s="59" t="s">
        <v>5381</v>
      </c>
      <c r="I248" s="59"/>
      <c r="J248" s="59"/>
      <c r="K248" s="59"/>
      <c r="L248" s="59"/>
      <c r="M248" s="59" t="s">
        <v>5382</v>
      </c>
      <c r="N248" s="59"/>
      <c r="O248" s="59"/>
      <c r="P248" s="59" t="s">
        <v>5395</v>
      </c>
      <c r="Q248" s="59" t="s">
        <v>3930</v>
      </c>
      <c r="R248" s="59" t="s">
        <v>5385</v>
      </c>
      <c r="S248" s="59" t="s">
        <v>5374</v>
      </c>
      <c r="T248" s="59" t="s">
        <v>5399</v>
      </c>
      <c r="U248" s="59" t="s">
        <v>5376</v>
      </c>
      <c r="V248" s="59" t="s">
        <v>5377</v>
      </c>
      <c r="W248" s="59" t="s">
        <v>5402</v>
      </c>
      <c r="X248" s="59"/>
    </row>
    <row r="249" spans="1:24" ht="17.25" x14ac:dyDescent="0.3">
      <c r="A249" s="59" t="s">
        <v>7062</v>
      </c>
      <c r="B249" s="59" t="s">
        <v>5415</v>
      </c>
      <c r="C249" s="59"/>
      <c r="D249" s="59" t="s">
        <v>7063</v>
      </c>
      <c r="E249" s="59"/>
      <c r="F249" s="59"/>
      <c r="G249" s="59" t="s">
        <v>5404</v>
      </c>
      <c r="H249" s="59" t="s">
        <v>5393</v>
      </c>
      <c r="I249" s="59"/>
      <c r="J249" s="59"/>
      <c r="K249" s="59"/>
      <c r="L249" s="59"/>
      <c r="M249" s="59" t="s">
        <v>5394</v>
      </c>
      <c r="N249" s="59"/>
      <c r="O249" s="59"/>
      <c r="P249" s="59" t="s">
        <v>5407</v>
      </c>
      <c r="Q249" s="59" t="s">
        <v>1062</v>
      </c>
      <c r="R249" s="59" t="s">
        <v>5397</v>
      </c>
      <c r="S249" s="59" t="s">
        <v>5386</v>
      </c>
      <c r="T249" s="59" t="s">
        <v>5411</v>
      </c>
      <c r="U249" s="59" t="s">
        <v>5388</v>
      </c>
      <c r="V249" s="59" t="s">
        <v>5389</v>
      </c>
      <c r="W249" s="59" t="s">
        <v>5414</v>
      </c>
      <c r="X249" s="59"/>
    </row>
    <row r="250" spans="1:24" ht="17.25" x14ac:dyDescent="0.3">
      <c r="A250" s="59" t="s">
        <v>7064</v>
      </c>
      <c r="B250" s="59" t="s">
        <v>5427</v>
      </c>
      <c r="C250" s="59"/>
      <c r="D250" s="59" t="s">
        <v>7198</v>
      </c>
      <c r="E250" s="59"/>
      <c r="F250" s="59"/>
      <c r="G250" s="59" t="s">
        <v>5416</v>
      </c>
      <c r="H250" s="59" t="s">
        <v>5405</v>
      </c>
      <c r="I250" s="59"/>
      <c r="J250" s="59"/>
      <c r="K250" s="59"/>
      <c r="L250" s="59"/>
      <c r="M250" s="59" t="s">
        <v>5406</v>
      </c>
      <c r="N250" s="59"/>
      <c r="O250" s="59"/>
      <c r="P250" s="59" t="s">
        <v>5419</v>
      </c>
      <c r="Q250" s="59" t="s">
        <v>838</v>
      </c>
      <c r="R250" s="59" t="s">
        <v>5409</v>
      </c>
      <c r="S250" s="59" t="s">
        <v>5398</v>
      </c>
      <c r="T250" s="59" t="s">
        <v>5423</v>
      </c>
      <c r="U250" s="59" t="s">
        <v>5400</v>
      </c>
      <c r="V250" s="59" t="s">
        <v>5401</v>
      </c>
      <c r="W250" s="59" t="s">
        <v>5426</v>
      </c>
      <c r="X250" s="59"/>
    </row>
    <row r="251" spans="1:24" ht="17.25" x14ac:dyDescent="0.3">
      <c r="A251" s="59" t="s">
        <v>7065</v>
      </c>
      <c r="B251" s="59" t="s">
        <v>5439</v>
      </c>
      <c r="C251" s="59"/>
      <c r="D251" s="59" t="s">
        <v>7199</v>
      </c>
      <c r="E251" s="59"/>
      <c r="F251" s="59"/>
      <c r="G251" s="59" t="s">
        <v>5428</v>
      </c>
      <c r="H251" s="59" t="s">
        <v>5417</v>
      </c>
      <c r="I251" s="59"/>
      <c r="J251" s="59"/>
      <c r="K251" s="59"/>
      <c r="L251" s="59"/>
      <c r="M251" s="59" t="s">
        <v>5418</v>
      </c>
      <c r="N251" s="59"/>
      <c r="O251" s="59"/>
      <c r="P251" s="59" t="s">
        <v>5431</v>
      </c>
      <c r="Q251" s="59" t="s">
        <v>2884</v>
      </c>
      <c r="R251" s="59" t="s">
        <v>5421</v>
      </c>
      <c r="S251" s="59" t="s">
        <v>5410</v>
      </c>
      <c r="T251" s="59" t="s">
        <v>5435</v>
      </c>
      <c r="U251" s="59" t="s">
        <v>5412</v>
      </c>
      <c r="V251" s="59" t="s">
        <v>5413</v>
      </c>
      <c r="W251" s="59" t="s">
        <v>5438</v>
      </c>
      <c r="X251" s="59"/>
    </row>
    <row r="252" spans="1:24" ht="17.25" x14ac:dyDescent="0.3">
      <c r="A252" s="59" t="s">
        <v>2538</v>
      </c>
      <c r="B252" s="59" t="s">
        <v>5451</v>
      </c>
      <c r="C252" s="59"/>
      <c r="D252" s="59" t="s">
        <v>7200</v>
      </c>
      <c r="E252" s="59"/>
      <c r="F252" s="59"/>
      <c r="G252" s="59" t="s">
        <v>5440</v>
      </c>
      <c r="H252" s="59" t="s">
        <v>5429</v>
      </c>
      <c r="I252" s="59"/>
      <c r="J252" s="59"/>
      <c r="K252" s="59"/>
      <c r="L252" s="59"/>
      <c r="M252" s="59" t="s">
        <v>5430</v>
      </c>
      <c r="N252" s="59"/>
      <c r="O252" s="59"/>
      <c r="P252" s="59" t="s">
        <v>5443</v>
      </c>
      <c r="Q252" s="59" t="s">
        <v>7066</v>
      </c>
      <c r="R252" s="59" t="s">
        <v>5433</v>
      </c>
      <c r="S252" s="59" t="s">
        <v>5422</v>
      </c>
      <c r="T252" s="59" t="s">
        <v>5447</v>
      </c>
      <c r="U252" s="59" t="s">
        <v>5424</v>
      </c>
      <c r="V252" s="59" t="s">
        <v>5425</v>
      </c>
      <c r="W252" s="59" t="s">
        <v>5450</v>
      </c>
      <c r="X252" s="59"/>
    </row>
    <row r="253" spans="1:24" ht="17.25" x14ac:dyDescent="0.3">
      <c r="A253" s="59"/>
      <c r="B253" s="59" t="s">
        <v>5462</v>
      </c>
      <c r="C253" s="59"/>
      <c r="D253" s="59" t="s">
        <v>7201</v>
      </c>
      <c r="E253" s="59"/>
      <c r="F253" s="59"/>
      <c r="G253" s="59" t="s">
        <v>5452</v>
      </c>
      <c r="H253" s="59" t="s">
        <v>5441</v>
      </c>
      <c r="I253" s="59"/>
      <c r="J253" s="59"/>
      <c r="K253" s="59"/>
      <c r="L253" s="59"/>
      <c r="M253" s="59" t="s">
        <v>5442</v>
      </c>
      <c r="N253" s="59"/>
      <c r="O253" s="59"/>
      <c r="P253" s="59" t="s">
        <v>5466</v>
      </c>
      <c r="Q253" s="59" t="s">
        <v>4050</v>
      </c>
      <c r="R253" s="59" t="s">
        <v>5445</v>
      </c>
      <c r="S253" s="59" t="s">
        <v>5434</v>
      </c>
      <c r="T253" s="59" t="s">
        <v>5458</v>
      </c>
      <c r="U253" s="59" t="s">
        <v>5436</v>
      </c>
      <c r="V253" s="59" t="s">
        <v>5437</v>
      </c>
      <c r="W253" s="59" t="s">
        <v>5461</v>
      </c>
      <c r="X253" s="59"/>
    </row>
    <row r="254" spans="1:24" ht="17.25" x14ac:dyDescent="0.3">
      <c r="A254" s="59"/>
      <c r="B254" s="59" t="s">
        <v>5474</v>
      </c>
      <c r="C254" s="59"/>
      <c r="D254" s="59" t="s">
        <v>7202</v>
      </c>
      <c r="E254" s="59"/>
      <c r="F254" s="59"/>
      <c r="G254" s="59" t="s">
        <v>5463</v>
      </c>
      <c r="H254" s="59" t="s">
        <v>5453</v>
      </c>
      <c r="I254" s="59"/>
      <c r="J254" s="59"/>
      <c r="K254" s="59"/>
      <c r="L254" s="59"/>
      <c r="M254" s="59" t="s">
        <v>5454</v>
      </c>
      <c r="N254" s="59"/>
      <c r="O254" s="59"/>
      <c r="P254" s="59" t="s">
        <v>5478</v>
      </c>
      <c r="Q254" s="59" t="s">
        <v>5286</v>
      </c>
      <c r="R254" s="59" t="s">
        <v>5456</v>
      </c>
      <c r="S254" s="59" t="s">
        <v>5446</v>
      </c>
      <c r="T254" s="59" t="s">
        <v>5470</v>
      </c>
      <c r="U254" s="59" t="s">
        <v>5448</v>
      </c>
      <c r="V254" s="59" t="s">
        <v>5449</v>
      </c>
      <c r="W254" s="59" t="s">
        <v>5473</v>
      </c>
      <c r="X254" s="59"/>
    </row>
    <row r="255" spans="1:24" ht="17.25" x14ac:dyDescent="0.3">
      <c r="A255" s="59"/>
      <c r="B255" s="59" t="s">
        <v>5486</v>
      </c>
      <c r="C255" s="59"/>
      <c r="D255" s="59" t="s">
        <v>7203</v>
      </c>
      <c r="E255" s="59"/>
      <c r="F255" s="59"/>
      <c r="G255" s="59" t="s">
        <v>5475</v>
      </c>
      <c r="H255" s="59" t="s">
        <v>5464</v>
      </c>
      <c r="I255" s="59"/>
      <c r="J255" s="59"/>
      <c r="K255" s="59"/>
      <c r="L255" s="59"/>
      <c r="M255" s="59" t="s">
        <v>5465</v>
      </c>
      <c r="N255" s="59"/>
      <c r="O255" s="59"/>
      <c r="P255" s="59" t="s">
        <v>5490</v>
      </c>
      <c r="Q255" s="59" t="s">
        <v>4713</v>
      </c>
      <c r="R255" s="59" t="s">
        <v>5468</v>
      </c>
      <c r="S255" s="59" t="s">
        <v>5457</v>
      </c>
      <c r="T255" s="59" t="s">
        <v>5482</v>
      </c>
      <c r="U255" s="59" t="s">
        <v>5459</v>
      </c>
      <c r="V255" s="59" t="s">
        <v>5460</v>
      </c>
      <c r="W255" s="59" t="s">
        <v>5485</v>
      </c>
      <c r="X255" s="59"/>
    </row>
    <row r="256" spans="1:24" ht="17.25" x14ac:dyDescent="0.3">
      <c r="A256" s="59"/>
      <c r="B256" s="59" t="s">
        <v>5498</v>
      </c>
      <c r="C256" s="59"/>
      <c r="D256" s="59" t="s">
        <v>7204</v>
      </c>
      <c r="E256" s="59"/>
      <c r="F256" s="59"/>
      <c r="G256" s="59" t="s">
        <v>5487</v>
      </c>
      <c r="H256" s="59" t="s">
        <v>5476</v>
      </c>
      <c r="I256" s="59"/>
      <c r="J256" s="59"/>
      <c r="K256" s="59"/>
      <c r="L256" s="59"/>
      <c r="M256" s="59" t="s">
        <v>5477</v>
      </c>
      <c r="N256" s="59"/>
      <c r="O256" s="59"/>
      <c r="P256" s="59" t="s">
        <v>5502</v>
      </c>
      <c r="Q256" s="59" t="s">
        <v>4755</v>
      </c>
      <c r="R256" s="59" t="s">
        <v>5480</v>
      </c>
      <c r="S256" s="59" t="s">
        <v>5469</v>
      </c>
      <c r="T256" s="59" t="s">
        <v>5494</v>
      </c>
      <c r="U256" s="59" t="s">
        <v>5471</v>
      </c>
      <c r="V256" s="59" t="s">
        <v>5472</v>
      </c>
      <c r="W256" s="59" t="s">
        <v>5497</v>
      </c>
      <c r="X256" s="59"/>
    </row>
    <row r="257" spans="1:24" ht="17.25" x14ac:dyDescent="0.3">
      <c r="A257" s="59"/>
      <c r="B257" s="59" t="s">
        <v>5510</v>
      </c>
      <c r="C257" s="59"/>
      <c r="D257" s="59" t="s">
        <v>7205</v>
      </c>
      <c r="E257" s="59"/>
      <c r="F257" s="59"/>
      <c r="G257" s="59" t="s">
        <v>5499</v>
      </c>
      <c r="H257" s="59" t="s">
        <v>5488</v>
      </c>
      <c r="I257" s="59"/>
      <c r="J257" s="59"/>
      <c r="K257" s="59"/>
      <c r="L257" s="59"/>
      <c r="M257" s="59" t="s">
        <v>5489</v>
      </c>
      <c r="N257" s="59"/>
      <c r="O257" s="59"/>
      <c r="P257" s="59" t="s">
        <v>5514</v>
      </c>
      <c r="Q257" s="59" t="s">
        <v>5575</v>
      </c>
      <c r="R257" s="59" t="s">
        <v>5492</v>
      </c>
      <c r="S257" s="59" t="s">
        <v>5481</v>
      </c>
      <c r="T257" s="59" t="s">
        <v>5506</v>
      </c>
      <c r="U257" s="59" t="s">
        <v>5483</v>
      </c>
      <c r="V257" s="59" t="s">
        <v>5484</v>
      </c>
      <c r="W257" s="59" t="s">
        <v>5509</v>
      </c>
      <c r="X257" s="59"/>
    </row>
    <row r="258" spans="1:24" ht="17.25" x14ac:dyDescent="0.3">
      <c r="A258" s="59"/>
      <c r="B258" s="59" t="s">
        <v>5522</v>
      </c>
      <c r="C258" s="59"/>
      <c r="D258" s="59"/>
      <c r="E258" s="59"/>
      <c r="F258" s="59"/>
      <c r="G258" s="59" t="s">
        <v>5511</v>
      </c>
      <c r="H258" s="59" t="s">
        <v>5500</v>
      </c>
      <c r="I258" s="59"/>
      <c r="J258" s="59"/>
      <c r="K258" s="59"/>
      <c r="L258" s="59"/>
      <c r="M258" s="59" t="s">
        <v>5501</v>
      </c>
      <c r="N258" s="59"/>
      <c r="O258" s="59"/>
      <c r="P258" s="59" t="s">
        <v>5526</v>
      </c>
      <c r="Q258" s="59" t="s">
        <v>5587</v>
      </c>
      <c r="R258" s="59" t="s">
        <v>5504</v>
      </c>
      <c r="S258" s="59" t="s">
        <v>5493</v>
      </c>
      <c r="T258" s="59" t="s">
        <v>5518</v>
      </c>
      <c r="U258" s="59" t="s">
        <v>5495</v>
      </c>
      <c r="V258" s="59" t="s">
        <v>5496</v>
      </c>
      <c r="W258" s="59" t="s">
        <v>5521</v>
      </c>
      <c r="X258" s="59"/>
    </row>
    <row r="259" spans="1:24" ht="17.25" x14ac:dyDescent="0.3">
      <c r="A259" s="59"/>
      <c r="B259" s="59" t="s">
        <v>5534</v>
      </c>
      <c r="C259" s="59"/>
      <c r="D259" s="59"/>
      <c r="E259" s="59"/>
      <c r="F259" s="59"/>
      <c r="G259" s="59" t="s">
        <v>5523</v>
      </c>
      <c r="H259" s="59" t="s">
        <v>5512</v>
      </c>
      <c r="I259" s="59"/>
      <c r="J259" s="59"/>
      <c r="K259" s="59"/>
      <c r="L259" s="59"/>
      <c r="M259" s="59" t="s">
        <v>5513</v>
      </c>
      <c r="N259" s="59"/>
      <c r="O259" s="59"/>
      <c r="P259" s="59" t="s">
        <v>5538</v>
      </c>
      <c r="Q259" s="59" t="s">
        <v>5718</v>
      </c>
      <c r="R259" s="59" t="s">
        <v>5516</v>
      </c>
      <c r="S259" s="59" t="s">
        <v>5505</v>
      </c>
      <c r="T259" s="59" t="s">
        <v>5530</v>
      </c>
      <c r="U259" s="59" t="s">
        <v>5507</v>
      </c>
      <c r="V259" s="59" t="s">
        <v>5508</v>
      </c>
      <c r="W259" s="59" t="s">
        <v>5533</v>
      </c>
      <c r="X259" s="59"/>
    </row>
    <row r="260" spans="1:24" ht="17.25" x14ac:dyDescent="0.3">
      <c r="A260" s="59"/>
      <c r="B260" s="59" t="s">
        <v>5546</v>
      </c>
      <c r="C260" s="59"/>
      <c r="D260" s="59"/>
      <c r="E260" s="59"/>
      <c r="F260" s="59"/>
      <c r="G260" s="59" t="s">
        <v>5535</v>
      </c>
      <c r="H260" s="59" t="s">
        <v>5524</v>
      </c>
      <c r="I260" s="59"/>
      <c r="J260" s="59"/>
      <c r="K260" s="59"/>
      <c r="L260" s="59"/>
      <c r="M260" s="59" t="s">
        <v>5525</v>
      </c>
      <c r="N260" s="59"/>
      <c r="O260" s="59"/>
      <c r="P260" s="59" t="s">
        <v>5550</v>
      </c>
      <c r="Q260" s="59" t="s">
        <v>4657</v>
      </c>
      <c r="R260" s="59" t="s">
        <v>5528</v>
      </c>
      <c r="S260" s="59" t="s">
        <v>5517</v>
      </c>
      <c r="T260" s="59" t="s">
        <v>5542</v>
      </c>
      <c r="U260" s="59" t="s">
        <v>5519</v>
      </c>
      <c r="V260" s="59" t="s">
        <v>5520</v>
      </c>
      <c r="W260" s="59" t="s">
        <v>5545</v>
      </c>
      <c r="X260" s="59"/>
    </row>
    <row r="261" spans="1:24" ht="17.25" x14ac:dyDescent="0.3">
      <c r="A261" s="59"/>
      <c r="B261" s="59" t="s">
        <v>5558</v>
      </c>
      <c r="C261" s="59"/>
      <c r="D261" s="59"/>
      <c r="E261" s="59"/>
      <c r="F261" s="59"/>
      <c r="G261" s="59" t="s">
        <v>5547</v>
      </c>
      <c r="H261" s="59" t="s">
        <v>5536</v>
      </c>
      <c r="I261" s="59"/>
      <c r="J261" s="59"/>
      <c r="K261" s="59"/>
      <c r="L261" s="59"/>
      <c r="M261" s="59" t="s">
        <v>5537</v>
      </c>
      <c r="N261" s="59"/>
      <c r="O261" s="59"/>
      <c r="P261" s="59" t="s">
        <v>5562</v>
      </c>
      <c r="Q261" s="59" t="s">
        <v>4145</v>
      </c>
      <c r="R261" s="59" t="s">
        <v>5540</v>
      </c>
      <c r="S261" s="59" t="s">
        <v>5529</v>
      </c>
      <c r="T261" s="59" t="s">
        <v>5554</v>
      </c>
      <c r="U261" s="59" t="s">
        <v>5531</v>
      </c>
      <c r="V261" s="59" t="s">
        <v>5532</v>
      </c>
      <c r="W261" s="59" t="s">
        <v>5557</v>
      </c>
      <c r="X261" s="59"/>
    </row>
    <row r="262" spans="1:24" ht="17.25" x14ac:dyDescent="0.3">
      <c r="A262" s="59"/>
      <c r="B262" s="59" t="s">
        <v>5570</v>
      </c>
      <c r="C262" s="59"/>
      <c r="D262" s="59"/>
      <c r="E262" s="59"/>
      <c r="F262" s="59"/>
      <c r="G262" s="59" t="s">
        <v>5559</v>
      </c>
      <c r="H262" s="59" t="s">
        <v>5548</v>
      </c>
      <c r="I262" s="59"/>
      <c r="J262" s="59"/>
      <c r="K262" s="59"/>
      <c r="L262" s="59"/>
      <c r="M262" s="59" t="s">
        <v>5549</v>
      </c>
      <c r="N262" s="59"/>
      <c r="O262" s="59"/>
      <c r="P262" s="59" t="s">
        <v>5574</v>
      </c>
      <c r="Q262" s="59" t="s">
        <v>1512</v>
      </c>
      <c r="R262" s="59" t="s">
        <v>5552</v>
      </c>
      <c r="S262" s="59" t="s">
        <v>5541</v>
      </c>
      <c r="T262" s="59" t="s">
        <v>5566</v>
      </c>
      <c r="U262" s="59" t="s">
        <v>5543</v>
      </c>
      <c r="V262" s="59" t="s">
        <v>5544</v>
      </c>
      <c r="W262" s="59" t="s">
        <v>5569</v>
      </c>
      <c r="X262" s="59"/>
    </row>
    <row r="263" spans="1:24" ht="17.25" x14ac:dyDescent="0.3">
      <c r="A263" s="59"/>
      <c r="B263" s="59" t="s">
        <v>5582</v>
      </c>
      <c r="C263" s="59"/>
      <c r="D263" s="59"/>
      <c r="E263" s="59"/>
      <c r="F263" s="59"/>
      <c r="G263" s="59" t="s">
        <v>5571</v>
      </c>
      <c r="H263" s="59" t="s">
        <v>5560</v>
      </c>
      <c r="I263" s="59"/>
      <c r="J263" s="59"/>
      <c r="K263" s="59"/>
      <c r="L263" s="59"/>
      <c r="M263" s="59" t="s">
        <v>5561</v>
      </c>
      <c r="N263" s="59"/>
      <c r="O263" s="59"/>
      <c r="P263" s="59" t="s">
        <v>5586</v>
      </c>
      <c r="Q263" s="59" t="s">
        <v>3228</v>
      </c>
      <c r="R263" s="59" t="s">
        <v>5564</v>
      </c>
      <c r="S263" s="59" t="s">
        <v>5553</v>
      </c>
      <c r="T263" s="59" t="s">
        <v>5578</v>
      </c>
      <c r="U263" s="59" t="s">
        <v>5555</v>
      </c>
      <c r="V263" s="59" t="s">
        <v>5556</v>
      </c>
      <c r="W263" s="59" t="s">
        <v>5581</v>
      </c>
      <c r="X263" s="59"/>
    </row>
    <row r="264" spans="1:24" ht="17.25" x14ac:dyDescent="0.3">
      <c r="A264" s="59"/>
      <c r="B264" s="59" t="s">
        <v>5594</v>
      </c>
      <c r="C264" s="59"/>
      <c r="D264" s="59"/>
      <c r="E264" s="59"/>
      <c r="F264" s="59"/>
      <c r="G264" s="59" t="s">
        <v>5583</v>
      </c>
      <c r="H264" s="59" t="s">
        <v>5572</v>
      </c>
      <c r="I264" s="59"/>
      <c r="J264" s="59"/>
      <c r="K264" s="59"/>
      <c r="L264" s="59"/>
      <c r="M264" s="59" t="s">
        <v>5573</v>
      </c>
      <c r="N264" s="59"/>
      <c r="O264" s="59"/>
      <c r="P264" s="59" t="s">
        <v>5598</v>
      </c>
      <c r="Q264" s="59" t="s">
        <v>2285</v>
      </c>
      <c r="R264" s="59" t="s">
        <v>5576</v>
      </c>
      <c r="S264" s="59" t="s">
        <v>5565</v>
      </c>
      <c r="T264" s="59" t="s">
        <v>5590</v>
      </c>
      <c r="U264" s="59" t="s">
        <v>5567</v>
      </c>
      <c r="V264" s="59" t="s">
        <v>5568</v>
      </c>
      <c r="W264" s="59" t="s">
        <v>5593</v>
      </c>
      <c r="X264" s="59"/>
    </row>
    <row r="265" spans="1:24" ht="17.25" x14ac:dyDescent="0.3">
      <c r="A265" s="59"/>
      <c r="B265" s="59" t="s">
        <v>5606</v>
      </c>
      <c r="C265" s="59"/>
      <c r="D265" s="59"/>
      <c r="E265" s="59"/>
      <c r="F265" s="59"/>
      <c r="G265" s="59" t="s">
        <v>5595</v>
      </c>
      <c r="H265" s="59" t="s">
        <v>5584</v>
      </c>
      <c r="I265" s="59"/>
      <c r="J265" s="59"/>
      <c r="K265" s="59"/>
      <c r="L265" s="59"/>
      <c r="M265" s="59" t="s">
        <v>5585</v>
      </c>
      <c r="N265" s="59"/>
      <c r="O265" s="59"/>
      <c r="P265" s="59" t="s">
        <v>5610</v>
      </c>
      <c r="Q265" s="59" t="s">
        <v>514</v>
      </c>
      <c r="R265" s="59" t="s">
        <v>5588</v>
      </c>
      <c r="S265" s="59" t="s">
        <v>5577</v>
      </c>
      <c r="T265" s="59" t="s">
        <v>5602</v>
      </c>
      <c r="U265" s="59" t="s">
        <v>5579</v>
      </c>
      <c r="V265" s="59" t="s">
        <v>5580</v>
      </c>
      <c r="W265" s="59" t="s">
        <v>5605</v>
      </c>
      <c r="X265" s="59"/>
    </row>
    <row r="266" spans="1:24" ht="17.25" x14ac:dyDescent="0.3">
      <c r="A266" s="59"/>
      <c r="B266" s="59" t="s">
        <v>5618</v>
      </c>
      <c r="C266" s="59"/>
      <c r="D266" s="59"/>
      <c r="E266" s="59"/>
      <c r="F266" s="59"/>
      <c r="G266" s="59" t="s">
        <v>5607</v>
      </c>
      <c r="H266" s="59" t="s">
        <v>5596</v>
      </c>
      <c r="I266" s="59"/>
      <c r="J266" s="59"/>
      <c r="K266" s="59"/>
      <c r="L266" s="59"/>
      <c r="M266" s="59" t="s">
        <v>5597</v>
      </c>
      <c r="N266" s="59"/>
      <c r="O266" s="59"/>
      <c r="P266" s="59" t="s">
        <v>5622</v>
      </c>
      <c r="Q266" s="59" t="s">
        <v>4069</v>
      </c>
      <c r="R266" s="59" t="s">
        <v>5600</v>
      </c>
      <c r="S266" s="59" t="s">
        <v>5589</v>
      </c>
      <c r="T266" s="59" t="s">
        <v>5614</v>
      </c>
      <c r="U266" s="59" t="s">
        <v>5591</v>
      </c>
      <c r="V266" s="59" t="s">
        <v>5592</v>
      </c>
      <c r="W266" s="59" t="s">
        <v>5617</v>
      </c>
      <c r="X266" s="59"/>
    </row>
    <row r="267" spans="1:24" ht="17.25" x14ac:dyDescent="0.3">
      <c r="A267" s="59"/>
      <c r="B267" s="59" t="s">
        <v>5630</v>
      </c>
      <c r="C267" s="59"/>
      <c r="D267" s="59"/>
      <c r="E267" s="59"/>
      <c r="F267" s="59"/>
      <c r="G267" s="59" t="s">
        <v>5619</v>
      </c>
      <c r="H267" s="59" t="s">
        <v>5608</v>
      </c>
      <c r="I267" s="59"/>
      <c r="J267" s="59"/>
      <c r="K267" s="59"/>
      <c r="L267" s="59"/>
      <c r="M267" s="59" t="s">
        <v>5609</v>
      </c>
      <c r="N267" s="59"/>
      <c r="O267" s="59"/>
      <c r="P267" s="59" t="s">
        <v>5634</v>
      </c>
      <c r="Q267" s="59" t="s">
        <v>439</v>
      </c>
      <c r="R267" s="59" t="s">
        <v>5612</v>
      </c>
      <c r="S267" s="59" t="s">
        <v>5601</v>
      </c>
      <c r="T267" s="59" t="s">
        <v>5626</v>
      </c>
      <c r="U267" s="59" t="s">
        <v>5603</v>
      </c>
      <c r="V267" s="59" t="s">
        <v>5604</v>
      </c>
      <c r="W267" s="59" t="s">
        <v>5629</v>
      </c>
      <c r="X267" s="59"/>
    </row>
    <row r="268" spans="1:24" ht="17.25" x14ac:dyDescent="0.3">
      <c r="A268" s="59"/>
      <c r="B268" s="59" t="s">
        <v>5642</v>
      </c>
      <c r="C268" s="59"/>
      <c r="D268" s="59"/>
      <c r="E268" s="59"/>
      <c r="F268" s="59"/>
      <c r="G268" s="59" t="s">
        <v>5631</v>
      </c>
      <c r="H268" s="59" t="s">
        <v>5620</v>
      </c>
      <c r="I268" s="59"/>
      <c r="J268" s="59"/>
      <c r="K268" s="59"/>
      <c r="L268" s="59"/>
      <c r="M268" s="59" t="s">
        <v>5621</v>
      </c>
      <c r="N268" s="59"/>
      <c r="O268" s="59"/>
      <c r="P268" s="59" t="s">
        <v>5646</v>
      </c>
      <c r="Q268" s="59" t="s">
        <v>1012</v>
      </c>
      <c r="R268" s="59" t="s">
        <v>5624</v>
      </c>
      <c r="S268" s="59" t="s">
        <v>5613</v>
      </c>
      <c r="T268" s="59" t="s">
        <v>5638</v>
      </c>
      <c r="U268" s="59" t="s">
        <v>5615</v>
      </c>
      <c r="V268" s="59" t="s">
        <v>5616</v>
      </c>
      <c r="W268" s="59" t="s">
        <v>5641</v>
      </c>
      <c r="X268" s="59"/>
    </row>
    <row r="269" spans="1:24" ht="17.25" x14ac:dyDescent="0.3">
      <c r="A269" s="59"/>
      <c r="B269" s="59" t="s">
        <v>5654</v>
      </c>
      <c r="C269" s="59"/>
      <c r="D269" s="59"/>
      <c r="E269" s="59"/>
      <c r="F269" s="59"/>
      <c r="G269" s="59" t="s">
        <v>5643</v>
      </c>
      <c r="H269" s="59" t="s">
        <v>5632</v>
      </c>
      <c r="I269" s="59"/>
      <c r="J269" s="59"/>
      <c r="K269" s="59"/>
      <c r="L269" s="59"/>
      <c r="M269" s="59" t="s">
        <v>5633</v>
      </c>
      <c r="N269" s="59"/>
      <c r="O269" s="59"/>
      <c r="P269" s="59" t="s">
        <v>5658</v>
      </c>
      <c r="Q269" s="59" t="s">
        <v>763</v>
      </c>
      <c r="R269" s="59" t="s">
        <v>5636</v>
      </c>
      <c r="S269" s="59" t="s">
        <v>5625</v>
      </c>
      <c r="T269" s="59" t="s">
        <v>5650</v>
      </c>
      <c r="U269" s="59" t="s">
        <v>5627</v>
      </c>
      <c r="V269" s="59" t="s">
        <v>5628</v>
      </c>
      <c r="W269" s="59" t="s">
        <v>5653</v>
      </c>
      <c r="X269" s="59"/>
    </row>
    <row r="270" spans="1:24" ht="17.25" x14ac:dyDescent="0.3">
      <c r="A270" s="59"/>
      <c r="B270" s="59" t="s">
        <v>5666</v>
      </c>
      <c r="C270" s="59"/>
      <c r="D270" s="59"/>
      <c r="E270" s="59"/>
      <c r="F270" s="59"/>
      <c r="G270" s="59" t="s">
        <v>5655</v>
      </c>
      <c r="H270" s="59" t="s">
        <v>5644</v>
      </c>
      <c r="I270" s="59"/>
      <c r="J270" s="59"/>
      <c r="K270" s="59"/>
      <c r="L270" s="59"/>
      <c r="M270" s="59" t="s">
        <v>5645</v>
      </c>
      <c r="N270" s="59"/>
      <c r="O270" s="59"/>
      <c r="P270" s="59" t="s">
        <v>5670</v>
      </c>
      <c r="Q270" s="59" t="s">
        <v>3274</v>
      </c>
      <c r="R270" s="59" t="s">
        <v>5648</v>
      </c>
      <c r="S270" s="59" t="s">
        <v>5637</v>
      </c>
      <c r="T270" s="59" t="s">
        <v>5662</v>
      </c>
      <c r="U270" s="59" t="s">
        <v>5639</v>
      </c>
      <c r="V270" s="59" t="s">
        <v>5640</v>
      </c>
      <c r="W270" s="59" t="s">
        <v>5665</v>
      </c>
      <c r="X270" s="59"/>
    </row>
    <row r="271" spans="1:24" ht="17.25" x14ac:dyDescent="0.3">
      <c r="A271" s="59"/>
      <c r="B271" s="59" t="s">
        <v>5678</v>
      </c>
      <c r="C271" s="59"/>
      <c r="D271" s="59"/>
      <c r="E271" s="59"/>
      <c r="F271" s="59"/>
      <c r="G271" s="59" t="s">
        <v>5667</v>
      </c>
      <c r="H271" s="59" t="s">
        <v>5656</v>
      </c>
      <c r="I271" s="59"/>
      <c r="J271" s="59"/>
      <c r="K271" s="59"/>
      <c r="L271" s="59"/>
      <c r="M271" s="59" t="s">
        <v>5657</v>
      </c>
      <c r="N271" s="59"/>
      <c r="O271" s="59"/>
      <c r="P271" s="59" t="s">
        <v>5682</v>
      </c>
      <c r="Q271" s="59" t="s">
        <v>4588</v>
      </c>
      <c r="R271" s="59" t="s">
        <v>5660</v>
      </c>
      <c r="S271" s="59" t="s">
        <v>5649</v>
      </c>
      <c r="T271" s="59" t="s">
        <v>5674</v>
      </c>
      <c r="U271" s="59" t="s">
        <v>5651</v>
      </c>
      <c r="V271" s="59" t="s">
        <v>5652</v>
      </c>
      <c r="W271" s="59" t="s">
        <v>5677</v>
      </c>
      <c r="X271" s="59"/>
    </row>
    <row r="272" spans="1:24" ht="17.25" x14ac:dyDescent="0.3">
      <c r="A272" s="59"/>
      <c r="B272" s="59" t="s">
        <v>5689</v>
      </c>
      <c r="C272" s="59"/>
      <c r="D272" s="59"/>
      <c r="E272" s="59"/>
      <c r="F272" s="59"/>
      <c r="G272" s="59" t="s">
        <v>5679</v>
      </c>
      <c r="H272" s="59" t="s">
        <v>5668</v>
      </c>
      <c r="I272" s="59"/>
      <c r="J272" s="59"/>
      <c r="K272" s="59"/>
      <c r="L272" s="59"/>
      <c r="M272" s="59" t="s">
        <v>5669</v>
      </c>
      <c r="N272" s="59"/>
      <c r="O272" s="59"/>
      <c r="P272" s="59" t="s">
        <v>5693</v>
      </c>
      <c r="Q272" s="59" t="s">
        <v>4363</v>
      </c>
      <c r="R272" s="59" t="s">
        <v>5672</v>
      </c>
      <c r="S272" s="59" t="s">
        <v>5661</v>
      </c>
      <c r="T272" s="59" t="s">
        <v>5686</v>
      </c>
      <c r="U272" s="59" t="s">
        <v>5663</v>
      </c>
      <c r="V272" s="59" t="s">
        <v>5664</v>
      </c>
      <c r="W272" s="59" t="s">
        <v>5700</v>
      </c>
      <c r="X272" s="59"/>
    </row>
    <row r="273" spans="1:24" ht="17.25" x14ac:dyDescent="0.3">
      <c r="A273" s="59"/>
      <c r="B273" s="59" t="s">
        <v>5701</v>
      </c>
      <c r="C273" s="59"/>
      <c r="D273" s="59"/>
      <c r="E273" s="59"/>
      <c r="F273" s="59"/>
      <c r="G273" s="59" t="s">
        <v>5690</v>
      </c>
      <c r="H273" s="59" t="s">
        <v>5680</v>
      </c>
      <c r="I273" s="59"/>
      <c r="J273" s="59"/>
      <c r="K273" s="59"/>
      <c r="L273" s="59"/>
      <c r="M273" s="59" t="s">
        <v>5681</v>
      </c>
      <c r="N273" s="59"/>
      <c r="O273" s="59"/>
      <c r="P273" s="59" t="s">
        <v>5705</v>
      </c>
      <c r="Q273" s="59" t="s">
        <v>4380</v>
      </c>
      <c r="R273" s="59" t="s">
        <v>5684</v>
      </c>
      <c r="S273" s="59" t="s">
        <v>5673</v>
      </c>
      <c r="T273" s="59" t="s">
        <v>5697</v>
      </c>
      <c r="U273" s="59" t="s">
        <v>5675</v>
      </c>
      <c r="V273" s="59" t="s">
        <v>5676</v>
      </c>
      <c r="W273" s="59" t="s">
        <v>5712</v>
      </c>
      <c r="X273" s="59"/>
    </row>
    <row r="274" spans="1:24" ht="17.25" x14ac:dyDescent="0.3">
      <c r="A274" s="59"/>
      <c r="B274" s="59" t="s">
        <v>5713</v>
      </c>
      <c r="C274" s="59"/>
      <c r="D274" s="59"/>
      <c r="E274" s="59"/>
      <c r="F274" s="59"/>
      <c r="G274" s="59" t="s">
        <v>5702</v>
      </c>
      <c r="H274" s="59" t="s">
        <v>5691</v>
      </c>
      <c r="I274" s="59"/>
      <c r="J274" s="59"/>
      <c r="K274" s="59"/>
      <c r="L274" s="59"/>
      <c r="M274" s="59" t="s">
        <v>5692</v>
      </c>
      <c r="N274" s="59"/>
      <c r="O274" s="59"/>
      <c r="P274" s="59" t="s">
        <v>5717</v>
      </c>
      <c r="Q274" s="59" t="s">
        <v>2692</v>
      </c>
      <c r="R274" s="59" t="s">
        <v>5695</v>
      </c>
      <c r="S274" s="59" t="s">
        <v>5685</v>
      </c>
      <c r="T274" s="59" t="s">
        <v>5709</v>
      </c>
      <c r="U274" s="59" t="s">
        <v>5687</v>
      </c>
      <c r="V274" s="59" t="s">
        <v>5688</v>
      </c>
      <c r="W274" s="59" t="s">
        <v>5724</v>
      </c>
      <c r="X274" s="59"/>
    </row>
    <row r="275" spans="1:24" ht="17.25" x14ac:dyDescent="0.3">
      <c r="A275" s="59"/>
      <c r="B275" s="59" t="s">
        <v>5725</v>
      </c>
      <c r="C275" s="59"/>
      <c r="D275" s="59"/>
      <c r="E275" s="59"/>
      <c r="F275" s="59"/>
      <c r="G275" s="59" t="s">
        <v>5714</v>
      </c>
      <c r="H275" s="59" t="s">
        <v>5703</v>
      </c>
      <c r="I275" s="59"/>
      <c r="J275" s="59"/>
      <c r="K275" s="59"/>
      <c r="L275" s="59"/>
      <c r="M275" s="59" t="s">
        <v>5704</v>
      </c>
      <c r="N275" s="59"/>
      <c r="O275" s="59"/>
      <c r="P275" s="59" t="s">
        <v>5729</v>
      </c>
      <c r="Q275" s="59" t="s">
        <v>4602</v>
      </c>
      <c r="R275" s="59" t="s">
        <v>5707</v>
      </c>
      <c r="S275" s="59" t="s">
        <v>5696</v>
      </c>
      <c r="T275" s="59" t="s">
        <v>5721</v>
      </c>
      <c r="U275" s="59" t="s">
        <v>5698</v>
      </c>
      <c r="V275" s="59" t="s">
        <v>5699</v>
      </c>
      <c r="W275" s="59" t="s">
        <v>5736</v>
      </c>
      <c r="X275" s="59"/>
    </row>
    <row r="276" spans="1:24" ht="17.25" x14ac:dyDescent="0.3">
      <c r="A276" s="59"/>
      <c r="B276" s="59" t="s">
        <v>5737</v>
      </c>
      <c r="C276" s="59"/>
      <c r="D276" s="59"/>
      <c r="E276" s="59"/>
      <c r="F276" s="59"/>
      <c r="G276" s="59" t="s">
        <v>5726</v>
      </c>
      <c r="H276" s="59" t="s">
        <v>5715</v>
      </c>
      <c r="I276" s="59"/>
      <c r="J276" s="59"/>
      <c r="K276" s="59"/>
      <c r="L276" s="59"/>
      <c r="M276" s="59" t="s">
        <v>5716</v>
      </c>
      <c r="N276" s="59"/>
      <c r="O276" s="59"/>
      <c r="P276" s="59" t="s">
        <v>5741</v>
      </c>
      <c r="Q276" s="59" t="s">
        <v>5119</v>
      </c>
      <c r="R276" s="59" t="s">
        <v>5719</v>
      </c>
      <c r="S276" s="59" t="s">
        <v>5708</v>
      </c>
      <c r="T276" s="59" t="s">
        <v>5733</v>
      </c>
      <c r="U276" s="59" t="s">
        <v>5710</v>
      </c>
      <c r="V276" s="59" t="s">
        <v>5711</v>
      </c>
      <c r="W276" s="59" t="s">
        <v>5748</v>
      </c>
      <c r="X276" s="59"/>
    </row>
    <row r="277" spans="1:24" ht="17.25" x14ac:dyDescent="0.3">
      <c r="A277" s="59"/>
      <c r="B277" s="59" t="s">
        <v>5749</v>
      </c>
      <c r="C277" s="59"/>
      <c r="D277" s="59"/>
      <c r="E277" s="59"/>
      <c r="F277" s="59"/>
      <c r="G277" s="59" t="s">
        <v>5738</v>
      </c>
      <c r="H277" s="59" t="s">
        <v>5727</v>
      </c>
      <c r="I277" s="59"/>
      <c r="J277" s="59"/>
      <c r="K277" s="59"/>
      <c r="L277" s="59"/>
      <c r="M277" s="59" t="s">
        <v>5728</v>
      </c>
      <c r="N277" s="59"/>
      <c r="O277" s="59"/>
      <c r="P277" s="59" t="s">
        <v>5753</v>
      </c>
      <c r="Q277" s="59" t="s">
        <v>4239</v>
      </c>
      <c r="R277" s="59" t="s">
        <v>5731</v>
      </c>
      <c r="S277" s="59" t="s">
        <v>5720</v>
      </c>
      <c r="T277" s="59" t="s">
        <v>5745</v>
      </c>
      <c r="U277" s="59" t="s">
        <v>5722</v>
      </c>
      <c r="V277" s="59" t="s">
        <v>5723</v>
      </c>
      <c r="W277" s="59" t="s">
        <v>5760</v>
      </c>
      <c r="X277" s="59"/>
    </row>
    <row r="278" spans="1:24" ht="17.25" x14ac:dyDescent="0.3">
      <c r="A278" s="59"/>
      <c r="B278" s="59" t="s">
        <v>5761</v>
      </c>
      <c r="C278" s="59"/>
      <c r="D278" s="59"/>
      <c r="E278" s="59"/>
      <c r="F278" s="59"/>
      <c r="G278" s="59" t="s">
        <v>5750</v>
      </c>
      <c r="H278" s="59" t="s">
        <v>5739</v>
      </c>
      <c r="I278" s="59"/>
      <c r="J278" s="59"/>
      <c r="K278" s="59"/>
      <c r="L278" s="59"/>
      <c r="M278" s="59" t="s">
        <v>5740</v>
      </c>
      <c r="N278" s="59"/>
      <c r="O278" s="59"/>
      <c r="P278" s="59" t="s">
        <v>5765</v>
      </c>
      <c r="Q278" s="59" t="s">
        <v>5258</v>
      </c>
      <c r="R278" s="59" t="s">
        <v>5743</v>
      </c>
      <c r="S278" s="59" t="s">
        <v>5732</v>
      </c>
      <c r="T278" s="59" t="s">
        <v>5757</v>
      </c>
      <c r="U278" s="59" t="s">
        <v>5734</v>
      </c>
      <c r="V278" s="59" t="s">
        <v>5735</v>
      </c>
      <c r="W278" s="59" t="s">
        <v>5772</v>
      </c>
      <c r="X278" s="59"/>
    </row>
    <row r="279" spans="1:24" ht="17.25" x14ac:dyDescent="0.3">
      <c r="A279" s="59"/>
      <c r="B279" s="59" t="s">
        <v>5773</v>
      </c>
      <c r="C279" s="59"/>
      <c r="D279" s="59"/>
      <c r="E279" s="59"/>
      <c r="F279" s="59"/>
      <c r="G279" s="59" t="s">
        <v>5762</v>
      </c>
      <c r="H279" s="59" t="s">
        <v>5751</v>
      </c>
      <c r="I279" s="59"/>
      <c r="J279" s="59"/>
      <c r="K279" s="59"/>
      <c r="L279" s="59"/>
      <c r="M279" s="59" t="s">
        <v>5752</v>
      </c>
      <c r="N279" s="59"/>
      <c r="O279" s="59"/>
      <c r="P279" s="59" t="s">
        <v>5777</v>
      </c>
      <c r="Q279" s="59" t="s">
        <v>2788</v>
      </c>
      <c r="R279" s="59" t="s">
        <v>5755</v>
      </c>
      <c r="S279" s="59" t="s">
        <v>5744</v>
      </c>
      <c r="T279" s="59" t="s">
        <v>5769</v>
      </c>
      <c r="U279" s="59" t="s">
        <v>5746</v>
      </c>
      <c r="V279" s="59" t="s">
        <v>5747</v>
      </c>
      <c r="W279" s="59" t="s">
        <v>5784</v>
      </c>
      <c r="X279" s="59"/>
    </row>
    <row r="280" spans="1:24" ht="17.25" x14ac:dyDescent="0.3">
      <c r="A280" s="59"/>
      <c r="B280" s="59" t="s">
        <v>5785</v>
      </c>
      <c r="C280" s="59"/>
      <c r="D280" s="59"/>
      <c r="E280" s="59"/>
      <c r="F280" s="59"/>
      <c r="G280" s="59" t="s">
        <v>5774</v>
      </c>
      <c r="H280" s="59" t="s">
        <v>5763</v>
      </c>
      <c r="I280" s="59"/>
      <c r="J280" s="59"/>
      <c r="K280" s="59"/>
      <c r="L280" s="59"/>
      <c r="M280" s="59" t="s">
        <v>5764</v>
      </c>
      <c r="N280" s="59"/>
      <c r="O280" s="59"/>
      <c r="P280" s="59" t="s">
        <v>5789</v>
      </c>
      <c r="Q280" s="59" t="s">
        <v>3847</v>
      </c>
      <c r="R280" s="59" t="s">
        <v>5767</v>
      </c>
      <c r="S280" s="59" t="s">
        <v>5756</v>
      </c>
      <c r="T280" s="59" t="s">
        <v>5781</v>
      </c>
      <c r="U280" s="59" t="s">
        <v>5758</v>
      </c>
      <c r="V280" s="59" t="s">
        <v>5759</v>
      </c>
      <c r="W280" s="59" t="s">
        <v>5796</v>
      </c>
      <c r="X280" s="59"/>
    </row>
    <row r="281" spans="1:24" ht="17.25" x14ac:dyDescent="0.3">
      <c r="A281" s="59"/>
      <c r="B281" s="59" t="s">
        <v>5797</v>
      </c>
      <c r="C281" s="59"/>
      <c r="D281" s="59"/>
      <c r="E281" s="59"/>
      <c r="F281" s="59"/>
      <c r="G281" s="59" t="s">
        <v>5786</v>
      </c>
      <c r="H281" s="59" t="s">
        <v>5775</v>
      </c>
      <c r="I281" s="59"/>
      <c r="J281" s="59"/>
      <c r="K281" s="59"/>
      <c r="L281" s="59"/>
      <c r="M281" s="59" t="s">
        <v>5776</v>
      </c>
      <c r="N281" s="59"/>
      <c r="O281" s="59"/>
      <c r="P281" s="59" t="s">
        <v>5801</v>
      </c>
      <c r="Q281" s="59" t="s">
        <v>3804</v>
      </c>
      <c r="R281" s="59" t="s">
        <v>5779</v>
      </c>
      <c r="S281" s="59" t="s">
        <v>5768</v>
      </c>
      <c r="T281" s="59" t="s">
        <v>5793</v>
      </c>
      <c r="U281" s="59" t="s">
        <v>5770</v>
      </c>
      <c r="V281" s="59" t="s">
        <v>5771</v>
      </c>
      <c r="W281" s="59" t="s">
        <v>5808</v>
      </c>
      <c r="X281" s="59"/>
    </row>
    <row r="282" spans="1:24" ht="17.25" x14ac:dyDescent="0.3">
      <c r="A282" s="59"/>
      <c r="B282" s="59" t="s">
        <v>5809</v>
      </c>
      <c r="C282" s="59"/>
      <c r="D282" s="59"/>
      <c r="E282" s="59"/>
      <c r="F282" s="59"/>
      <c r="G282" s="59" t="s">
        <v>5798</v>
      </c>
      <c r="H282" s="59" t="s">
        <v>5787</v>
      </c>
      <c r="I282" s="59"/>
      <c r="J282" s="59"/>
      <c r="K282" s="59"/>
      <c r="L282" s="59"/>
      <c r="M282" s="59" t="s">
        <v>5788</v>
      </c>
      <c r="N282" s="59"/>
      <c r="O282" s="59"/>
      <c r="P282" s="59" t="s">
        <v>5813</v>
      </c>
      <c r="Q282" s="59" t="s">
        <v>4616</v>
      </c>
      <c r="R282" s="59" t="s">
        <v>5791</v>
      </c>
      <c r="S282" s="59" t="s">
        <v>5780</v>
      </c>
      <c r="T282" s="59" t="s">
        <v>5805</v>
      </c>
      <c r="U282" s="59" t="s">
        <v>5782</v>
      </c>
      <c r="V282" s="59" t="s">
        <v>5783</v>
      </c>
      <c r="W282" s="59" t="s">
        <v>5820</v>
      </c>
      <c r="X282" s="59"/>
    </row>
    <row r="283" spans="1:24" ht="17.25" x14ac:dyDescent="0.3">
      <c r="A283" s="59"/>
      <c r="B283" s="59" t="s">
        <v>5821</v>
      </c>
      <c r="C283" s="59"/>
      <c r="D283" s="59"/>
      <c r="E283" s="59"/>
      <c r="F283" s="59"/>
      <c r="G283" s="59" t="s">
        <v>5810</v>
      </c>
      <c r="H283" s="59" t="s">
        <v>5799</v>
      </c>
      <c r="I283" s="59"/>
      <c r="J283" s="59"/>
      <c r="K283" s="59"/>
      <c r="L283" s="59"/>
      <c r="M283" s="59" t="s">
        <v>5800</v>
      </c>
      <c r="N283" s="59"/>
      <c r="O283" s="59"/>
      <c r="P283" s="59" t="s">
        <v>5825</v>
      </c>
      <c r="Q283" s="59" t="s">
        <v>539</v>
      </c>
      <c r="R283" s="59" t="s">
        <v>5803</v>
      </c>
      <c r="S283" s="59" t="s">
        <v>5792</v>
      </c>
      <c r="T283" s="59" t="s">
        <v>5817</v>
      </c>
      <c r="U283" s="59" t="s">
        <v>5794</v>
      </c>
      <c r="V283" s="59" t="s">
        <v>5795</v>
      </c>
      <c r="W283" s="59" t="s">
        <v>5832</v>
      </c>
      <c r="X283" s="59"/>
    </row>
    <row r="284" spans="1:24" ht="17.25" x14ac:dyDescent="0.3">
      <c r="A284" s="59"/>
      <c r="B284" s="59" t="s">
        <v>5833</v>
      </c>
      <c r="C284" s="59"/>
      <c r="D284" s="59"/>
      <c r="E284" s="59"/>
      <c r="F284" s="59"/>
      <c r="G284" s="59" t="s">
        <v>5822</v>
      </c>
      <c r="H284" s="59" t="s">
        <v>5811</v>
      </c>
      <c r="I284" s="59"/>
      <c r="J284" s="59"/>
      <c r="K284" s="59"/>
      <c r="L284" s="59"/>
      <c r="M284" s="59" t="s">
        <v>5812</v>
      </c>
      <c r="N284" s="59"/>
      <c r="O284" s="59"/>
      <c r="P284" s="59" t="s">
        <v>5837</v>
      </c>
      <c r="Q284" s="59" t="s">
        <v>4629</v>
      </c>
      <c r="R284" s="59" t="s">
        <v>5815</v>
      </c>
      <c r="S284" s="59" t="s">
        <v>5804</v>
      </c>
      <c r="T284" s="59" t="s">
        <v>5829</v>
      </c>
      <c r="U284" s="59" t="s">
        <v>5806</v>
      </c>
      <c r="V284" s="59" t="s">
        <v>5807</v>
      </c>
      <c r="W284" s="59" t="s">
        <v>5844</v>
      </c>
      <c r="X284" s="59"/>
    </row>
    <row r="285" spans="1:24" ht="17.25" x14ac:dyDescent="0.3">
      <c r="A285" s="59"/>
      <c r="B285" s="59" t="s">
        <v>5845</v>
      </c>
      <c r="C285" s="59"/>
      <c r="D285" s="59"/>
      <c r="E285" s="59"/>
      <c r="F285" s="59"/>
      <c r="G285" s="59" t="s">
        <v>5834</v>
      </c>
      <c r="H285" s="59" t="s">
        <v>5823</v>
      </c>
      <c r="I285" s="59"/>
      <c r="J285" s="59"/>
      <c r="K285" s="59"/>
      <c r="L285" s="59"/>
      <c r="M285" s="59" t="s">
        <v>5824</v>
      </c>
      <c r="N285" s="59"/>
      <c r="O285" s="59"/>
      <c r="P285" s="59" t="s">
        <v>5849</v>
      </c>
      <c r="Q285" s="59" t="s">
        <v>4643</v>
      </c>
      <c r="R285" s="59" t="s">
        <v>5827</v>
      </c>
      <c r="S285" s="59" t="s">
        <v>5816</v>
      </c>
      <c r="T285" s="59" t="s">
        <v>5841</v>
      </c>
      <c r="U285" s="59" t="s">
        <v>5818</v>
      </c>
      <c r="V285" s="59" t="s">
        <v>5819</v>
      </c>
      <c r="W285" s="59" t="s">
        <v>5856</v>
      </c>
      <c r="X285" s="59"/>
    </row>
    <row r="286" spans="1:24" ht="17.25" x14ac:dyDescent="0.3">
      <c r="A286" s="59"/>
      <c r="B286" s="59" t="s">
        <v>5857</v>
      </c>
      <c r="C286" s="59"/>
      <c r="D286" s="59"/>
      <c r="E286" s="59"/>
      <c r="F286" s="59"/>
      <c r="G286" s="59" t="s">
        <v>5846</v>
      </c>
      <c r="H286" s="59" t="s">
        <v>5835</v>
      </c>
      <c r="I286" s="59"/>
      <c r="J286" s="59"/>
      <c r="K286" s="59"/>
      <c r="L286" s="59"/>
      <c r="M286" s="59" t="s">
        <v>5836</v>
      </c>
      <c r="N286" s="59"/>
      <c r="O286" s="59"/>
      <c r="P286" s="59" t="s">
        <v>5861</v>
      </c>
      <c r="Q286" s="59" t="s">
        <v>4397</v>
      </c>
      <c r="R286" s="59" t="s">
        <v>5839</v>
      </c>
      <c r="S286" s="59" t="s">
        <v>5828</v>
      </c>
      <c r="T286" s="59" t="s">
        <v>5853</v>
      </c>
      <c r="U286" s="59" t="s">
        <v>5830</v>
      </c>
      <c r="V286" s="59" t="s">
        <v>5831</v>
      </c>
      <c r="W286" s="59" t="s">
        <v>5868</v>
      </c>
      <c r="X286" s="59"/>
    </row>
    <row r="287" spans="1:24" ht="17.25" x14ac:dyDescent="0.3">
      <c r="A287" s="59"/>
      <c r="B287" s="59" t="s">
        <v>5869</v>
      </c>
      <c r="C287" s="59"/>
      <c r="D287" s="59"/>
      <c r="E287" s="59"/>
      <c r="F287" s="59"/>
      <c r="G287" s="59" t="s">
        <v>5858</v>
      </c>
      <c r="H287" s="59" t="s">
        <v>5847</v>
      </c>
      <c r="I287" s="59"/>
      <c r="J287" s="59"/>
      <c r="K287" s="59"/>
      <c r="L287" s="59"/>
      <c r="M287" s="59" t="s">
        <v>5848</v>
      </c>
      <c r="N287" s="59"/>
      <c r="O287" s="59"/>
      <c r="P287" s="59" t="s">
        <v>5873</v>
      </c>
      <c r="Q287" s="59" t="s">
        <v>4429</v>
      </c>
      <c r="R287" s="59" t="s">
        <v>5851</v>
      </c>
      <c r="S287" s="59" t="s">
        <v>5840</v>
      </c>
      <c r="T287" s="59" t="s">
        <v>5865</v>
      </c>
      <c r="U287" s="59" t="s">
        <v>5842</v>
      </c>
      <c r="V287" s="59" t="s">
        <v>5843</v>
      </c>
      <c r="W287" s="59" t="s">
        <v>5879</v>
      </c>
      <c r="X287" s="59"/>
    </row>
    <row r="288" spans="1:24" ht="17.25" x14ac:dyDescent="0.3">
      <c r="A288" s="59"/>
      <c r="B288" s="59" t="s">
        <v>5880</v>
      </c>
      <c r="C288" s="59"/>
      <c r="D288" s="59"/>
      <c r="E288" s="59"/>
      <c r="F288" s="59"/>
      <c r="G288" s="59" t="s">
        <v>5870</v>
      </c>
      <c r="H288" s="59" t="s">
        <v>5859</v>
      </c>
      <c r="I288" s="59"/>
      <c r="J288" s="59"/>
      <c r="K288" s="59"/>
      <c r="L288" s="59"/>
      <c r="M288" s="59" t="s">
        <v>5860</v>
      </c>
      <c r="N288" s="59"/>
      <c r="O288" s="59"/>
      <c r="P288" s="59" t="s">
        <v>5884</v>
      </c>
      <c r="Q288" s="59" t="s">
        <v>2452</v>
      </c>
      <c r="R288" s="59" t="s">
        <v>5863</v>
      </c>
      <c r="S288" s="59" t="s">
        <v>5852</v>
      </c>
      <c r="T288" s="59" t="s">
        <v>5876</v>
      </c>
      <c r="U288" s="59" t="s">
        <v>5854</v>
      </c>
      <c r="V288" s="59" t="s">
        <v>5855</v>
      </c>
      <c r="W288" s="59" t="s">
        <v>5890</v>
      </c>
      <c r="X288" s="59"/>
    </row>
    <row r="289" spans="1:24" ht="17.25" x14ac:dyDescent="0.3">
      <c r="A289" s="59"/>
      <c r="B289" s="59" t="s">
        <v>5891</v>
      </c>
      <c r="C289" s="59"/>
      <c r="D289" s="59"/>
      <c r="E289" s="59"/>
      <c r="F289" s="59"/>
      <c r="G289" s="59" t="s">
        <v>5881</v>
      </c>
      <c r="H289" s="59" t="s">
        <v>5871</v>
      </c>
      <c r="I289" s="59"/>
      <c r="J289" s="59"/>
      <c r="K289" s="59"/>
      <c r="L289" s="59"/>
      <c r="M289" s="59" t="s">
        <v>5872</v>
      </c>
      <c r="N289" s="59"/>
      <c r="O289" s="59"/>
      <c r="P289" s="59" t="s">
        <v>5895</v>
      </c>
      <c r="Q289" s="59" t="s">
        <v>3496</v>
      </c>
      <c r="R289" s="59" t="s">
        <v>5874</v>
      </c>
      <c r="S289" s="59" t="s">
        <v>5864</v>
      </c>
      <c r="T289" s="59" t="s">
        <v>5887</v>
      </c>
      <c r="U289" s="59" t="s">
        <v>5866</v>
      </c>
      <c r="V289" s="59" t="s">
        <v>5867</v>
      </c>
      <c r="W289" s="59" t="s">
        <v>5901</v>
      </c>
      <c r="X289" s="59"/>
    </row>
    <row r="290" spans="1:24" ht="17.25" x14ac:dyDescent="0.3">
      <c r="A290" s="59"/>
      <c r="B290" s="59" t="s">
        <v>5902</v>
      </c>
      <c r="C290" s="59"/>
      <c r="D290" s="59"/>
      <c r="E290" s="59"/>
      <c r="F290" s="59"/>
      <c r="G290" s="59" t="s">
        <v>5892</v>
      </c>
      <c r="H290" s="59" t="s">
        <v>5882</v>
      </c>
      <c r="I290" s="59"/>
      <c r="J290" s="59"/>
      <c r="K290" s="59"/>
      <c r="L290" s="59"/>
      <c r="M290" s="59" t="s">
        <v>5883</v>
      </c>
      <c r="N290" s="59"/>
      <c r="O290" s="59"/>
      <c r="P290" s="59" t="s">
        <v>5905</v>
      </c>
      <c r="Q290" s="59" t="s">
        <v>1137</v>
      </c>
      <c r="R290" s="59" t="s">
        <v>5885</v>
      </c>
      <c r="S290" s="59" t="s">
        <v>5875</v>
      </c>
      <c r="T290" s="59" t="s">
        <v>5898</v>
      </c>
      <c r="U290" s="59" t="s">
        <v>5877</v>
      </c>
      <c r="V290" s="59" t="s">
        <v>5878</v>
      </c>
      <c r="W290" s="59" t="s">
        <v>5911</v>
      </c>
      <c r="X290" s="59"/>
    </row>
    <row r="291" spans="1:24" ht="17.25" x14ac:dyDescent="0.3">
      <c r="A291" s="59"/>
      <c r="B291" s="59" t="s">
        <v>5912</v>
      </c>
      <c r="C291" s="59"/>
      <c r="D291" s="59"/>
      <c r="E291" s="59"/>
      <c r="F291" s="59"/>
      <c r="G291" s="59" t="s">
        <v>5903</v>
      </c>
      <c r="H291" s="59" t="s">
        <v>5893</v>
      </c>
      <c r="I291" s="59"/>
      <c r="J291" s="59"/>
      <c r="K291" s="59"/>
      <c r="L291" s="59"/>
      <c r="M291" s="59" t="s">
        <v>5894</v>
      </c>
      <c r="N291" s="59"/>
      <c r="O291" s="59"/>
      <c r="P291" s="59" t="s">
        <v>5915</v>
      </c>
      <c r="Q291" s="59" t="s">
        <v>3716</v>
      </c>
      <c r="R291" s="59" t="s">
        <v>5896</v>
      </c>
      <c r="S291" s="59" t="s">
        <v>5886</v>
      </c>
      <c r="T291" s="59" t="s">
        <v>5908</v>
      </c>
      <c r="U291" s="59" t="s">
        <v>5888</v>
      </c>
      <c r="V291" s="59" t="s">
        <v>5889</v>
      </c>
      <c r="W291" s="59" t="s">
        <v>5921</v>
      </c>
      <c r="X291" s="59"/>
    </row>
    <row r="292" spans="1:24" ht="17.25" x14ac:dyDescent="0.3">
      <c r="A292" s="59"/>
      <c r="B292" s="59" t="s">
        <v>5922</v>
      </c>
      <c r="C292" s="59"/>
      <c r="D292" s="59"/>
      <c r="E292" s="59"/>
      <c r="F292" s="59"/>
      <c r="G292" s="59" t="s">
        <v>5913</v>
      </c>
      <c r="H292" s="59" t="s">
        <v>5904</v>
      </c>
      <c r="I292" s="59"/>
      <c r="J292" s="59"/>
      <c r="K292" s="59"/>
      <c r="L292" s="59"/>
      <c r="M292" s="59" t="s">
        <v>7067</v>
      </c>
      <c r="N292" s="59"/>
      <c r="O292" s="59"/>
      <c r="P292" s="59" t="s">
        <v>5925</v>
      </c>
      <c r="Q292" s="59" t="s">
        <v>5272</v>
      </c>
      <c r="R292" s="59" t="s">
        <v>5906</v>
      </c>
      <c r="S292" s="59" t="s">
        <v>5897</v>
      </c>
      <c r="T292" s="59" t="s">
        <v>5918</v>
      </c>
      <c r="U292" s="59" t="s">
        <v>5899</v>
      </c>
      <c r="V292" s="59" t="s">
        <v>5900</v>
      </c>
      <c r="W292" s="59" t="s">
        <v>5931</v>
      </c>
      <c r="X292" s="59"/>
    </row>
    <row r="293" spans="1:24" ht="17.25" x14ac:dyDescent="0.3">
      <c r="A293" s="59"/>
      <c r="B293" s="59" t="s">
        <v>5932</v>
      </c>
      <c r="C293" s="59"/>
      <c r="D293" s="59"/>
      <c r="E293" s="59"/>
      <c r="F293" s="59"/>
      <c r="G293" s="59" t="s">
        <v>5923</v>
      </c>
      <c r="H293" s="59" t="s">
        <v>5914</v>
      </c>
      <c r="I293" s="59"/>
      <c r="J293" s="59"/>
      <c r="K293" s="59"/>
      <c r="L293" s="59"/>
      <c r="M293" s="59" t="s">
        <v>7068</v>
      </c>
      <c r="N293" s="59"/>
      <c r="O293" s="59"/>
      <c r="P293" s="59" t="s">
        <v>5935</v>
      </c>
      <c r="Q293" s="59" t="s">
        <v>1037</v>
      </c>
      <c r="R293" s="59" t="s">
        <v>5916</v>
      </c>
      <c r="S293" s="59" t="s">
        <v>5907</v>
      </c>
      <c r="T293" s="59" t="s">
        <v>5928</v>
      </c>
      <c r="U293" s="59" t="s">
        <v>5909</v>
      </c>
      <c r="V293" s="59" t="s">
        <v>5910</v>
      </c>
      <c r="W293" s="59" t="s">
        <v>5941</v>
      </c>
      <c r="X293" s="59"/>
    </row>
    <row r="294" spans="1:24" ht="17.25" x14ac:dyDescent="0.3">
      <c r="A294" s="59"/>
      <c r="B294" s="59" t="s">
        <v>5942</v>
      </c>
      <c r="C294" s="59"/>
      <c r="D294" s="59"/>
      <c r="E294" s="59"/>
      <c r="F294" s="59"/>
      <c r="G294" s="59" t="s">
        <v>5933</v>
      </c>
      <c r="H294" s="59" t="s">
        <v>5924</v>
      </c>
      <c r="I294" s="59"/>
      <c r="J294" s="59"/>
      <c r="K294" s="59"/>
      <c r="L294" s="59"/>
      <c r="M294" s="59" t="s">
        <v>7069</v>
      </c>
      <c r="N294" s="59"/>
      <c r="O294" s="59"/>
      <c r="P294" s="59" t="s">
        <v>5945</v>
      </c>
      <c r="Q294" s="59" t="s">
        <v>5432</v>
      </c>
      <c r="R294" s="59" t="s">
        <v>5926</v>
      </c>
      <c r="S294" s="59" t="s">
        <v>5917</v>
      </c>
      <c r="T294" s="59" t="s">
        <v>5938</v>
      </c>
      <c r="U294" s="59" t="s">
        <v>5919</v>
      </c>
      <c r="V294" s="59" t="s">
        <v>5920</v>
      </c>
      <c r="W294" s="59" t="s">
        <v>5951</v>
      </c>
      <c r="X294" s="59"/>
    </row>
    <row r="295" spans="1:24" ht="17.25" x14ac:dyDescent="0.3">
      <c r="A295" s="59"/>
      <c r="B295" s="59" t="s">
        <v>5952</v>
      </c>
      <c r="C295" s="59"/>
      <c r="D295" s="59"/>
      <c r="E295" s="59"/>
      <c r="F295" s="59"/>
      <c r="G295" s="59" t="s">
        <v>5943</v>
      </c>
      <c r="H295" s="59" t="s">
        <v>5934</v>
      </c>
      <c r="I295" s="59"/>
      <c r="J295" s="59"/>
      <c r="K295" s="59"/>
      <c r="L295" s="59"/>
      <c r="M295" s="59" t="s">
        <v>7070</v>
      </c>
      <c r="N295" s="59"/>
      <c r="O295" s="59"/>
      <c r="P295" s="59" t="s">
        <v>5955</v>
      </c>
      <c r="Q295" s="59" t="s">
        <v>7265</v>
      </c>
      <c r="R295" s="59" t="s">
        <v>5936</v>
      </c>
      <c r="S295" s="59" t="s">
        <v>5927</v>
      </c>
      <c r="T295" s="59" t="s">
        <v>5948</v>
      </c>
      <c r="U295" s="59" t="s">
        <v>5929</v>
      </c>
      <c r="V295" s="59" t="s">
        <v>5930</v>
      </c>
      <c r="W295" s="59" t="s">
        <v>5961</v>
      </c>
      <c r="X295" s="59"/>
    </row>
    <row r="296" spans="1:24" ht="17.25" x14ac:dyDescent="0.3">
      <c r="A296" s="59"/>
      <c r="B296" s="59" t="s">
        <v>5962</v>
      </c>
      <c r="C296" s="59"/>
      <c r="D296" s="59"/>
      <c r="E296" s="59"/>
      <c r="F296" s="59"/>
      <c r="G296" s="59" t="s">
        <v>5953</v>
      </c>
      <c r="H296" s="59" t="s">
        <v>5944</v>
      </c>
      <c r="I296" s="59"/>
      <c r="J296" s="59"/>
      <c r="K296" s="59"/>
      <c r="L296" s="59"/>
      <c r="M296" s="59" t="s">
        <v>7071</v>
      </c>
      <c r="N296" s="59"/>
      <c r="O296" s="59"/>
      <c r="P296" s="59" t="s">
        <v>5965</v>
      </c>
      <c r="Q296" s="59" t="s">
        <v>7266</v>
      </c>
      <c r="R296" s="59" t="s">
        <v>5946</v>
      </c>
      <c r="S296" s="59" t="s">
        <v>5937</v>
      </c>
      <c r="T296" s="59" t="s">
        <v>5958</v>
      </c>
      <c r="U296" s="59" t="s">
        <v>5939</v>
      </c>
      <c r="V296" s="59" t="s">
        <v>5940</v>
      </c>
      <c r="W296" s="59" t="s">
        <v>5971</v>
      </c>
      <c r="X296" s="59"/>
    </row>
    <row r="297" spans="1:24" ht="17.25" x14ac:dyDescent="0.3">
      <c r="A297" s="59"/>
      <c r="B297" s="59" t="s">
        <v>5972</v>
      </c>
      <c r="C297" s="59"/>
      <c r="D297" s="59"/>
      <c r="E297" s="59"/>
      <c r="F297" s="59"/>
      <c r="G297" s="59" t="s">
        <v>5963</v>
      </c>
      <c r="H297" s="59" t="s">
        <v>5954</v>
      </c>
      <c r="I297" s="59"/>
      <c r="J297" s="59"/>
      <c r="K297" s="59"/>
      <c r="L297" s="59"/>
      <c r="M297" s="59" t="s">
        <v>7072</v>
      </c>
      <c r="N297" s="59"/>
      <c r="O297" s="59"/>
      <c r="P297" s="59" t="s">
        <v>5975</v>
      </c>
      <c r="Q297" s="59" t="s">
        <v>7267</v>
      </c>
      <c r="R297" s="59" t="s">
        <v>5956</v>
      </c>
      <c r="S297" s="59" t="s">
        <v>5947</v>
      </c>
      <c r="T297" s="59" t="s">
        <v>5968</v>
      </c>
      <c r="U297" s="59" t="s">
        <v>5949</v>
      </c>
      <c r="V297" s="59" t="s">
        <v>5950</v>
      </c>
      <c r="W297" s="59" t="s">
        <v>5981</v>
      </c>
      <c r="X297" s="59"/>
    </row>
    <row r="298" spans="1:24" ht="17.25" x14ac:dyDescent="0.3">
      <c r="A298" s="59"/>
      <c r="B298" s="59" t="s">
        <v>5982</v>
      </c>
      <c r="C298" s="59"/>
      <c r="D298" s="59"/>
      <c r="E298" s="59"/>
      <c r="F298" s="59"/>
      <c r="G298" s="59" t="s">
        <v>5973</v>
      </c>
      <c r="H298" s="59" t="s">
        <v>5964</v>
      </c>
      <c r="I298" s="59"/>
      <c r="J298" s="59"/>
      <c r="K298" s="59"/>
      <c r="L298" s="59"/>
      <c r="M298" s="59" t="s">
        <v>7073</v>
      </c>
      <c r="N298" s="59"/>
      <c r="O298" s="59"/>
      <c r="P298" s="59" t="s">
        <v>5985</v>
      </c>
      <c r="Q298" s="59" t="s">
        <v>7268</v>
      </c>
      <c r="R298" s="59" t="s">
        <v>5966</v>
      </c>
      <c r="S298" s="59" t="s">
        <v>5957</v>
      </c>
      <c r="T298" s="59" t="s">
        <v>5978</v>
      </c>
      <c r="U298" s="59" t="s">
        <v>5959</v>
      </c>
      <c r="V298" s="59" t="s">
        <v>5960</v>
      </c>
      <c r="W298" s="59" t="s">
        <v>5991</v>
      </c>
      <c r="X298" s="59"/>
    </row>
    <row r="299" spans="1:24" ht="17.25" x14ac:dyDescent="0.3">
      <c r="A299" s="59"/>
      <c r="B299" s="59" t="s">
        <v>5992</v>
      </c>
      <c r="C299" s="59"/>
      <c r="D299" s="59"/>
      <c r="E299" s="59"/>
      <c r="F299" s="59"/>
      <c r="G299" s="59" t="s">
        <v>5983</v>
      </c>
      <c r="H299" s="59" t="s">
        <v>5974</v>
      </c>
      <c r="I299" s="59"/>
      <c r="J299" s="59"/>
      <c r="K299" s="59"/>
      <c r="L299" s="59"/>
      <c r="M299" s="59" t="s">
        <v>7074</v>
      </c>
      <c r="N299" s="59"/>
      <c r="O299" s="59"/>
      <c r="P299" s="59" t="s">
        <v>5995</v>
      </c>
      <c r="Q299" s="59"/>
      <c r="R299" s="59" t="s">
        <v>5976</v>
      </c>
      <c r="S299" s="59" t="s">
        <v>5967</v>
      </c>
      <c r="T299" s="59" t="s">
        <v>5988</v>
      </c>
      <c r="U299" s="59" t="s">
        <v>5969</v>
      </c>
      <c r="V299" s="59" t="s">
        <v>5970</v>
      </c>
      <c r="W299" s="59" t="s">
        <v>6001</v>
      </c>
      <c r="X299" s="59"/>
    </row>
    <row r="300" spans="1:24" ht="17.25" x14ac:dyDescent="0.3">
      <c r="A300" s="59"/>
      <c r="B300" s="59" t="s">
        <v>6002</v>
      </c>
      <c r="C300" s="59"/>
      <c r="D300" s="59"/>
      <c r="E300" s="59"/>
      <c r="F300" s="59"/>
      <c r="G300" s="59" t="s">
        <v>5993</v>
      </c>
      <c r="H300" s="59" t="s">
        <v>5984</v>
      </c>
      <c r="I300" s="59"/>
      <c r="J300" s="59"/>
      <c r="K300" s="59"/>
      <c r="L300" s="59"/>
      <c r="M300" s="59" t="s">
        <v>886</v>
      </c>
      <c r="N300" s="59"/>
      <c r="O300" s="59"/>
      <c r="P300" s="59" t="s">
        <v>6005</v>
      </c>
      <c r="Q300" s="59"/>
      <c r="R300" s="59" t="s">
        <v>5986</v>
      </c>
      <c r="S300" s="59" t="s">
        <v>5977</v>
      </c>
      <c r="T300" s="59" t="s">
        <v>5998</v>
      </c>
      <c r="U300" s="59" t="s">
        <v>5979</v>
      </c>
      <c r="V300" s="59" t="s">
        <v>5980</v>
      </c>
      <c r="W300" s="59" t="s">
        <v>6011</v>
      </c>
      <c r="X300" s="59"/>
    </row>
    <row r="301" spans="1:24" ht="17.25" x14ac:dyDescent="0.3">
      <c r="A301" s="59"/>
      <c r="B301" s="59" t="s">
        <v>6012</v>
      </c>
      <c r="C301" s="59"/>
      <c r="D301" s="59"/>
      <c r="E301" s="59"/>
      <c r="F301" s="59"/>
      <c r="G301" s="59" t="s">
        <v>6003</v>
      </c>
      <c r="H301" s="59" t="s">
        <v>5994</v>
      </c>
      <c r="I301" s="59"/>
      <c r="J301" s="59"/>
      <c r="K301" s="59"/>
      <c r="L301" s="59"/>
      <c r="M301" s="59" t="s">
        <v>7075</v>
      </c>
      <c r="N301" s="59"/>
      <c r="O301" s="59"/>
      <c r="P301" s="59" t="s">
        <v>6015</v>
      </c>
      <c r="Q301" s="59"/>
      <c r="R301" s="59" t="s">
        <v>5996</v>
      </c>
      <c r="S301" s="59" t="s">
        <v>5987</v>
      </c>
      <c r="T301" s="59" t="s">
        <v>6008</v>
      </c>
      <c r="U301" s="59" t="s">
        <v>5989</v>
      </c>
      <c r="V301" s="59" t="s">
        <v>5990</v>
      </c>
      <c r="W301" s="59" t="s">
        <v>6021</v>
      </c>
      <c r="X301" s="59"/>
    </row>
    <row r="302" spans="1:24" ht="17.25" x14ac:dyDescent="0.3">
      <c r="A302" s="59"/>
      <c r="B302" s="59" t="s">
        <v>6022</v>
      </c>
      <c r="C302" s="59"/>
      <c r="D302" s="59"/>
      <c r="E302" s="59"/>
      <c r="F302" s="59"/>
      <c r="G302" s="59" t="s">
        <v>6013</v>
      </c>
      <c r="H302" s="59" t="s">
        <v>6004</v>
      </c>
      <c r="I302" s="59"/>
      <c r="J302" s="59"/>
      <c r="K302" s="59"/>
      <c r="L302" s="59"/>
      <c r="M302" s="59" t="s">
        <v>7076</v>
      </c>
      <c r="N302" s="59"/>
      <c r="O302" s="59"/>
      <c r="P302" s="59" t="s">
        <v>6025</v>
      </c>
      <c r="Q302" s="59"/>
      <c r="R302" s="59" t="s">
        <v>6006</v>
      </c>
      <c r="S302" s="59" t="s">
        <v>5997</v>
      </c>
      <c r="T302" s="59" t="s">
        <v>6018</v>
      </c>
      <c r="U302" s="59" t="s">
        <v>5999</v>
      </c>
      <c r="V302" s="59" t="s">
        <v>6000</v>
      </c>
      <c r="W302" s="59" t="s">
        <v>6031</v>
      </c>
      <c r="X302" s="59"/>
    </row>
    <row r="303" spans="1:24" ht="17.25" x14ac:dyDescent="0.3">
      <c r="A303" s="59"/>
      <c r="B303" s="59" t="s">
        <v>6032</v>
      </c>
      <c r="C303" s="59"/>
      <c r="D303" s="59"/>
      <c r="E303" s="59"/>
      <c r="F303" s="59"/>
      <c r="G303" s="59" t="s">
        <v>6023</v>
      </c>
      <c r="H303" s="59" t="s">
        <v>6014</v>
      </c>
      <c r="I303" s="59"/>
      <c r="J303" s="59"/>
      <c r="K303" s="59"/>
      <c r="L303" s="59"/>
      <c r="M303" s="59" t="s">
        <v>2556</v>
      </c>
      <c r="N303" s="59"/>
      <c r="O303" s="59"/>
      <c r="P303" s="59" t="s">
        <v>6035</v>
      </c>
      <c r="Q303" s="59"/>
      <c r="R303" s="59" t="s">
        <v>6016</v>
      </c>
      <c r="S303" s="59" t="s">
        <v>6007</v>
      </c>
      <c r="T303" s="59" t="s">
        <v>6028</v>
      </c>
      <c r="U303" s="59" t="s">
        <v>6009</v>
      </c>
      <c r="V303" s="59" t="s">
        <v>6010</v>
      </c>
      <c r="W303" s="59" t="s">
        <v>6041</v>
      </c>
      <c r="X303" s="59"/>
    </row>
    <row r="304" spans="1:24" ht="17.25" x14ac:dyDescent="0.3">
      <c r="A304" s="59"/>
      <c r="B304" s="59" t="s">
        <v>6042</v>
      </c>
      <c r="C304" s="59"/>
      <c r="D304" s="59"/>
      <c r="E304" s="59"/>
      <c r="F304" s="59"/>
      <c r="G304" s="59" t="s">
        <v>6033</v>
      </c>
      <c r="H304" s="59" t="s">
        <v>6024</v>
      </c>
      <c r="I304" s="59"/>
      <c r="J304" s="59"/>
      <c r="K304" s="59"/>
      <c r="L304" s="59"/>
      <c r="M304" s="59" t="s">
        <v>7077</v>
      </c>
      <c r="N304" s="59"/>
      <c r="O304" s="59"/>
      <c r="P304" s="59" t="s">
        <v>6045</v>
      </c>
      <c r="Q304" s="59"/>
      <c r="R304" s="59" t="s">
        <v>6026</v>
      </c>
      <c r="S304" s="59" t="s">
        <v>6017</v>
      </c>
      <c r="T304" s="59" t="s">
        <v>6038</v>
      </c>
      <c r="U304" s="59" t="s">
        <v>6019</v>
      </c>
      <c r="V304" s="59" t="s">
        <v>6020</v>
      </c>
      <c r="W304" s="59" t="s">
        <v>6051</v>
      </c>
      <c r="X304" s="59"/>
    </row>
    <row r="305" spans="1:24" ht="17.25" x14ac:dyDescent="0.3">
      <c r="A305" s="59"/>
      <c r="B305" s="59" t="s">
        <v>6052</v>
      </c>
      <c r="C305" s="59"/>
      <c r="D305" s="59"/>
      <c r="E305" s="59"/>
      <c r="F305" s="59"/>
      <c r="G305" s="59" t="s">
        <v>6043</v>
      </c>
      <c r="H305" s="59" t="s">
        <v>6034</v>
      </c>
      <c r="I305" s="59"/>
      <c r="J305" s="59"/>
      <c r="K305" s="59"/>
      <c r="L305" s="59"/>
      <c r="M305" s="59" t="s">
        <v>7206</v>
      </c>
      <c r="N305" s="59"/>
      <c r="O305" s="59"/>
      <c r="P305" s="59" t="s">
        <v>6055</v>
      </c>
      <c r="Q305" s="59"/>
      <c r="R305" s="59" t="s">
        <v>6036</v>
      </c>
      <c r="S305" s="59" t="s">
        <v>6027</v>
      </c>
      <c r="T305" s="59" t="s">
        <v>6048</v>
      </c>
      <c r="U305" s="59" t="s">
        <v>6029</v>
      </c>
      <c r="V305" s="59" t="s">
        <v>6030</v>
      </c>
      <c r="W305" s="59" t="s">
        <v>6061</v>
      </c>
      <c r="X305" s="59"/>
    </row>
    <row r="306" spans="1:24" ht="17.25" x14ac:dyDescent="0.3">
      <c r="A306" s="59"/>
      <c r="B306" s="59" t="s">
        <v>6062</v>
      </c>
      <c r="C306" s="59"/>
      <c r="D306" s="59"/>
      <c r="E306" s="59"/>
      <c r="F306" s="59"/>
      <c r="G306" s="59" t="s">
        <v>6053</v>
      </c>
      <c r="H306" s="59" t="s">
        <v>6044</v>
      </c>
      <c r="I306" s="59"/>
      <c r="J306" s="59"/>
      <c r="K306" s="59"/>
      <c r="L306" s="59"/>
      <c r="M306" s="59" t="s">
        <v>7207</v>
      </c>
      <c r="N306" s="59"/>
      <c r="O306" s="59"/>
      <c r="P306" s="59" t="s">
        <v>6065</v>
      </c>
      <c r="Q306" s="59"/>
      <c r="R306" s="59" t="s">
        <v>6046</v>
      </c>
      <c r="S306" s="59" t="s">
        <v>6037</v>
      </c>
      <c r="T306" s="59" t="s">
        <v>6058</v>
      </c>
      <c r="U306" s="59" t="s">
        <v>6039</v>
      </c>
      <c r="V306" s="59" t="s">
        <v>6040</v>
      </c>
      <c r="W306" s="59" t="s">
        <v>6071</v>
      </c>
      <c r="X306" s="59"/>
    </row>
    <row r="307" spans="1:24" ht="17.25" x14ac:dyDescent="0.3">
      <c r="A307" s="59"/>
      <c r="B307" s="59" t="s">
        <v>6072</v>
      </c>
      <c r="C307" s="59"/>
      <c r="D307" s="59"/>
      <c r="E307" s="59"/>
      <c r="F307" s="59"/>
      <c r="G307" s="59" t="s">
        <v>6063</v>
      </c>
      <c r="H307" s="59" t="s">
        <v>6054</v>
      </c>
      <c r="I307" s="59"/>
      <c r="J307" s="59"/>
      <c r="K307" s="59"/>
      <c r="L307" s="59"/>
      <c r="M307" s="59" t="s">
        <v>723</v>
      </c>
      <c r="N307" s="59"/>
      <c r="O307" s="59"/>
      <c r="P307" s="59" t="s">
        <v>6075</v>
      </c>
      <c r="Q307" s="59"/>
      <c r="R307" s="59" t="s">
        <v>6056</v>
      </c>
      <c r="S307" s="59" t="s">
        <v>6047</v>
      </c>
      <c r="T307" s="59" t="s">
        <v>6068</v>
      </c>
      <c r="U307" s="59" t="s">
        <v>6049</v>
      </c>
      <c r="V307" s="59" t="s">
        <v>6050</v>
      </c>
      <c r="W307" s="59" t="s">
        <v>6081</v>
      </c>
      <c r="X307" s="59"/>
    </row>
    <row r="308" spans="1:24" ht="17.25" x14ac:dyDescent="0.3">
      <c r="A308" s="59"/>
      <c r="B308" s="59" t="s">
        <v>6082</v>
      </c>
      <c r="C308" s="59"/>
      <c r="D308" s="59"/>
      <c r="E308" s="59"/>
      <c r="F308" s="59"/>
      <c r="G308" s="59" t="s">
        <v>6083</v>
      </c>
      <c r="H308" s="59" t="s">
        <v>6064</v>
      </c>
      <c r="I308" s="59"/>
      <c r="J308" s="59"/>
      <c r="K308" s="59"/>
      <c r="L308" s="59"/>
      <c r="M308" s="59" t="s">
        <v>7269</v>
      </c>
      <c r="N308" s="59"/>
      <c r="O308" s="59"/>
      <c r="P308" s="59" t="s">
        <v>6085</v>
      </c>
      <c r="Q308" s="59"/>
      <c r="R308" s="59" t="s">
        <v>6066</v>
      </c>
      <c r="S308" s="59" t="s">
        <v>6057</v>
      </c>
      <c r="T308" s="59" t="s">
        <v>6078</v>
      </c>
      <c r="U308" s="59" t="s">
        <v>6059</v>
      </c>
      <c r="V308" s="59" t="s">
        <v>6060</v>
      </c>
      <c r="W308" s="59" t="s">
        <v>6091</v>
      </c>
      <c r="X308" s="59"/>
    </row>
    <row r="309" spans="1:24" ht="17.25" x14ac:dyDescent="0.3">
      <c r="A309" s="59"/>
      <c r="B309" s="59" t="s">
        <v>6092</v>
      </c>
      <c r="C309" s="59"/>
      <c r="D309" s="59"/>
      <c r="E309" s="59"/>
      <c r="F309" s="59"/>
      <c r="G309" s="59" t="s">
        <v>6093</v>
      </c>
      <c r="H309" s="59" t="s">
        <v>6074</v>
      </c>
      <c r="I309" s="59"/>
      <c r="J309" s="59"/>
      <c r="K309" s="59"/>
      <c r="L309" s="59"/>
      <c r="M309" s="59" t="s">
        <v>7270</v>
      </c>
      <c r="N309" s="59"/>
      <c r="O309" s="59"/>
      <c r="P309" s="59" t="s">
        <v>6095</v>
      </c>
      <c r="Q309" s="59"/>
      <c r="R309" s="59" t="s">
        <v>6076</v>
      </c>
      <c r="S309" s="59" t="s">
        <v>6067</v>
      </c>
      <c r="T309" s="59" t="s">
        <v>6088</v>
      </c>
      <c r="U309" s="59" t="s">
        <v>6069</v>
      </c>
      <c r="V309" s="59" t="s">
        <v>6070</v>
      </c>
      <c r="W309" s="59" t="s">
        <v>6101</v>
      </c>
      <c r="X309" s="59"/>
    </row>
    <row r="310" spans="1:24" ht="17.25" x14ac:dyDescent="0.3">
      <c r="A310" s="59"/>
      <c r="B310" s="59" t="s">
        <v>6102</v>
      </c>
      <c r="C310" s="59"/>
      <c r="D310" s="59"/>
      <c r="E310" s="59"/>
      <c r="F310" s="59"/>
      <c r="G310" s="59" t="s">
        <v>6103</v>
      </c>
      <c r="H310" s="59" t="s">
        <v>6084</v>
      </c>
      <c r="I310" s="59"/>
      <c r="J310" s="59"/>
      <c r="K310" s="59"/>
      <c r="L310" s="59"/>
      <c r="M310" s="59" t="s">
        <v>7271</v>
      </c>
      <c r="N310" s="59"/>
      <c r="O310" s="59"/>
      <c r="P310" s="59" t="s">
        <v>6105</v>
      </c>
      <c r="Q310" s="59"/>
      <c r="R310" s="59" t="s">
        <v>6086</v>
      </c>
      <c r="S310" s="59" t="s">
        <v>6077</v>
      </c>
      <c r="T310" s="59" t="s">
        <v>6098</v>
      </c>
      <c r="U310" s="59" t="s">
        <v>6079</v>
      </c>
      <c r="V310" s="59" t="s">
        <v>6080</v>
      </c>
      <c r="W310" s="59" t="s">
        <v>6110</v>
      </c>
      <c r="X310" s="59"/>
    </row>
    <row r="311" spans="1:24" ht="17.25" x14ac:dyDescent="0.3">
      <c r="A311" s="59"/>
      <c r="B311" s="59" t="s">
        <v>6111</v>
      </c>
      <c r="C311" s="59"/>
      <c r="D311" s="59"/>
      <c r="E311" s="59"/>
      <c r="F311" s="59"/>
      <c r="G311" s="59" t="s">
        <v>6112</v>
      </c>
      <c r="H311" s="59" t="s">
        <v>6094</v>
      </c>
      <c r="I311" s="59"/>
      <c r="J311" s="59"/>
      <c r="K311" s="59"/>
      <c r="L311" s="59"/>
      <c r="M311" s="59" t="s">
        <v>1887</v>
      </c>
      <c r="N311" s="59"/>
      <c r="O311" s="59"/>
      <c r="P311" s="59" t="s">
        <v>6114</v>
      </c>
      <c r="Q311" s="59"/>
      <c r="R311" s="59" t="s">
        <v>6096</v>
      </c>
      <c r="S311" s="59" t="s">
        <v>6087</v>
      </c>
      <c r="T311" s="59" t="s">
        <v>6117</v>
      </c>
      <c r="U311" s="59" t="s">
        <v>6089</v>
      </c>
      <c r="V311" s="59" t="s">
        <v>6090</v>
      </c>
      <c r="W311" s="59" t="s">
        <v>6120</v>
      </c>
      <c r="X311" s="59"/>
    </row>
    <row r="312" spans="1:24" ht="17.25" x14ac:dyDescent="0.3">
      <c r="A312" s="59"/>
      <c r="B312" s="59" t="s">
        <v>6121</v>
      </c>
      <c r="C312" s="59"/>
      <c r="D312" s="59"/>
      <c r="E312" s="59"/>
      <c r="F312" s="59"/>
      <c r="G312" s="59" t="s">
        <v>6122</v>
      </c>
      <c r="H312" s="59" t="s">
        <v>6104</v>
      </c>
      <c r="I312" s="59"/>
      <c r="J312" s="59"/>
      <c r="K312" s="59"/>
      <c r="L312" s="59"/>
      <c r="M312" s="59" t="s">
        <v>7272</v>
      </c>
      <c r="N312" s="59"/>
      <c r="O312" s="59"/>
      <c r="P312" s="59" t="s">
        <v>6124</v>
      </c>
      <c r="Q312" s="59"/>
      <c r="R312" s="59" t="s">
        <v>6106</v>
      </c>
      <c r="S312" s="59" t="s">
        <v>6097</v>
      </c>
      <c r="T312" s="59" t="s">
        <v>6127</v>
      </c>
      <c r="U312" s="59" t="s">
        <v>6099</v>
      </c>
      <c r="V312" s="59" t="s">
        <v>6100</v>
      </c>
      <c r="W312" s="59" t="s">
        <v>6130</v>
      </c>
      <c r="X312" s="59"/>
    </row>
    <row r="313" spans="1:24" ht="17.25" x14ac:dyDescent="0.3">
      <c r="A313" s="59"/>
      <c r="B313" s="59" t="s">
        <v>6131</v>
      </c>
      <c r="C313" s="59"/>
      <c r="D313" s="59"/>
      <c r="E313" s="59"/>
      <c r="F313" s="59"/>
      <c r="G313" s="59" t="s">
        <v>6132</v>
      </c>
      <c r="H313" s="59" t="s">
        <v>6113</v>
      </c>
      <c r="I313" s="59"/>
      <c r="J313" s="59"/>
      <c r="K313" s="59"/>
      <c r="L313" s="59"/>
      <c r="M313" s="59" t="s">
        <v>7273</v>
      </c>
      <c r="N313" s="59"/>
      <c r="O313" s="59"/>
      <c r="P313" s="59" t="s">
        <v>6134</v>
      </c>
      <c r="Q313" s="59"/>
      <c r="R313" s="59" t="s">
        <v>6115</v>
      </c>
      <c r="S313" s="59" t="s">
        <v>6107</v>
      </c>
      <c r="T313" s="59" t="s">
        <v>6137</v>
      </c>
      <c r="U313" s="59" t="s">
        <v>6108</v>
      </c>
      <c r="V313" s="59" t="s">
        <v>6109</v>
      </c>
      <c r="W313" s="59" t="s">
        <v>6140</v>
      </c>
      <c r="X313" s="59"/>
    </row>
    <row r="314" spans="1:24" ht="17.25" x14ac:dyDescent="0.3">
      <c r="A314" s="59"/>
      <c r="B314" s="59" t="s">
        <v>6141</v>
      </c>
      <c r="C314" s="59"/>
      <c r="D314" s="59"/>
      <c r="E314" s="59"/>
      <c r="F314" s="59"/>
      <c r="G314" s="59" t="s">
        <v>6142</v>
      </c>
      <c r="H314" s="59" t="s">
        <v>6123</v>
      </c>
      <c r="I314" s="59"/>
      <c r="J314" s="59"/>
      <c r="K314" s="59"/>
      <c r="L314" s="59"/>
      <c r="M314" s="59"/>
      <c r="N314" s="59"/>
      <c r="O314" s="59"/>
      <c r="P314" s="59" t="s">
        <v>6144</v>
      </c>
      <c r="Q314" s="59"/>
      <c r="R314" s="59" t="s">
        <v>6125</v>
      </c>
      <c r="S314" s="59" t="s">
        <v>6116</v>
      </c>
      <c r="T314" s="59" t="s">
        <v>6147</v>
      </c>
      <c r="U314" s="59" t="s">
        <v>6118</v>
      </c>
      <c r="V314" s="59" t="s">
        <v>6119</v>
      </c>
      <c r="W314" s="59" t="s">
        <v>6150</v>
      </c>
      <c r="X314" s="59"/>
    </row>
    <row r="315" spans="1:24" ht="17.25" x14ac:dyDescent="0.3">
      <c r="A315" s="59"/>
      <c r="B315" s="59" t="s">
        <v>6151</v>
      </c>
      <c r="C315" s="59"/>
      <c r="D315" s="59"/>
      <c r="E315" s="59"/>
      <c r="F315" s="59"/>
      <c r="G315" s="59" t="s">
        <v>7078</v>
      </c>
      <c r="H315" s="59" t="s">
        <v>6133</v>
      </c>
      <c r="I315" s="59"/>
      <c r="J315" s="59"/>
      <c r="K315" s="59"/>
      <c r="L315" s="59"/>
      <c r="M315" s="59"/>
      <c r="N315" s="59"/>
      <c r="O315" s="59"/>
      <c r="P315" s="59" t="s">
        <v>6153</v>
      </c>
      <c r="Q315" s="59"/>
      <c r="R315" s="59" t="s">
        <v>6135</v>
      </c>
      <c r="S315" s="59" t="s">
        <v>6126</v>
      </c>
      <c r="T315" s="59" t="s">
        <v>6156</v>
      </c>
      <c r="U315" s="59" t="s">
        <v>6128</v>
      </c>
      <c r="V315" s="59" t="s">
        <v>6129</v>
      </c>
      <c r="W315" s="59" t="s">
        <v>6159</v>
      </c>
      <c r="X315" s="59"/>
    </row>
    <row r="316" spans="1:24" ht="17.25" x14ac:dyDescent="0.3">
      <c r="A316" s="59"/>
      <c r="B316" s="59" t="s">
        <v>6160</v>
      </c>
      <c r="C316" s="59"/>
      <c r="D316" s="59"/>
      <c r="E316" s="59"/>
      <c r="F316" s="59"/>
      <c r="G316" s="59" t="s">
        <v>7079</v>
      </c>
      <c r="H316" s="59" t="s">
        <v>6143</v>
      </c>
      <c r="I316" s="59"/>
      <c r="J316" s="59"/>
      <c r="K316" s="59"/>
      <c r="L316" s="59"/>
      <c r="M316" s="59"/>
      <c r="N316" s="59"/>
      <c r="O316" s="59"/>
      <c r="P316" s="59" t="s">
        <v>6162</v>
      </c>
      <c r="Q316" s="59"/>
      <c r="R316" s="59" t="s">
        <v>6145</v>
      </c>
      <c r="S316" s="59" t="s">
        <v>6136</v>
      </c>
      <c r="T316" s="59" t="s">
        <v>6165</v>
      </c>
      <c r="U316" s="59" t="s">
        <v>6138</v>
      </c>
      <c r="V316" s="59" t="s">
        <v>6139</v>
      </c>
      <c r="W316" s="59" t="s">
        <v>6168</v>
      </c>
      <c r="X316" s="59"/>
    </row>
    <row r="317" spans="1:24" ht="17.25" x14ac:dyDescent="0.3">
      <c r="A317" s="59"/>
      <c r="B317" s="59" t="s">
        <v>6169</v>
      </c>
      <c r="C317" s="59"/>
      <c r="D317" s="59"/>
      <c r="E317" s="59"/>
      <c r="F317" s="59"/>
      <c r="G317" s="59" t="s">
        <v>7080</v>
      </c>
      <c r="H317" s="59" t="s">
        <v>6152</v>
      </c>
      <c r="I317" s="59"/>
      <c r="J317" s="59"/>
      <c r="K317" s="59"/>
      <c r="L317" s="59"/>
      <c r="M317" s="59"/>
      <c r="N317" s="59"/>
      <c r="O317" s="59"/>
      <c r="P317" s="59" t="s">
        <v>6171</v>
      </c>
      <c r="Q317" s="59"/>
      <c r="R317" s="59" t="s">
        <v>6154</v>
      </c>
      <c r="S317" s="59" t="s">
        <v>6146</v>
      </c>
      <c r="T317" s="59" t="s">
        <v>6174</v>
      </c>
      <c r="U317" s="59" t="s">
        <v>6148</v>
      </c>
      <c r="V317" s="59" t="s">
        <v>6149</v>
      </c>
      <c r="W317" s="59" t="s">
        <v>6177</v>
      </c>
      <c r="X317" s="59"/>
    </row>
    <row r="318" spans="1:24" ht="17.25" x14ac:dyDescent="0.3">
      <c r="A318" s="59"/>
      <c r="B318" s="59" t="s">
        <v>6178</v>
      </c>
      <c r="C318" s="59"/>
      <c r="D318" s="59"/>
      <c r="E318" s="59"/>
      <c r="F318" s="59"/>
      <c r="G318" s="59" t="s">
        <v>7081</v>
      </c>
      <c r="H318" s="59" t="s">
        <v>6161</v>
      </c>
      <c r="I318" s="59"/>
      <c r="J318" s="59"/>
      <c r="K318" s="59"/>
      <c r="L318" s="59"/>
      <c r="M318" s="59"/>
      <c r="N318" s="59"/>
      <c r="O318" s="59"/>
      <c r="P318" s="59" t="s">
        <v>6180</v>
      </c>
      <c r="Q318" s="59"/>
      <c r="R318" s="59" t="s">
        <v>6163</v>
      </c>
      <c r="S318" s="59" t="s">
        <v>6155</v>
      </c>
      <c r="T318" s="59" t="s">
        <v>6183</v>
      </c>
      <c r="U318" s="59" t="s">
        <v>6157</v>
      </c>
      <c r="V318" s="59" t="s">
        <v>6158</v>
      </c>
      <c r="W318" s="59" t="s">
        <v>6186</v>
      </c>
      <c r="X318" s="59"/>
    </row>
    <row r="319" spans="1:24" ht="17.25" x14ac:dyDescent="0.3">
      <c r="A319" s="59"/>
      <c r="B319" s="59" t="s">
        <v>6187</v>
      </c>
      <c r="C319" s="59"/>
      <c r="D319" s="59"/>
      <c r="E319" s="59"/>
      <c r="F319" s="59"/>
      <c r="G319" s="59" t="s">
        <v>7082</v>
      </c>
      <c r="H319" s="59" t="s">
        <v>6170</v>
      </c>
      <c r="I319" s="59"/>
      <c r="J319" s="59"/>
      <c r="K319" s="59"/>
      <c r="L319" s="59"/>
      <c r="M319" s="59"/>
      <c r="N319" s="59"/>
      <c r="O319" s="59"/>
      <c r="P319" s="59" t="s">
        <v>6189</v>
      </c>
      <c r="Q319" s="59"/>
      <c r="R319" s="59" t="s">
        <v>6172</v>
      </c>
      <c r="S319" s="59" t="s">
        <v>6164</v>
      </c>
      <c r="T319" s="59" t="s">
        <v>6192</v>
      </c>
      <c r="U319" s="59" t="s">
        <v>6166</v>
      </c>
      <c r="V319" s="59" t="s">
        <v>6167</v>
      </c>
      <c r="W319" s="59" t="s">
        <v>6195</v>
      </c>
      <c r="X319" s="59"/>
    </row>
    <row r="320" spans="1:24" ht="17.25" x14ac:dyDescent="0.3">
      <c r="A320" s="59"/>
      <c r="B320" s="59" t="s">
        <v>6196</v>
      </c>
      <c r="C320" s="59"/>
      <c r="D320" s="59"/>
      <c r="E320" s="59"/>
      <c r="F320" s="59"/>
      <c r="G320" s="59" t="s">
        <v>7083</v>
      </c>
      <c r="H320" s="59" t="s">
        <v>6179</v>
      </c>
      <c r="I320" s="59"/>
      <c r="J320" s="59"/>
      <c r="K320" s="59"/>
      <c r="L320" s="59"/>
      <c r="M320" s="59"/>
      <c r="N320" s="59"/>
      <c r="O320" s="59"/>
      <c r="P320" s="59" t="s">
        <v>6198</v>
      </c>
      <c r="Q320" s="59"/>
      <c r="R320" s="59" t="s">
        <v>6181</v>
      </c>
      <c r="S320" s="59" t="s">
        <v>6173</v>
      </c>
      <c r="T320" s="59" t="s">
        <v>6201</v>
      </c>
      <c r="U320" s="59" t="s">
        <v>6175</v>
      </c>
      <c r="V320" s="59" t="s">
        <v>6176</v>
      </c>
      <c r="W320" s="59" t="s">
        <v>6204</v>
      </c>
      <c r="X320" s="59"/>
    </row>
    <row r="321" spans="1:24" ht="17.25" x14ac:dyDescent="0.3">
      <c r="A321" s="59"/>
      <c r="B321" s="59" t="s">
        <v>6205</v>
      </c>
      <c r="C321" s="59"/>
      <c r="D321" s="59"/>
      <c r="E321" s="59"/>
      <c r="F321" s="59"/>
      <c r="G321" s="59" t="s">
        <v>7208</v>
      </c>
      <c r="H321" s="59" t="s">
        <v>6188</v>
      </c>
      <c r="I321" s="59"/>
      <c r="J321" s="59"/>
      <c r="K321" s="59"/>
      <c r="L321" s="59"/>
      <c r="M321" s="59"/>
      <c r="N321" s="59"/>
      <c r="O321" s="59"/>
      <c r="P321" s="59" t="s">
        <v>6207</v>
      </c>
      <c r="Q321" s="59"/>
      <c r="R321" s="59" t="s">
        <v>6190</v>
      </c>
      <c r="S321" s="59" t="s">
        <v>6182</v>
      </c>
      <c r="T321" s="59" t="s">
        <v>6210</v>
      </c>
      <c r="U321" s="59" t="s">
        <v>6184</v>
      </c>
      <c r="V321" s="59" t="s">
        <v>6185</v>
      </c>
      <c r="W321" s="59" t="s">
        <v>6213</v>
      </c>
      <c r="X321" s="59"/>
    </row>
    <row r="322" spans="1:24" ht="17.25" x14ac:dyDescent="0.3">
      <c r="A322" s="59"/>
      <c r="B322" s="59" t="s">
        <v>6214</v>
      </c>
      <c r="C322" s="59"/>
      <c r="D322" s="59"/>
      <c r="E322" s="59"/>
      <c r="F322" s="59"/>
      <c r="G322" s="59" t="s">
        <v>7209</v>
      </c>
      <c r="H322" s="59" t="s">
        <v>6197</v>
      </c>
      <c r="I322" s="59"/>
      <c r="J322" s="59"/>
      <c r="K322" s="59"/>
      <c r="L322" s="59"/>
      <c r="M322" s="59"/>
      <c r="N322" s="59"/>
      <c r="O322" s="59"/>
      <c r="P322" s="59" t="s">
        <v>6216</v>
      </c>
      <c r="Q322" s="59"/>
      <c r="R322" s="59" t="s">
        <v>6199</v>
      </c>
      <c r="S322" s="59" t="s">
        <v>6191</v>
      </c>
      <c r="T322" s="59" t="s">
        <v>6219</v>
      </c>
      <c r="U322" s="59" t="s">
        <v>6193</v>
      </c>
      <c r="V322" s="59" t="s">
        <v>6194</v>
      </c>
      <c r="W322" s="59" t="s">
        <v>6222</v>
      </c>
      <c r="X322" s="59"/>
    </row>
    <row r="323" spans="1:24" ht="17.25" x14ac:dyDescent="0.3">
      <c r="A323" s="59"/>
      <c r="B323" s="59" t="s">
        <v>6223</v>
      </c>
      <c r="C323" s="59"/>
      <c r="D323" s="59"/>
      <c r="E323" s="59"/>
      <c r="F323" s="59"/>
      <c r="G323" s="59" t="s">
        <v>7210</v>
      </c>
      <c r="H323" s="59" t="s">
        <v>6206</v>
      </c>
      <c r="I323" s="59"/>
      <c r="J323" s="59"/>
      <c r="K323" s="59"/>
      <c r="L323" s="59"/>
      <c r="M323" s="59"/>
      <c r="N323" s="59"/>
      <c r="O323" s="59"/>
      <c r="P323" s="59" t="s">
        <v>6225</v>
      </c>
      <c r="Q323" s="59"/>
      <c r="R323" s="59" t="s">
        <v>6208</v>
      </c>
      <c r="S323" s="59" t="s">
        <v>6200</v>
      </c>
      <c r="T323" s="59" t="s">
        <v>6228</v>
      </c>
      <c r="U323" s="59" t="s">
        <v>6202</v>
      </c>
      <c r="V323" s="59" t="s">
        <v>6203</v>
      </c>
      <c r="W323" s="59" t="s">
        <v>6231</v>
      </c>
      <c r="X323" s="59"/>
    </row>
    <row r="324" spans="1:24" ht="17.25" x14ac:dyDescent="0.3">
      <c r="A324" s="59"/>
      <c r="B324" s="59" t="s">
        <v>6232</v>
      </c>
      <c r="C324" s="59"/>
      <c r="D324" s="59"/>
      <c r="E324" s="59"/>
      <c r="F324" s="59"/>
      <c r="G324" s="59" t="s">
        <v>7211</v>
      </c>
      <c r="H324" s="59" t="s">
        <v>6215</v>
      </c>
      <c r="I324" s="59"/>
      <c r="J324" s="59"/>
      <c r="K324" s="59"/>
      <c r="L324" s="59"/>
      <c r="M324" s="59"/>
      <c r="N324" s="59"/>
      <c r="O324" s="59"/>
      <c r="P324" s="59" t="s">
        <v>6234</v>
      </c>
      <c r="Q324" s="59"/>
      <c r="R324" s="59" t="s">
        <v>6217</v>
      </c>
      <c r="S324" s="59" t="s">
        <v>6209</v>
      </c>
      <c r="T324" s="59" t="s">
        <v>6237</v>
      </c>
      <c r="U324" s="59" t="s">
        <v>6211</v>
      </c>
      <c r="V324" s="59" t="s">
        <v>6212</v>
      </c>
      <c r="W324" s="59" t="s">
        <v>6240</v>
      </c>
      <c r="X324" s="59"/>
    </row>
    <row r="325" spans="1:24" ht="17.25" x14ac:dyDescent="0.3">
      <c r="A325" s="59"/>
      <c r="B325" s="59" t="s">
        <v>6241</v>
      </c>
      <c r="C325" s="59"/>
      <c r="D325" s="59"/>
      <c r="E325" s="59"/>
      <c r="F325" s="59"/>
      <c r="G325" s="59" t="s">
        <v>7212</v>
      </c>
      <c r="H325" s="59" t="s">
        <v>6224</v>
      </c>
      <c r="I325" s="59"/>
      <c r="J325" s="59"/>
      <c r="K325" s="59"/>
      <c r="L325" s="59"/>
      <c r="M325" s="59"/>
      <c r="N325" s="59"/>
      <c r="O325" s="59"/>
      <c r="P325" s="59" t="s">
        <v>6243</v>
      </c>
      <c r="Q325" s="59"/>
      <c r="R325" s="59" t="s">
        <v>6226</v>
      </c>
      <c r="S325" s="59" t="s">
        <v>6218</v>
      </c>
      <c r="T325" s="59" t="s">
        <v>6246</v>
      </c>
      <c r="U325" s="59" t="s">
        <v>6220</v>
      </c>
      <c r="V325" s="59" t="s">
        <v>6221</v>
      </c>
      <c r="W325" s="59" t="s">
        <v>6249</v>
      </c>
      <c r="X325" s="59"/>
    </row>
    <row r="326" spans="1:24" ht="17.25" x14ac:dyDescent="0.3">
      <c r="A326" s="59"/>
      <c r="B326" s="59" t="s">
        <v>6250</v>
      </c>
      <c r="C326" s="59"/>
      <c r="D326" s="59"/>
      <c r="E326" s="59"/>
      <c r="F326" s="59"/>
      <c r="G326" s="59" t="s">
        <v>7213</v>
      </c>
      <c r="H326" s="59" t="s">
        <v>6233</v>
      </c>
      <c r="I326" s="59"/>
      <c r="J326" s="59"/>
      <c r="K326" s="59"/>
      <c r="L326" s="59"/>
      <c r="M326" s="59"/>
      <c r="N326" s="59"/>
      <c r="O326" s="59"/>
      <c r="P326" s="59" t="s">
        <v>6252</v>
      </c>
      <c r="Q326" s="59"/>
      <c r="R326" s="59" t="s">
        <v>6235</v>
      </c>
      <c r="S326" s="59" t="s">
        <v>6227</v>
      </c>
      <c r="T326" s="59" t="s">
        <v>6255</v>
      </c>
      <c r="U326" s="59" t="s">
        <v>6229</v>
      </c>
      <c r="V326" s="59" t="s">
        <v>6230</v>
      </c>
      <c r="W326" s="59" t="s">
        <v>6258</v>
      </c>
      <c r="X326" s="59"/>
    </row>
    <row r="327" spans="1:24" ht="17.25" x14ac:dyDescent="0.3">
      <c r="A327" s="59"/>
      <c r="B327" s="59" t="s">
        <v>6259</v>
      </c>
      <c r="C327" s="59"/>
      <c r="D327" s="59"/>
      <c r="E327" s="59"/>
      <c r="F327" s="59"/>
      <c r="G327" s="59" t="s">
        <v>7214</v>
      </c>
      <c r="H327" s="59" t="s">
        <v>6242</v>
      </c>
      <c r="I327" s="59"/>
      <c r="J327" s="59"/>
      <c r="K327" s="59"/>
      <c r="L327" s="59"/>
      <c r="M327" s="59"/>
      <c r="N327" s="59"/>
      <c r="O327" s="59"/>
      <c r="P327" s="59" t="s">
        <v>6261</v>
      </c>
      <c r="Q327" s="59"/>
      <c r="R327" s="59" t="s">
        <v>6244</v>
      </c>
      <c r="S327" s="59" t="s">
        <v>6236</v>
      </c>
      <c r="T327" s="59" t="s">
        <v>6264</v>
      </c>
      <c r="U327" s="59" t="s">
        <v>6238</v>
      </c>
      <c r="V327" s="59" t="s">
        <v>6239</v>
      </c>
      <c r="W327" s="59" t="s">
        <v>6267</v>
      </c>
      <c r="X327" s="59"/>
    </row>
    <row r="328" spans="1:24" ht="17.25" x14ac:dyDescent="0.3">
      <c r="A328" s="59"/>
      <c r="B328" s="59" t="s">
        <v>6268</v>
      </c>
      <c r="C328" s="59"/>
      <c r="D328" s="59"/>
      <c r="E328" s="59"/>
      <c r="F328" s="59"/>
      <c r="G328" s="59" t="s">
        <v>7215</v>
      </c>
      <c r="H328" s="59" t="s">
        <v>6251</v>
      </c>
      <c r="I328" s="59"/>
      <c r="J328" s="59"/>
      <c r="K328" s="59"/>
      <c r="L328" s="59"/>
      <c r="M328" s="59"/>
      <c r="N328" s="59"/>
      <c r="O328" s="59"/>
      <c r="P328" s="59" t="s">
        <v>6270</v>
      </c>
      <c r="Q328" s="59"/>
      <c r="R328" s="59" t="s">
        <v>6253</v>
      </c>
      <c r="S328" s="59" t="s">
        <v>6245</v>
      </c>
      <c r="T328" s="59" t="s">
        <v>6273</v>
      </c>
      <c r="U328" s="59" t="s">
        <v>6247</v>
      </c>
      <c r="V328" s="59" t="s">
        <v>6248</v>
      </c>
      <c r="W328" s="59" t="s">
        <v>6276</v>
      </c>
      <c r="X328" s="59"/>
    </row>
    <row r="329" spans="1:24" ht="17.25" x14ac:dyDescent="0.3">
      <c r="A329" s="59"/>
      <c r="B329" s="59" t="s">
        <v>6277</v>
      </c>
      <c r="C329" s="59"/>
      <c r="D329" s="59"/>
      <c r="E329" s="59"/>
      <c r="F329" s="59"/>
      <c r="G329" s="59" t="s">
        <v>7216</v>
      </c>
      <c r="H329" s="59" t="s">
        <v>6260</v>
      </c>
      <c r="I329" s="59"/>
      <c r="J329" s="59"/>
      <c r="K329" s="59"/>
      <c r="L329" s="59"/>
      <c r="M329" s="59"/>
      <c r="N329" s="59"/>
      <c r="O329" s="59"/>
      <c r="P329" s="59" t="s">
        <v>6279</v>
      </c>
      <c r="Q329" s="59"/>
      <c r="R329" s="59" t="s">
        <v>6262</v>
      </c>
      <c r="S329" s="59" t="s">
        <v>6254</v>
      </c>
      <c r="T329" s="59" t="s">
        <v>6282</v>
      </c>
      <c r="U329" s="59" t="s">
        <v>6256</v>
      </c>
      <c r="V329" s="59" t="s">
        <v>6257</v>
      </c>
      <c r="W329" s="59" t="s">
        <v>6285</v>
      </c>
      <c r="X329" s="59"/>
    </row>
    <row r="330" spans="1:24" ht="17.25" x14ac:dyDescent="0.3">
      <c r="A330" s="59"/>
      <c r="B330" s="59" t="s">
        <v>6286</v>
      </c>
      <c r="C330" s="59"/>
      <c r="D330" s="59"/>
      <c r="E330" s="59"/>
      <c r="F330" s="59"/>
      <c r="G330" s="59" t="s">
        <v>7217</v>
      </c>
      <c r="H330" s="59" t="s">
        <v>6269</v>
      </c>
      <c r="I330" s="59"/>
      <c r="J330" s="59"/>
      <c r="K330" s="59"/>
      <c r="L330" s="59"/>
      <c r="M330" s="59"/>
      <c r="N330" s="59"/>
      <c r="O330" s="59"/>
      <c r="P330" s="59" t="s">
        <v>6288</v>
      </c>
      <c r="Q330" s="59"/>
      <c r="R330" s="59" t="s">
        <v>6271</v>
      </c>
      <c r="S330" s="59" t="s">
        <v>6263</v>
      </c>
      <c r="T330" s="59" t="s">
        <v>6291</v>
      </c>
      <c r="U330" s="59" t="s">
        <v>6265</v>
      </c>
      <c r="V330" s="59" t="s">
        <v>6266</v>
      </c>
      <c r="W330" s="59" t="s">
        <v>6294</v>
      </c>
      <c r="X330" s="59"/>
    </row>
    <row r="331" spans="1:24" ht="17.25" x14ac:dyDescent="0.3">
      <c r="A331" s="59"/>
      <c r="B331" s="59" t="s">
        <v>6295</v>
      </c>
      <c r="C331" s="59"/>
      <c r="D331" s="59"/>
      <c r="E331" s="59"/>
      <c r="F331" s="59"/>
      <c r="G331" s="59" t="s">
        <v>7218</v>
      </c>
      <c r="H331" s="59" t="s">
        <v>6278</v>
      </c>
      <c r="I331" s="59"/>
      <c r="J331" s="59"/>
      <c r="K331" s="59"/>
      <c r="L331" s="59"/>
      <c r="M331" s="59"/>
      <c r="N331" s="59"/>
      <c r="O331" s="59"/>
      <c r="P331" s="59" t="s">
        <v>6297</v>
      </c>
      <c r="Q331" s="59"/>
      <c r="R331" s="59" t="s">
        <v>6280</v>
      </c>
      <c r="S331" s="59" t="s">
        <v>6272</v>
      </c>
      <c r="T331" s="59" t="s">
        <v>6300</v>
      </c>
      <c r="U331" s="59" t="s">
        <v>6274</v>
      </c>
      <c r="V331" s="59" t="s">
        <v>6275</v>
      </c>
      <c r="W331" s="59" t="s">
        <v>6303</v>
      </c>
      <c r="X331" s="59"/>
    </row>
    <row r="332" spans="1:24" ht="17.25" x14ac:dyDescent="0.3">
      <c r="A332" s="59"/>
      <c r="B332" s="59" t="s">
        <v>6304</v>
      </c>
      <c r="C332" s="59"/>
      <c r="D332" s="59"/>
      <c r="E332" s="59"/>
      <c r="F332" s="59"/>
      <c r="G332" s="59" t="s">
        <v>7219</v>
      </c>
      <c r="H332" s="59" t="s">
        <v>6287</v>
      </c>
      <c r="I332" s="59"/>
      <c r="J332" s="59"/>
      <c r="K332" s="59"/>
      <c r="L332" s="59"/>
      <c r="M332" s="59"/>
      <c r="N332" s="59"/>
      <c r="O332" s="59"/>
      <c r="P332" s="59" t="s">
        <v>6306</v>
      </c>
      <c r="Q332" s="59"/>
      <c r="R332" s="59" t="s">
        <v>6289</v>
      </c>
      <c r="S332" s="59" t="s">
        <v>6281</v>
      </c>
      <c r="T332" s="59" t="s">
        <v>6309</v>
      </c>
      <c r="U332" s="59" t="s">
        <v>6283</v>
      </c>
      <c r="V332" s="59" t="s">
        <v>6284</v>
      </c>
      <c r="W332" s="59" t="s">
        <v>6312</v>
      </c>
      <c r="X332" s="59"/>
    </row>
    <row r="333" spans="1:24" ht="17.25" x14ac:dyDescent="0.3">
      <c r="A333" s="59"/>
      <c r="B333" s="59" t="s">
        <v>6313</v>
      </c>
      <c r="C333" s="59"/>
      <c r="D333" s="59"/>
      <c r="E333" s="59"/>
      <c r="F333" s="59"/>
      <c r="G333" s="59" t="s">
        <v>7274</v>
      </c>
      <c r="H333" s="59" t="s">
        <v>6296</v>
      </c>
      <c r="I333" s="59"/>
      <c r="J333" s="59"/>
      <c r="K333" s="59"/>
      <c r="L333" s="59"/>
      <c r="M333" s="59"/>
      <c r="N333" s="59"/>
      <c r="O333" s="59"/>
      <c r="P333" s="59" t="s">
        <v>6315</v>
      </c>
      <c r="Q333" s="59"/>
      <c r="R333" s="59" t="s">
        <v>6298</v>
      </c>
      <c r="S333" s="59" t="s">
        <v>6290</v>
      </c>
      <c r="T333" s="59" t="s">
        <v>6318</v>
      </c>
      <c r="U333" s="59" t="s">
        <v>6292</v>
      </c>
      <c r="V333" s="59" t="s">
        <v>6293</v>
      </c>
      <c r="W333" s="59" t="s">
        <v>6321</v>
      </c>
      <c r="X333" s="59"/>
    </row>
    <row r="334" spans="1:24" ht="17.25" x14ac:dyDescent="0.3">
      <c r="A334" s="59"/>
      <c r="B334" s="59" t="s">
        <v>6322</v>
      </c>
      <c r="C334" s="59"/>
      <c r="D334" s="59"/>
      <c r="E334" s="59"/>
      <c r="F334" s="59"/>
      <c r="G334" s="59" t="s">
        <v>7275</v>
      </c>
      <c r="H334" s="59" t="s">
        <v>6305</v>
      </c>
      <c r="I334" s="59"/>
      <c r="J334" s="59"/>
      <c r="K334" s="59"/>
      <c r="L334" s="59"/>
      <c r="M334" s="59"/>
      <c r="N334" s="59"/>
      <c r="O334" s="59"/>
      <c r="P334" s="59" t="s">
        <v>6324</v>
      </c>
      <c r="Q334" s="59"/>
      <c r="R334" s="59" t="s">
        <v>6307</v>
      </c>
      <c r="S334" s="59" t="s">
        <v>6299</v>
      </c>
      <c r="T334" s="59" t="s">
        <v>6327</v>
      </c>
      <c r="U334" s="59" t="s">
        <v>6301</v>
      </c>
      <c r="V334" s="59" t="s">
        <v>6302</v>
      </c>
      <c r="W334" s="59" t="s">
        <v>6330</v>
      </c>
      <c r="X334" s="59"/>
    </row>
    <row r="335" spans="1:24" ht="17.25" x14ac:dyDescent="0.3">
      <c r="A335" s="59"/>
      <c r="B335" s="59" t="s">
        <v>6331</v>
      </c>
      <c r="C335" s="59"/>
      <c r="D335" s="59"/>
      <c r="E335" s="59"/>
      <c r="F335" s="59"/>
      <c r="G335" s="59" t="s">
        <v>7276</v>
      </c>
      <c r="H335" s="59" t="s">
        <v>6314</v>
      </c>
      <c r="I335" s="59"/>
      <c r="J335" s="59"/>
      <c r="K335" s="59"/>
      <c r="L335" s="59"/>
      <c r="M335" s="59"/>
      <c r="N335" s="59"/>
      <c r="O335" s="59"/>
      <c r="P335" s="59" t="s">
        <v>6333</v>
      </c>
      <c r="Q335" s="59"/>
      <c r="R335" s="59" t="s">
        <v>6316</v>
      </c>
      <c r="S335" s="59" t="s">
        <v>6308</v>
      </c>
      <c r="T335" s="59" t="s">
        <v>6336</v>
      </c>
      <c r="U335" s="59" t="s">
        <v>6310</v>
      </c>
      <c r="V335" s="59" t="s">
        <v>6311</v>
      </c>
      <c r="W335" s="59" t="s">
        <v>6339</v>
      </c>
      <c r="X335" s="59"/>
    </row>
    <row r="336" spans="1:24" ht="17.25" x14ac:dyDescent="0.3">
      <c r="A336" s="59"/>
      <c r="B336" s="59" t="s">
        <v>6340</v>
      </c>
      <c r="C336" s="59"/>
      <c r="D336" s="59"/>
      <c r="E336" s="59"/>
      <c r="F336" s="59"/>
      <c r="G336" s="59"/>
      <c r="H336" s="59" t="s">
        <v>6323</v>
      </c>
      <c r="I336" s="59"/>
      <c r="J336" s="59"/>
      <c r="K336" s="59"/>
      <c r="L336" s="59"/>
      <c r="M336" s="59"/>
      <c r="N336" s="59"/>
      <c r="O336" s="59"/>
      <c r="P336" s="59" t="s">
        <v>6342</v>
      </c>
      <c r="Q336" s="59"/>
      <c r="R336" s="59" t="s">
        <v>6325</v>
      </c>
      <c r="S336" s="59" t="s">
        <v>6317</v>
      </c>
      <c r="T336" s="59" t="s">
        <v>6345</v>
      </c>
      <c r="U336" s="59" t="s">
        <v>6319</v>
      </c>
      <c r="V336" s="59" t="s">
        <v>6320</v>
      </c>
      <c r="W336" s="59" t="s">
        <v>6348</v>
      </c>
      <c r="X336" s="59"/>
    </row>
    <row r="337" spans="1:24" ht="17.25" x14ac:dyDescent="0.3">
      <c r="A337" s="59"/>
      <c r="B337" s="59" t="s">
        <v>6349</v>
      </c>
      <c r="C337" s="59"/>
      <c r="D337" s="59"/>
      <c r="E337" s="59"/>
      <c r="F337" s="59"/>
      <c r="G337" s="59"/>
      <c r="H337" s="59" t="s">
        <v>6332</v>
      </c>
      <c r="I337" s="59"/>
      <c r="J337" s="59"/>
      <c r="K337" s="59"/>
      <c r="L337" s="59"/>
      <c r="M337" s="59"/>
      <c r="N337" s="59"/>
      <c r="O337" s="59"/>
      <c r="P337" s="59" t="s">
        <v>6351</v>
      </c>
      <c r="Q337" s="59"/>
      <c r="R337" s="59" t="s">
        <v>6334</v>
      </c>
      <c r="S337" s="59" t="s">
        <v>6326</v>
      </c>
      <c r="T337" s="59" t="s">
        <v>6354</v>
      </c>
      <c r="U337" s="59" t="s">
        <v>6328</v>
      </c>
      <c r="V337" s="59" t="s">
        <v>6329</v>
      </c>
      <c r="W337" s="59" t="s">
        <v>6357</v>
      </c>
      <c r="X337" s="59"/>
    </row>
    <row r="338" spans="1:24" ht="17.25" x14ac:dyDescent="0.3">
      <c r="A338" s="59"/>
      <c r="B338" s="59" t="s">
        <v>6358</v>
      </c>
      <c r="C338" s="59"/>
      <c r="D338" s="59"/>
      <c r="E338" s="59"/>
      <c r="F338" s="59"/>
      <c r="G338" s="59"/>
      <c r="H338" s="59" t="s">
        <v>6341</v>
      </c>
      <c r="I338" s="59"/>
      <c r="J338" s="59"/>
      <c r="K338" s="59"/>
      <c r="L338" s="59"/>
      <c r="M338" s="59"/>
      <c r="N338" s="59"/>
      <c r="O338" s="59"/>
      <c r="P338" s="59" t="s">
        <v>6360</v>
      </c>
      <c r="Q338" s="59"/>
      <c r="R338" s="59" t="s">
        <v>6343</v>
      </c>
      <c r="S338" s="59" t="s">
        <v>6335</v>
      </c>
      <c r="T338" s="59" t="s">
        <v>6363</v>
      </c>
      <c r="U338" s="59" t="s">
        <v>6337</v>
      </c>
      <c r="V338" s="59" t="s">
        <v>6338</v>
      </c>
      <c r="W338" s="59" t="s">
        <v>6366</v>
      </c>
      <c r="X338" s="59"/>
    </row>
    <row r="339" spans="1:24" ht="17.25" x14ac:dyDescent="0.3">
      <c r="A339" s="59"/>
      <c r="B339" s="59" t="s">
        <v>6367</v>
      </c>
      <c r="C339" s="59"/>
      <c r="D339" s="59"/>
      <c r="E339" s="59"/>
      <c r="F339" s="59"/>
      <c r="G339" s="59"/>
      <c r="H339" s="59" t="s">
        <v>6350</v>
      </c>
      <c r="I339" s="59"/>
      <c r="J339" s="59"/>
      <c r="K339" s="59"/>
      <c r="L339" s="59"/>
      <c r="M339" s="59"/>
      <c r="N339" s="59"/>
      <c r="O339" s="59"/>
      <c r="P339" s="59" t="s">
        <v>6369</v>
      </c>
      <c r="Q339" s="59"/>
      <c r="R339" s="59" t="s">
        <v>6352</v>
      </c>
      <c r="S339" s="59" t="s">
        <v>6344</v>
      </c>
      <c r="T339" s="59" t="s">
        <v>6372</v>
      </c>
      <c r="U339" s="59" t="s">
        <v>6346</v>
      </c>
      <c r="V339" s="59" t="s">
        <v>6347</v>
      </c>
      <c r="W339" s="59" t="s">
        <v>6375</v>
      </c>
      <c r="X339" s="59"/>
    </row>
    <row r="340" spans="1:24" ht="17.25" x14ac:dyDescent="0.3">
      <c r="A340" s="59"/>
      <c r="B340" s="59" t="s">
        <v>6376</v>
      </c>
      <c r="C340" s="59"/>
      <c r="D340" s="59"/>
      <c r="E340" s="59"/>
      <c r="F340" s="59"/>
      <c r="G340" s="59"/>
      <c r="H340" s="59" t="s">
        <v>6359</v>
      </c>
      <c r="I340" s="59"/>
      <c r="J340" s="59"/>
      <c r="K340" s="59"/>
      <c r="L340" s="59"/>
      <c r="M340" s="59"/>
      <c r="N340" s="59"/>
      <c r="O340" s="59"/>
      <c r="P340" s="59" t="s">
        <v>6378</v>
      </c>
      <c r="Q340" s="59"/>
      <c r="R340" s="59" t="s">
        <v>6361</v>
      </c>
      <c r="S340" s="59" t="s">
        <v>6353</v>
      </c>
      <c r="T340" s="59" t="s">
        <v>6381</v>
      </c>
      <c r="U340" s="59" t="s">
        <v>6355</v>
      </c>
      <c r="V340" s="59" t="s">
        <v>6356</v>
      </c>
      <c r="W340" s="59" t="s">
        <v>6384</v>
      </c>
      <c r="X340" s="59"/>
    </row>
    <row r="341" spans="1:24" ht="17.25" x14ac:dyDescent="0.3">
      <c r="A341" s="59"/>
      <c r="B341" s="59" t="s">
        <v>6385</v>
      </c>
      <c r="C341" s="59"/>
      <c r="D341" s="59"/>
      <c r="E341" s="59"/>
      <c r="F341" s="59"/>
      <c r="G341" s="59"/>
      <c r="H341" s="59" t="s">
        <v>6368</v>
      </c>
      <c r="I341" s="59"/>
      <c r="J341" s="59"/>
      <c r="K341" s="59"/>
      <c r="L341" s="59"/>
      <c r="M341" s="59"/>
      <c r="N341" s="59"/>
      <c r="O341" s="59"/>
      <c r="P341" s="59" t="s">
        <v>6386</v>
      </c>
      <c r="Q341" s="59"/>
      <c r="R341" s="59" t="s">
        <v>6370</v>
      </c>
      <c r="S341" s="59" t="s">
        <v>6362</v>
      </c>
      <c r="T341" s="59" t="s">
        <v>6389</v>
      </c>
      <c r="U341" s="59" t="s">
        <v>6364</v>
      </c>
      <c r="V341" s="59" t="s">
        <v>6365</v>
      </c>
      <c r="W341" s="59" t="s">
        <v>6392</v>
      </c>
      <c r="X341" s="59"/>
    </row>
    <row r="342" spans="1:24" ht="17.25" x14ac:dyDescent="0.3">
      <c r="A342" s="59"/>
      <c r="B342" s="59" t="s">
        <v>6393</v>
      </c>
      <c r="C342" s="59"/>
      <c r="D342" s="59"/>
      <c r="E342" s="59"/>
      <c r="F342" s="59"/>
      <c r="G342" s="59"/>
      <c r="H342" s="59" t="s">
        <v>6377</v>
      </c>
      <c r="I342" s="59"/>
      <c r="J342" s="59"/>
      <c r="K342" s="59"/>
      <c r="L342" s="59"/>
      <c r="M342" s="59"/>
      <c r="N342" s="59"/>
      <c r="O342" s="59"/>
      <c r="P342" s="59" t="s">
        <v>6394</v>
      </c>
      <c r="Q342" s="59"/>
      <c r="R342" s="59" t="s">
        <v>6379</v>
      </c>
      <c r="S342" s="59" t="s">
        <v>6371</v>
      </c>
      <c r="T342" s="59" t="s">
        <v>6397</v>
      </c>
      <c r="U342" s="59" t="s">
        <v>6373</v>
      </c>
      <c r="V342" s="59" t="s">
        <v>6374</v>
      </c>
      <c r="W342" s="59" t="s">
        <v>6400</v>
      </c>
      <c r="X342" s="59"/>
    </row>
    <row r="343" spans="1:24" ht="17.25" x14ac:dyDescent="0.3">
      <c r="A343" s="59"/>
      <c r="B343" s="59" t="s">
        <v>6401</v>
      </c>
      <c r="C343" s="59"/>
      <c r="D343" s="59"/>
      <c r="E343" s="59"/>
      <c r="F343" s="59"/>
      <c r="G343" s="59"/>
      <c r="H343" s="59" t="s">
        <v>7084</v>
      </c>
      <c r="I343" s="59"/>
      <c r="J343" s="59"/>
      <c r="K343" s="59"/>
      <c r="L343" s="59"/>
      <c r="M343" s="59"/>
      <c r="N343" s="59"/>
      <c r="O343" s="59"/>
      <c r="P343" s="59" t="s">
        <v>6402</v>
      </c>
      <c r="Q343" s="59"/>
      <c r="R343" s="59" t="s">
        <v>6387</v>
      </c>
      <c r="S343" s="59" t="s">
        <v>6380</v>
      </c>
      <c r="T343" s="59" t="s">
        <v>6405</v>
      </c>
      <c r="U343" s="59" t="s">
        <v>6382</v>
      </c>
      <c r="V343" s="59" t="s">
        <v>6383</v>
      </c>
      <c r="W343" s="59" t="s">
        <v>6407</v>
      </c>
      <c r="X343" s="59"/>
    </row>
    <row r="344" spans="1:24" ht="17.25" x14ac:dyDescent="0.3">
      <c r="A344" s="59"/>
      <c r="B344" s="59" t="s">
        <v>6408</v>
      </c>
      <c r="C344" s="59"/>
      <c r="D344" s="59"/>
      <c r="E344" s="59"/>
      <c r="F344" s="59"/>
      <c r="G344" s="59"/>
      <c r="H344" s="59" t="s">
        <v>7085</v>
      </c>
      <c r="I344" s="59"/>
      <c r="J344" s="59"/>
      <c r="K344" s="59"/>
      <c r="L344" s="59"/>
      <c r="M344" s="59"/>
      <c r="N344" s="59"/>
      <c r="O344" s="59"/>
      <c r="P344" s="59" t="s">
        <v>6409</v>
      </c>
      <c r="Q344" s="59"/>
      <c r="R344" s="59" t="s">
        <v>6395</v>
      </c>
      <c r="S344" s="59" t="s">
        <v>6388</v>
      </c>
      <c r="T344" s="59" t="s">
        <v>6412</v>
      </c>
      <c r="U344" s="59" t="s">
        <v>6390</v>
      </c>
      <c r="V344" s="59" t="s">
        <v>6391</v>
      </c>
      <c r="W344" s="59" t="s">
        <v>6414</v>
      </c>
      <c r="X344" s="59"/>
    </row>
    <row r="345" spans="1:24" ht="17.25" x14ac:dyDescent="0.3">
      <c r="A345" s="59"/>
      <c r="B345" s="59" t="s">
        <v>6415</v>
      </c>
      <c r="C345" s="59"/>
      <c r="D345" s="59"/>
      <c r="E345" s="59"/>
      <c r="F345" s="59"/>
      <c r="G345" s="59"/>
      <c r="H345" s="59" t="s">
        <v>3907</v>
      </c>
      <c r="I345" s="59"/>
      <c r="J345" s="59"/>
      <c r="K345" s="59"/>
      <c r="L345" s="59"/>
      <c r="M345" s="59"/>
      <c r="N345" s="59"/>
      <c r="O345" s="59"/>
      <c r="P345" s="59" t="s">
        <v>6416</v>
      </c>
      <c r="Q345" s="59"/>
      <c r="R345" s="59" t="s">
        <v>6403</v>
      </c>
      <c r="S345" s="59" t="s">
        <v>6396</v>
      </c>
      <c r="T345" s="59" t="s">
        <v>6419</v>
      </c>
      <c r="U345" s="59" t="s">
        <v>6398</v>
      </c>
      <c r="V345" s="59" t="s">
        <v>6399</v>
      </c>
      <c r="W345" s="59" t="s">
        <v>6421</v>
      </c>
      <c r="X345" s="59"/>
    </row>
    <row r="346" spans="1:24" ht="17.25" x14ac:dyDescent="0.3">
      <c r="A346" s="59"/>
      <c r="B346" s="59" t="s">
        <v>6422</v>
      </c>
      <c r="C346" s="59"/>
      <c r="D346" s="59"/>
      <c r="E346" s="59"/>
      <c r="F346" s="59"/>
      <c r="G346" s="59"/>
      <c r="H346" s="59" t="s">
        <v>7087</v>
      </c>
      <c r="I346" s="59"/>
      <c r="J346" s="59"/>
      <c r="K346" s="59"/>
      <c r="L346" s="59"/>
      <c r="M346" s="59"/>
      <c r="N346" s="59"/>
      <c r="O346" s="59"/>
      <c r="P346" s="59" t="s">
        <v>6423</v>
      </c>
      <c r="Q346" s="59"/>
      <c r="R346" s="59" t="s">
        <v>6410</v>
      </c>
      <c r="S346" s="59" t="s">
        <v>6404</v>
      </c>
      <c r="T346" s="59" t="s">
        <v>6426</v>
      </c>
      <c r="U346" s="59" t="s">
        <v>7086</v>
      </c>
      <c r="V346" s="59" t="s">
        <v>6406</v>
      </c>
      <c r="W346" s="59" t="s">
        <v>6428</v>
      </c>
      <c r="X346" s="59"/>
    </row>
    <row r="347" spans="1:24" ht="17.25" x14ac:dyDescent="0.3">
      <c r="A347" s="59"/>
      <c r="B347" s="59" t="s">
        <v>6429</v>
      </c>
      <c r="C347" s="59"/>
      <c r="D347" s="59"/>
      <c r="E347" s="59"/>
      <c r="F347" s="59"/>
      <c r="G347" s="59"/>
      <c r="H347" s="59" t="s">
        <v>7089</v>
      </c>
      <c r="I347" s="59"/>
      <c r="J347" s="59"/>
      <c r="K347" s="59"/>
      <c r="L347" s="59"/>
      <c r="M347" s="59"/>
      <c r="N347" s="59"/>
      <c r="O347" s="59"/>
      <c r="P347" s="59" t="s">
        <v>6430</v>
      </c>
      <c r="Q347" s="59"/>
      <c r="R347" s="59" t="s">
        <v>6417</v>
      </c>
      <c r="S347" s="59" t="s">
        <v>6411</v>
      </c>
      <c r="T347" s="59" t="s">
        <v>6433</v>
      </c>
      <c r="U347" s="59" t="s">
        <v>7088</v>
      </c>
      <c r="V347" s="59" t="s">
        <v>6413</v>
      </c>
      <c r="W347" s="59" t="s">
        <v>7091</v>
      </c>
      <c r="X347" s="59"/>
    </row>
    <row r="348" spans="1:24" ht="17.25" x14ac:dyDescent="0.3">
      <c r="A348" s="59"/>
      <c r="B348" s="59" t="s">
        <v>6435</v>
      </c>
      <c r="C348" s="59"/>
      <c r="D348" s="59"/>
      <c r="E348" s="59"/>
      <c r="F348" s="59"/>
      <c r="G348" s="59"/>
      <c r="H348" s="59" t="s">
        <v>7092</v>
      </c>
      <c r="I348" s="59"/>
      <c r="J348" s="59"/>
      <c r="K348" s="59"/>
      <c r="L348" s="59"/>
      <c r="M348" s="59"/>
      <c r="N348" s="59"/>
      <c r="O348" s="59"/>
      <c r="P348" s="59" t="s">
        <v>6436</v>
      </c>
      <c r="Q348" s="59"/>
      <c r="R348" s="59" t="s">
        <v>6424</v>
      </c>
      <c r="S348" s="59" t="s">
        <v>6418</v>
      </c>
      <c r="T348" s="59" t="s">
        <v>6439</v>
      </c>
      <c r="U348" s="59" t="s">
        <v>7090</v>
      </c>
      <c r="V348" s="59" t="s">
        <v>6420</v>
      </c>
      <c r="W348" s="59" t="s">
        <v>7094</v>
      </c>
      <c r="X348" s="59"/>
    </row>
    <row r="349" spans="1:24" ht="17.25" x14ac:dyDescent="0.3">
      <c r="A349" s="59"/>
      <c r="B349" s="59" t="s">
        <v>6441</v>
      </c>
      <c r="C349" s="59"/>
      <c r="D349" s="59"/>
      <c r="E349" s="59"/>
      <c r="F349" s="59"/>
      <c r="G349" s="59"/>
      <c r="H349" s="59" t="s">
        <v>7095</v>
      </c>
      <c r="I349" s="59"/>
      <c r="J349" s="59"/>
      <c r="K349" s="59"/>
      <c r="L349" s="59"/>
      <c r="M349" s="59"/>
      <c r="N349" s="59"/>
      <c r="O349" s="59"/>
      <c r="P349" s="59" t="s">
        <v>6442</v>
      </c>
      <c r="Q349" s="59"/>
      <c r="R349" s="59" t="s">
        <v>6431</v>
      </c>
      <c r="S349" s="59" t="s">
        <v>6425</v>
      </c>
      <c r="T349" s="59" t="s">
        <v>6445</v>
      </c>
      <c r="U349" s="59" t="s">
        <v>7093</v>
      </c>
      <c r="V349" s="59" t="s">
        <v>6427</v>
      </c>
      <c r="W349" s="59" t="s">
        <v>7097</v>
      </c>
      <c r="X349" s="59"/>
    </row>
    <row r="350" spans="1:24" ht="17.25" x14ac:dyDescent="0.3">
      <c r="A350" s="59"/>
      <c r="B350" s="59" t="s">
        <v>6447</v>
      </c>
      <c r="C350" s="59"/>
      <c r="D350" s="59"/>
      <c r="E350" s="59"/>
      <c r="F350" s="59"/>
      <c r="G350" s="59"/>
      <c r="H350" s="59" t="s">
        <v>7098</v>
      </c>
      <c r="I350" s="59"/>
      <c r="J350" s="59"/>
      <c r="K350" s="59"/>
      <c r="L350" s="59"/>
      <c r="M350" s="59"/>
      <c r="N350" s="59"/>
      <c r="O350" s="59"/>
      <c r="P350" s="59" t="s">
        <v>6448</v>
      </c>
      <c r="Q350" s="59"/>
      <c r="R350" s="59" t="s">
        <v>6437</v>
      </c>
      <c r="S350" s="59" t="s">
        <v>6432</v>
      </c>
      <c r="T350" s="59" t="s">
        <v>6451</v>
      </c>
      <c r="U350" s="59" t="s">
        <v>7096</v>
      </c>
      <c r="V350" s="59" t="s">
        <v>6434</v>
      </c>
      <c r="W350" s="59" t="s">
        <v>7099</v>
      </c>
      <c r="X350" s="59"/>
    </row>
    <row r="351" spans="1:24" ht="17.25" x14ac:dyDescent="0.3">
      <c r="A351" s="59"/>
      <c r="B351" s="59" t="s">
        <v>6453</v>
      </c>
      <c r="C351" s="59"/>
      <c r="D351" s="59"/>
      <c r="E351" s="59"/>
      <c r="F351" s="59"/>
      <c r="G351" s="59"/>
      <c r="H351" s="59" t="s">
        <v>7221</v>
      </c>
      <c r="I351" s="59"/>
      <c r="J351" s="59"/>
      <c r="K351" s="59"/>
      <c r="L351" s="59"/>
      <c r="M351" s="59"/>
      <c r="N351" s="59"/>
      <c r="O351" s="59"/>
      <c r="P351" s="59" t="s">
        <v>6454</v>
      </c>
      <c r="Q351" s="59"/>
      <c r="R351" s="59" t="s">
        <v>6443</v>
      </c>
      <c r="S351" s="59" t="s">
        <v>6438</v>
      </c>
      <c r="T351" s="59" t="s">
        <v>6457</v>
      </c>
      <c r="U351" s="59" t="s">
        <v>7220</v>
      </c>
      <c r="V351" s="59" t="s">
        <v>6440</v>
      </c>
      <c r="W351" s="59" t="s">
        <v>7100</v>
      </c>
      <c r="X351" s="59"/>
    </row>
    <row r="352" spans="1:24" ht="17.25" x14ac:dyDescent="0.3">
      <c r="A352" s="59"/>
      <c r="B352" s="59" t="s">
        <v>6459</v>
      </c>
      <c r="C352" s="59"/>
      <c r="D352" s="59"/>
      <c r="E352" s="59"/>
      <c r="F352" s="59"/>
      <c r="G352" s="59"/>
      <c r="H352" s="59" t="s">
        <v>7222</v>
      </c>
      <c r="I352" s="59"/>
      <c r="J352" s="59"/>
      <c r="K352" s="59"/>
      <c r="L352" s="59"/>
      <c r="M352" s="59"/>
      <c r="N352" s="59"/>
      <c r="O352" s="59"/>
      <c r="P352" s="59" t="s">
        <v>6460</v>
      </c>
      <c r="Q352" s="59"/>
      <c r="R352" s="59" t="s">
        <v>6449</v>
      </c>
      <c r="S352" s="59" t="s">
        <v>6444</v>
      </c>
      <c r="T352" s="59" t="s">
        <v>6463</v>
      </c>
      <c r="U352" s="59" t="s">
        <v>7277</v>
      </c>
      <c r="V352" s="59" t="s">
        <v>6446</v>
      </c>
      <c r="W352" s="59" t="s">
        <v>7101</v>
      </c>
      <c r="X352" s="59"/>
    </row>
    <row r="353" spans="1:24" ht="17.25" x14ac:dyDescent="0.3">
      <c r="A353" s="59"/>
      <c r="B353" s="59" t="s">
        <v>6465</v>
      </c>
      <c r="C353" s="59"/>
      <c r="D353" s="59"/>
      <c r="E353" s="59"/>
      <c r="F353" s="59"/>
      <c r="G353" s="59"/>
      <c r="H353" s="59" t="s">
        <v>7278</v>
      </c>
      <c r="I353" s="59"/>
      <c r="J353" s="59"/>
      <c r="K353" s="59"/>
      <c r="L353" s="59"/>
      <c r="M353" s="59"/>
      <c r="N353" s="59"/>
      <c r="O353" s="59"/>
      <c r="P353" s="59" t="s">
        <v>6466</v>
      </c>
      <c r="Q353" s="59"/>
      <c r="R353" s="59" t="s">
        <v>6455</v>
      </c>
      <c r="S353" s="59" t="s">
        <v>6450</v>
      </c>
      <c r="T353" s="59" t="s">
        <v>6469</v>
      </c>
      <c r="U353" s="59" t="s">
        <v>7279</v>
      </c>
      <c r="V353" s="59" t="s">
        <v>6452</v>
      </c>
      <c r="W353" s="59" t="s">
        <v>7102</v>
      </c>
      <c r="X353" s="59"/>
    </row>
    <row r="354" spans="1:24" ht="17.25" x14ac:dyDescent="0.3">
      <c r="A354" s="59"/>
      <c r="B354" s="59" t="s">
        <v>6471</v>
      </c>
      <c r="C354" s="59"/>
      <c r="D354" s="59"/>
      <c r="E354" s="59"/>
      <c r="F354" s="59"/>
      <c r="G354" s="59"/>
      <c r="H354" s="59" t="s">
        <v>7280</v>
      </c>
      <c r="I354" s="59"/>
      <c r="J354" s="59"/>
      <c r="K354" s="59"/>
      <c r="L354" s="59"/>
      <c r="M354" s="59"/>
      <c r="N354" s="59"/>
      <c r="O354" s="59"/>
      <c r="P354" s="59" t="s">
        <v>6472</v>
      </c>
      <c r="Q354" s="59"/>
      <c r="R354" s="59" t="s">
        <v>6461</v>
      </c>
      <c r="S354" s="59" t="s">
        <v>6456</v>
      </c>
      <c r="T354" s="59" t="s">
        <v>6475</v>
      </c>
      <c r="U354" s="59" t="s">
        <v>7281</v>
      </c>
      <c r="V354" s="59" t="s">
        <v>6458</v>
      </c>
      <c r="W354" s="59" t="s">
        <v>7103</v>
      </c>
      <c r="X354" s="59"/>
    </row>
    <row r="355" spans="1:24" ht="17.25" x14ac:dyDescent="0.3">
      <c r="A355" s="59"/>
      <c r="B355" s="59" t="s">
        <v>6477</v>
      </c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 t="s">
        <v>6478</v>
      </c>
      <c r="Q355" s="59"/>
      <c r="R355" s="59" t="s">
        <v>6467</v>
      </c>
      <c r="S355" s="59" t="s">
        <v>6462</v>
      </c>
      <c r="T355" s="59" t="s">
        <v>6481</v>
      </c>
      <c r="U355" s="59"/>
      <c r="V355" s="59" t="s">
        <v>6464</v>
      </c>
      <c r="W355" s="59" t="s">
        <v>7104</v>
      </c>
      <c r="X355" s="59"/>
    </row>
    <row r="356" spans="1:24" ht="17.25" x14ac:dyDescent="0.3">
      <c r="A356" s="59"/>
      <c r="B356" s="59" t="s">
        <v>6483</v>
      </c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 t="s">
        <v>6484</v>
      </c>
      <c r="Q356" s="59"/>
      <c r="R356" s="59" t="s">
        <v>6473</v>
      </c>
      <c r="S356" s="59" t="s">
        <v>6468</v>
      </c>
      <c r="T356" s="59" t="s">
        <v>6487</v>
      </c>
      <c r="U356" s="59"/>
      <c r="V356" s="59" t="s">
        <v>6470</v>
      </c>
      <c r="W356" s="59" t="s">
        <v>7105</v>
      </c>
      <c r="X356" s="59"/>
    </row>
    <row r="357" spans="1:24" ht="17.25" x14ac:dyDescent="0.3">
      <c r="A357" s="59"/>
      <c r="B357" s="59" t="s">
        <v>6489</v>
      </c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 t="s">
        <v>6490</v>
      </c>
      <c r="Q357" s="59"/>
      <c r="R357" s="59" t="s">
        <v>6479</v>
      </c>
      <c r="S357" s="59" t="s">
        <v>6474</v>
      </c>
      <c r="T357" s="59" t="s">
        <v>6493</v>
      </c>
      <c r="U357" s="59"/>
      <c r="V357" s="59" t="s">
        <v>6476</v>
      </c>
      <c r="W357" s="59" t="s">
        <v>7106</v>
      </c>
      <c r="X357" s="59"/>
    </row>
    <row r="358" spans="1:24" ht="17.25" x14ac:dyDescent="0.3">
      <c r="A358" s="59"/>
      <c r="B358" s="59" t="s">
        <v>6495</v>
      </c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 t="s">
        <v>6496</v>
      </c>
      <c r="Q358" s="59"/>
      <c r="R358" s="59" t="s">
        <v>6485</v>
      </c>
      <c r="S358" s="59" t="s">
        <v>6480</v>
      </c>
      <c r="T358" s="59" t="s">
        <v>6499</v>
      </c>
      <c r="U358" s="59"/>
      <c r="V358" s="59" t="s">
        <v>6482</v>
      </c>
      <c r="W358" s="59" t="s">
        <v>7223</v>
      </c>
      <c r="X358" s="59"/>
    </row>
    <row r="359" spans="1:24" ht="17.25" x14ac:dyDescent="0.3">
      <c r="A359" s="59"/>
      <c r="B359" s="59" t="s">
        <v>6501</v>
      </c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 t="s">
        <v>6502</v>
      </c>
      <c r="Q359" s="59"/>
      <c r="R359" s="59" t="s">
        <v>6491</v>
      </c>
      <c r="S359" s="59" t="s">
        <v>6486</v>
      </c>
      <c r="T359" s="59" t="s">
        <v>6505</v>
      </c>
      <c r="U359" s="59"/>
      <c r="V359" s="59" t="s">
        <v>6488</v>
      </c>
      <c r="W359" s="59" t="s">
        <v>7224</v>
      </c>
      <c r="X359" s="59"/>
    </row>
    <row r="360" spans="1:24" ht="17.25" x14ac:dyDescent="0.3">
      <c r="A360" s="59"/>
      <c r="B360" s="59" t="s">
        <v>6513</v>
      </c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 t="s">
        <v>6508</v>
      </c>
      <c r="Q360" s="59"/>
      <c r="R360" s="59" t="s">
        <v>6497</v>
      </c>
      <c r="S360" s="59" t="s">
        <v>6492</v>
      </c>
      <c r="T360" s="59" t="s">
        <v>6511</v>
      </c>
      <c r="U360" s="59"/>
      <c r="V360" s="59" t="s">
        <v>6494</v>
      </c>
      <c r="W360" s="59" t="s">
        <v>7225</v>
      </c>
      <c r="X360" s="59"/>
    </row>
    <row r="361" spans="1:24" ht="17.25" x14ac:dyDescent="0.3">
      <c r="A361" s="59"/>
      <c r="B361" s="59" t="s">
        <v>6519</v>
      </c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 t="s">
        <v>6514</v>
      </c>
      <c r="Q361" s="59"/>
      <c r="R361" s="59" t="s">
        <v>6503</v>
      </c>
      <c r="S361" s="59" t="s">
        <v>6498</v>
      </c>
      <c r="T361" s="59" t="s">
        <v>6517</v>
      </c>
      <c r="U361" s="59"/>
      <c r="V361" s="59" t="s">
        <v>6500</v>
      </c>
      <c r="W361" s="59" t="s">
        <v>7226</v>
      </c>
      <c r="X361" s="59"/>
    </row>
    <row r="362" spans="1:24" ht="17.25" x14ac:dyDescent="0.3">
      <c r="A362" s="59"/>
      <c r="B362" s="59" t="s">
        <v>6525</v>
      </c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 t="s">
        <v>6520</v>
      </c>
      <c r="Q362" s="59"/>
      <c r="R362" s="59" t="s">
        <v>6509</v>
      </c>
      <c r="S362" s="59" t="s">
        <v>6504</v>
      </c>
      <c r="T362" s="59" t="s">
        <v>6523</v>
      </c>
      <c r="U362" s="59"/>
      <c r="V362" s="59" t="s">
        <v>6506</v>
      </c>
      <c r="W362" s="59" t="s">
        <v>7227</v>
      </c>
      <c r="X362" s="59"/>
    </row>
    <row r="363" spans="1:24" ht="17.25" x14ac:dyDescent="0.3">
      <c r="A363" s="59"/>
      <c r="B363" s="59" t="s">
        <v>6529</v>
      </c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 t="s">
        <v>6526</v>
      </c>
      <c r="Q363" s="59"/>
      <c r="R363" s="59" t="s">
        <v>6515</v>
      </c>
      <c r="S363" s="59" t="s">
        <v>6510</v>
      </c>
      <c r="T363" s="59" t="s">
        <v>6528</v>
      </c>
      <c r="U363" s="59"/>
      <c r="V363" s="59" t="s">
        <v>6512</v>
      </c>
      <c r="W363" s="59" t="s">
        <v>7282</v>
      </c>
      <c r="X363" s="59"/>
    </row>
    <row r="364" spans="1:24" ht="17.25" x14ac:dyDescent="0.3">
      <c r="A364" s="59"/>
      <c r="B364" s="59" t="s">
        <v>6534</v>
      </c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 t="s">
        <v>6530</v>
      </c>
      <c r="Q364" s="59"/>
      <c r="R364" s="59" t="s">
        <v>6521</v>
      </c>
      <c r="S364" s="59" t="s">
        <v>6516</v>
      </c>
      <c r="T364" s="59" t="s">
        <v>6533</v>
      </c>
      <c r="U364" s="59"/>
      <c r="V364" s="59" t="s">
        <v>6518</v>
      </c>
      <c r="W364" s="59" t="s">
        <v>7283</v>
      </c>
      <c r="X364" s="59"/>
    </row>
    <row r="365" spans="1:24" ht="17.25" x14ac:dyDescent="0.3">
      <c r="A365" s="59"/>
      <c r="B365" s="59" t="s">
        <v>6539</v>
      </c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 t="s">
        <v>6535</v>
      </c>
      <c r="Q365" s="59"/>
      <c r="R365" s="59" t="s">
        <v>6531</v>
      </c>
      <c r="S365" s="59" t="s">
        <v>6522</v>
      </c>
      <c r="T365" s="59" t="s">
        <v>6538</v>
      </c>
      <c r="U365" s="59"/>
      <c r="V365" s="59" t="s">
        <v>6524</v>
      </c>
      <c r="W365" s="59" t="s">
        <v>7284</v>
      </c>
      <c r="X365" s="59"/>
    </row>
    <row r="366" spans="1:24" ht="17.25" x14ac:dyDescent="0.3">
      <c r="A366" s="59"/>
      <c r="B366" s="59" t="s">
        <v>6544</v>
      </c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 t="s">
        <v>6540</v>
      </c>
      <c r="Q366" s="59"/>
      <c r="R366" s="59" t="s">
        <v>6536</v>
      </c>
      <c r="S366" s="59" t="s">
        <v>6527</v>
      </c>
      <c r="T366" s="59" t="s">
        <v>6543</v>
      </c>
      <c r="U366" s="59"/>
      <c r="V366" s="59" t="s">
        <v>7107</v>
      </c>
      <c r="W366" s="59"/>
      <c r="X366" s="59"/>
    </row>
    <row r="367" spans="1:24" ht="17.25" x14ac:dyDescent="0.3">
      <c r="A367" s="59"/>
      <c r="B367" s="59" t="s">
        <v>6549</v>
      </c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 t="s">
        <v>6545</v>
      </c>
      <c r="Q367" s="59"/>
      <c r="R367" s="59" t="s">
        <v>6541</v>
      </c>
      <c r="S367" s="59" t="s">
        <v>6532</v>
      </c>
      <c r="T367" s="59" t="s">
        <v>6548</v>
      </c>
      <c r="U367" s="59"/>
      <c r="V367" s="59" t="s">
        <v>7108</v>
      </c>
      <c r="W367" s="59"/>
      <c r="X367" s="59"/>
    </row>
    <row r="368" spans="1:24" ht="17.25" x14ac:dyDescent="0.3">
      <c r="A368" s="59"/>
      <c r="B368" s="59" t="s">
        <v>6554</v>
      </c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 t="s">
        <v>6550</v>
      </c>
      <c r="Q368" s="59"/>
      <c r="R368" s="59" t="s">
        <v>6546</v>
      </c>
      <c r="S368" s="59" t="s">
        <v>6537</v>
      </c>
      <c r="T368" s="59" t="s">
        <v>6553</v>
      </c>
      <c r="U368" s="59"/>
      <c r="V368" s="59" t="s">
        <v>7109</v>
      </c>
      <c r="W368" s="59"/>
      <c r="X368" s="59"/>
    </row>
    <row r="369" spans="1:24" ht="17.25" x14ac:dyDescent="0.3">
      <c r="A369" s="59"/>
      <c r="B369" s="59" t="s">
        <v>7114</v>
      </c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 t="s">
        <v>7110</v>
      </c>
      <c r="Q369" s="59"/>
      <c r="R369" s="59" t="s">
        <v>6551</v>
      </c>
      <c r="S369" s="59" t="s">
        <v>6542</v>
      </c>
      <c r="T369" s="59" t="s">
        <v>6557</v>
      </c>
      <c r="U369" s="59"/>
      <c r="V369" s="59" t="s">
        <v>7111</v>
      </c>
      <c r="W369" s="59"/>
      <c r="X369" s="59"/>
    </row>
    <row r="370" spans="1:24" ht="17.25" x14ac:dyDescent="0.3">
      <c r="A370" s="59"/>
      <c r="B370" s="59" t="s">
        <v>7117</v>
      </c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 t="s">
        <v>7112</v>
      </c>
      <c r="Q370" s="59"/>
      <c r="R370" s="59" t="s">
        <v>6555</v>
      </c>
      <c r="S370" s="59" t="s">
        <v>6547</v>
      </c>
      <c r="T370" s="59" t="s">
        <v>6560</v>
      </c>
      <c r="U370" s="59"/>
      <c r="V370" s="59" t="s">
        <v>7113</v>
      </c>
      <c r="W370" s="59"/>
      <c r="X370" s="59"/>
    </row>
    <row r="371" spans="1:24" ht="17.25" x14ac:dyDescent="0.3">
      <c r="A371" s="59"/>
      <c r="B371" s="59" t="s">
        <v>7120</v>
      </c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 t="s">
        <v>7115</v>
      </c>
      <c r="Q371" s="59"/>
      <c r="R371" s="59" t="s">
        <v>6558</v>
      </c>
      <c r="S371" s="59" t="s">
        <v>6552</v>
      </c>
      <c r="T371" s="59" t="s">
        <v>6563</v>
      </c>
      <c r="U371" s="59"/>
      <c r="V371" s="59" t="s">
        <v>7116</v>
      </c>
      <c r="W371" s="59"/>
      <c r="X371" s="59"/>
    </row>
    <row r="372" spans="1:24" ht="17.25" x14ac:dyDescent="0.3">
      <c r="A372" s="59"/>
      <c r="B372" s="59" t="s">
        <v>7123</v>
      </c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 t="s">
        <v>7118</v>
      </c>
      <c r="Q372" s="59"/>
      <c r="R372" s="59" t="s">
        <v>6561</v>
      </c>
      <c r="S372" s="59" t="s">
        <v>6556</v>
      </c>
      <c r="T372" s="59" t="s">
        <v>6566</v>
      </c>
      <c r="U372" s="59"/>
      <c r="V372" s="59" t="s">
        <v>7119</v>
      </c>
      <c r="W372" s="59"/>
      <c r="X372" s="59"/>
    </row>
    <row r="373" spans="1:24" ht="17.25" x14ac:dyDescent="0.3">
      <c r="A373" s="59"/>
      <c r="B373" s="59" t="s">
        <v>7126</v>
      </c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 t="s">
        <v>7121</v>
      </c>
      <c r="Q373" s="59"/>
      <c r="R373" s="59" t="s">
        <v>6564</v>
      </c>
      <c r="S373" s="59" t="s">
        <v>6559</v>
      </c>
      <c r="T373" s="59" t="s">
        <v>6569</v>
      </c>
      <c r="U373" s="59"/>
      <c r="V373" s="59" t="s">
        <v>7122</v>
      </c>
      <c r="W373" s="59"/>
      <c r="X373" s="59"/>
    </row>
    <row r="374" spans="1:24" ht="17.25" x14ac:dyDescent="0.3">
      <c r="A374" s="59"/>
      <c r="B374" s="59" t="s">
        <v>7129</v>
      </c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 t="s">
        <v>7124</v>
      </c>
      <c r="Q374" s="59"/>
      <c r="R374" s="59" t="s">
        <v>6567</v>
      </c>
      <c r="S374" s="59" t="s">
        <v>6562</v>
      </c>
      <c r="T374" s="59" t="s">
        <v>6572</v>
      </c>
      <c r="U374" s="59"/>
      <c r="V374" s="59" t="s">
        <v>7125</v>
      </c>
      <c r="W374" s="59"/>
      <c r="X374" s="59"/>
    </row>
    <row r="375" spans="1:24" ht="17.25" x14ac:dyDescent="0.3">
      <c r="A375" s="59"/>
      <c r="B375" s="59" t="s">
        <v>7132</v>
      </c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 t="s">
        <v>7127</v>
      </c>
      <c r="Q375" s="59"/>
      <c r="R375" s="59" t="s">
        <v>6570</v>
      </c>
      <c r="S375" s="59" t="s">
        <v>6565</v>
      </c>
      <c r="T375" s="59" t="s">
        <v>6575</v>
      </c>
      <c r="U375" s="59"/>
      <c r="V375" s="59" t="s">
        <v>7128</v>
      </c>
      <c r="W375" s="59"/>
      <c r="X375" s="59"/>
    </row>
    <row r="376" spans="1:24" ht="17.25" x14ac:dyDescent="0.3">
      <c r="A376" s="59"/>
      <c r="B376" s="59" t="s">
        <v>7133</v>
      </c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 t="s">
        <v>7130</v>
      </c>
      <c r="Q376" s="59"/>
      <c r="R376" s="59" t="s">
        <v>6573</v>
      </c>
      <c r="S376" s="59" t="s">
        <v>6568</v>
      </c>
      <c r="T376" s="59" t="s">
        <v>6578</v>
      </c>
      <c r="U376" s="59"/>
      <c r="V376" s="59" t="s">
        <v>7131</v>
      </c>
      <c r="W376" s="59"/>
      <c r="X376" s="59"/>
    </row>
    <row r="377" spans="1:24" ht="17.25" x14ac:dyDescent="0.3">
      <c r="A377" s="59"/>
      <c r="B377" s="59" t="s">
        <v>3149</v>
      </c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 t="s">
        <v>2846</v>
      </c>
      <c r="Q377" s="59"/>
      <c r="R377" s="59" t="s">
        <v>6576</v>
      </c>
      <c r="S377" s="59" t="s">
        <v>6571</v>
      </c>
      <c r="T377" s="59" t="s">
        <v>6581</v>
      </c>
      <c r="U377" s="59"/>
      <c r="V377" s="59" t="s">
        <v>7285</v>
      </c>
      <c r="W377" s="59"/>
      <c r="X377" s="59"/>
    </row>
    <row r="378" spans="1:24" ht="17.25" x14ac:dyDescent="0.3">
      <c r="A378" s="59"/>
      <c r="B378" s="59" t="s">
        <v>7136</v>
      </c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 t="s">
        <v>7134</v>
      </c>
      <c r="Q378" s="59"/>
      <c r="R378" s="59" t="s">
        <v>6579</v>
      </c>
      <c r="S378" s="59" t="s">
        <v>6574</v>
      </c>
      <c r="T378" s="59" t="s">
        <v>6584</v>
      </c>
      <c r="U378" s="59"/>
      <c r="V378" s="59" t="s">
        <v>7286</v>
      </c>
      <c r="W378" s="59"/>
      <c r="X378" s="59"/>
    </row>
    <row r="379" spans="1:24" ht="17.25" x14ac:dyDescent="0.3">
      <c r="A379" s="59"/>
      <c r="B379" s="59" t="s">
        <v>7138</v>
      </c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 t="s">
        <v>7135</v>
      </c>
      <c r="Q379" s="59"/>
      <c r="R379" s="59" t="s">
        <v>6582</v>
      </c>
      <c r="S379" s="59" t="s">
        <v>6577</v>
      </c>
      <c r="T379" s="59" t="s">
        <v>6587</v>
      </c>
      <c r="U379" s="59"/>
      <c r="V379" s="59" t="s">
        <v>7287</v>
      </c>
      <c r="W379" s="59"/>
      <c r="X379" s="59"/>
    </row>
    <row r="380" spans="1:24" ht="17.25" x14ac:dyDescent="0.3">
      <c r="A380" s="59"/>
      <c r="B380" s="59" t="s">
        <v>7140</v>
      </c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 t="s">
        <v>7137</v>
      </c>
      <c r="Q380" s="59"/>
      <c r="R380" s="59" t="s">
        <v>6585</v>
      </c>
      <c r="S380" s="59" t="s">
        <v>6580</v>
      </c>
      <c r="T380" s="59" t="s">
        <v>6590</v>
      </c>
      <c r="U380" s="59"/>
      <c r="V380" s="59" t="s">
        <v>7288</v>
      </c>
      <c r="W380" s="59"/>
      <c r="X380" s="59"/>
    </row>
    <row r="381" spans="1:24" ht="17.25" x14ac:dyDescent="0.3">
      <c r="A381" s="59"/>
      <c r="B381" s="59" t="s">
        <v>7142</v>
      </c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 t="s">
        <v>7139</v>
      </c>
      <c r="Q381" s="59"/>
      <c r="R381" s="59" t="s">
        <v>6588</v>
      </c>
      <c r="S381" s="59" t="s">
        <v>6583</v>
      </c>
      <c r="T381" s="59" t="s">
        <v>6593</v>
      </c>
      <c r="U381" s="59"/>
      <c r="V381" s="59" t="s">
        <v>7289</v>
      </c>
      <c r="W381" s="59"/>
      <c r="X381" s="59"/>
    </row>
    <row r="382" spans="1:24" ht="17.25" x14ac:dyDescent="0.3">
      <c r="A382" s="59"/>
      <c r="B382" s="59" t="s">
        <v>7290</v>
      </c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 t="s">
        <v>7141</v>
      </c>
      <c r="Q382" s="59"/>
      <c r="R382" s="59" t="s">
        <v>6591</v>
      </c>
      <c r="S382" s="59" t="s">
        <v>6586</v>
      </c>
      <c r="T382" s="59" t="s">
        <v>6596</v>
      </c>
      <c r="U382" s="59"/>
      <c r="V382" s="59"/>
      <c r="W382" s="59"/>
      <c r="X382" s="59"/>
    </row>
    <row r="383" spans="1:24" ht="17.25" x14ac:dyDescent="0.3">
      <c r="A383" s="59"/>
      <c r="B383" s="59" t="s">
        <v>7291</v>
      </c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 t="s">
        <v>7143</v>
      </c>
      <c r="Q383" s="59"/>
      <c r="R383" s="59" t="s">
        <v>6594</v>
      </c>
      <c r="S383" s="59" t="s">
        <v>6589</v>
      </c>
      <c r="T383" s="59" t="s">
        <v>6599</v>
      </c>
      <c r="U383" s="59"/>
      <c r="V383" s="59"/>
      <c r="W383" s="59"/>
      <c r="X383" s="59"/>
    </row>
    <row r="384" spans="1:24" ht="17.25" x14ac:dyDescent="0.3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 t="s">
        <v>7228</v>
      </c>
      <c r="Q384" s="59"/>
      <c r="R384" s="59" t="s">
        <v>6597</v>
      </c>
      <c r="S384" s="59" t="s">
        <v>6592</v>
      </c>
      <c r="T384" s="59" t="s">
        <v>6602</v>
      </c>
      <c r="U384" s="59"/>
      <c r="V384" s="59"/>
      <c r="W384" s="59"/>
      <c r="X384" s="59"/>
    </row>
    <row r="385" spans="1:24" ht="17.25" x14ac:dyDescent="0.3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 t="s">
        <v>7292</v>
      </c>
      <c r="Q385" s="59"/>
      <c r="R385" s="59" t="s">
        <v>6600</v>
      </c>
      <c r="S385" s="59" t="s">
        <v>6595</v>
      </c>
      <c r="T385" s="59" t="s">
        <v>6605</v>
      </c>
      <c r="U385" s="59"/>
      <c r="V385" s="59"/>
      <c r="W385" s="59"/>
      <c r="X385" s="59"/>
    </row>
    <row r="386" spans="1:24" ht="17.25" x14ac:dyDescent="0.3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 t="s">
        <v>7293</v>
      </c>
      <c r="Q386" s="59"/>
      <c r="R386" s="59" t="s">
        <v>6603</v>
      </c>
      <c r="S386" s="59" t="s">
        <v>6598</v>
      </c>
      <c r="T386" s="59" t="s">
        <v>6608</v>
      </c>
      <c r="U386" s="59"/>
      <c r="V386" s="59"/>
      <c r="W386" s="59"/>
      <c r="X386" s="59"/>
    </row>
    <row r="387" spans="1:24" ht="17.25" x14ac:dyDescent="0.3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 t="s">
        <v>7294</v>
      </c>
      <c r="Q387" s="59"/>
      <c r="R387" s="59" t="s">
        <v>6606</v>
      </c>
      <c r="S387" s="59" t="s">
        <v>6601</v>
      </c>
      <c r="T387" s="59" t="s">
        <v>6611</v>
      </c>
      <c r="U387" s="59"/>
      <c r="V387" s="59"/>
      <c r="W387" s="59"/>
      <c r="X387" s="59"/>
    </row>
    <row r="388" spans="1:24" ht="17.25" x14ac:dyDescent="0.3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 t="s">
        <v>6609</v>
      </c>
      <c r="S388" s="59" t="s">
        <v>6604</v>
      </c>
      <c r="T388" s="59" t="s">
        <v>6614</v>
      </c>
      <c r="U388" s="59"/>
      <c r="V388" s="59"/>
      <c r="W388" s="59"/>
      <c r="X388" s="59"/>
    </row>
    <row r="389" spans="1:24" ht="17.25" x14ac:dyDescent="0.3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 t="s">
        <v>6612</v>
      </c>
      <c r="S389" s="59" t="s">
        <v>6607</v>
      </c>
      <c r="T389" s="59" t="s">
        <v>6617</v>
      </c>
      <c r="U389" s="59"/>
      <c r="V389" s="59"/>
      <c r="W389" s="59"/>
      <c r="X389" s="59"/>
    </row>
    <row r="390" spans="1:24" ht="17.25" x14ac:dyDescent="0.3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 t="s">
        <v>6615</v>
      </c>
      <c r="S390" s="59" t="s">
        <v>6610</v>
      </c>
      <c r="T390" s="59" t="s">
        <v>6620</v>
      </c>
      <c r="U390" s="59"/>
      <c r="V390" s="59"/>
      <c r="W390" s="59"/>
      <c r="X390" s="59"/>
    </row>
    <row r="391" spans="1:24" ht="17.25" x14ac:dyDescent="0.3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 t="s">
        <v>6618</v>
      </c>
      <c r="S391" s="59" t="s">
        <v>6613</v>
      </c>
      <c r="T391" s="59" t="s">
        <v>6623</v>
      </c>
      <c r="U391" s="59"/>
      <c r="V391" s="59"/>
      <c r="W391" s="59"/>
      <c r="X391" s="59"/>
    </row>
    <row r="392" spans="1:24" ht="17.25" x14ac:dyDescent="0.3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 t="s">
        <v>6621</v>
      </c>
      <c r="S392" s="59" t="s">
        <v>6616</v>
      </c>
      <c r="T392" s="59" t="s">
        <v>6626</v>
      </c>
      <c r="U392" s="59"/>
      <c r="V392" s="59"/>
      <c r="W392" s="59"/>
      <c r="X392" s="59"/>
    </row>
    <row r="393" spans="1:24" ht="17.25" x14ac:dyDescent="0.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 t="s">
        <v>6624</v>
      </c>
      <c r="S393" s="59" t="s">
        <v>6619</v>
      </c>
      <c r="T393" s="59" t="s">
        <v>6629</v>
      </c>
      <c r="U393" s="59"/>
      <c r="V393" s="59"/>
      <c r="W393" s="59"/>
      <c r="X393" s="59"/>
    </row>
    <row r="394" spans="1:24" ht="17.25" x14ac:dyDescent="0.3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 t="s">
        <v>6627</v>
      </c>
      <c r="S394" s="59" t="s">
        <v>6622</v>
      </c>
      <c r="T394" s="59" t="s">
        <v>6632</v>
      </c>
      <c r="U394" s="59"/>
      <c r="V394" s="59"/>
      <c r="W394" s="59"/>
      <c r="X394" s="59"/>
    </row>
    <row r="395" spans="1:24" ht="17.25" x14ac:dyDescent="0.3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 t="s">
        <v>6630</v>
      </c>
      <c r="S395" s="59" t="s">
        <v>6625</v>
      </c>
      <c r="T395" s="59" t="s">
        <v>6635</v>
      </c>
      <c r="U395" s="59"/>
      <c r="V395" s="59"/>
      <c r="W395" s="59"/>
      <c r="X395" s="59"/>
    </row>
    <row r="396" spans="1:24" ht="17.25" x14ac:dyDescent="0.3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 t="s">
        <v>6633</v>
      </c>
      <c r="S396" s="59" t="s">
        <v>6628</v>
      </c>
      <c r="T396" s="59" t="s">
        <v>6638</v>
      </c>
      <c r="U396" s="59"/>
      <c r="V396" s="59"/>
      <c r="W396" s="59"/>
      <c r="X396" s="59"/>
    </row>
    <row r="397" spans="1:24" ht="17.25" x14ac:dyDescent="0.3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 t="s">
        <v>6636</v>
      </c>
      <c r="S397" s="59" t="s">
        <v>6631</v>
      </c>
      <c r="T397" s="59" t="s">
        <v>6641</v>
      </c>
      <c r="U397" s="59"/>
      <c r="V397" s="59"/>
      <c r="W397" s="59"/>
      <c r="X397" s="59"/>
    </row>
    <row r="398" spans="1:24" ht="17.25" x14ac:dyDescent="0.3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 t="s">
        <v>6639</v>
      </c>
      <c r="S398" s="59" t="s">
        <v>6634</v>
      </c>
      <c r="T398" s="59" t="s">
        <v>6644</v>
      </c>
      <c r="U398" s="59"/>
      <c r="V398" s="59"/>
      <c r="W398" s="59"/>
      <c r="X398" s="59"/>
    </row>
    <row r="399" spans="1:24" ht="17.25" x14ac:dyDescent="0.3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 t="s">
        <v>6642</v>
      </c>
      <c r="S399" s="59" t="s">
        <v>6637</v>
      </c>
      <c r="T399" s="59" t="s">
        <v>6647</v>
      </c>
      <c r="U399" s="59"/>
      <c r="V399" s="59"/>
      <c r="W399" s="59"/>
      <c r="X399" s="59"/>
    </row>
    <row r="400" spans="1:24" ht="17.25" x14ac:dyDescent="0.3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 t="s">
        <v>6645</v>
      </c>
      <c r="S400" s="59" t="s">
        <v>6640</v>
      </c>
      <c r="T400" s="59" t="s">
        <v>6650</v>
      </c>
      <c r="U400" s="59"/>
      <c r="V400" s="59"/>
      <c r="W400" s="59"/>
      <c r="X400" s="59"/>
    </row>
    <row r="401" spans="1:24" ht="17.25" x14ac:dyDescent="0.3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 t="s">
        <v>6648</v>
      </c>
      <c r="S401" s="59" t="s">
        <v>6643</v>
      </c>
      <c r="T401" s="59" t="s">
        <v>6653</v>
      </c>
      <c r="U401" s="59"/>
      <c r="V401" s="59"/>
      <c r="W401" s="59"/>
      <c r="X401" s="59"/>
    </row>
    <row r="402" spans="1:24" ht="17.25" x14ac:dyDescent="0.3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 t="s">
        <v>6651</v>
      </c>
      <c r="S402" s="59" t="s">
        <v>6646</v>
      </c>
      <c r="T402" s="59" t="s">
        <v>6656</v>
      </c>
      <c r="U402" s="59"/>
      <c r="V402" s="59"/>
      <c r="W402" s="59"/>
      <c r="X402" s="59"/>
    </row>
    <row r="403" spans="1:24" ht="17.25" x14ac:dyDescent="0.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 t="s">
        <v>6654</v>
      </c>
      <c r="S403" s="59" t="s">
        <v>6649</v>
      </c>
      <c r="T403" s="59" t="s">
        <v>6659</v>
      </c>
      <c r="U403" s="59"/>
      <c r="V403" s="59"/>
      <c r="W403" s="59"/>
      <c r="X403" s="59"/>
    </row>
    <row r="404" spans="1:24" ht="17.25" x14ac:dyDescent="0.3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 t="s">
        <v>6657</v>
      </c>
      <c r="S404" s="59" t="s">
        <v>6652</v>
      </c>
      <c r="T404" s="59" t="s">
        <v>6662</v>
      </c>
      <c r="U404" s="59"/>
      <c r="V404" s="59"/>
      <c r="W404" s="59"/>
      <c r="X404" s="59"/>
    </row>
    <row r="405" spans="1:24" ht="17.25" x14ac:dyDescent="0.3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 t="s">
        <v>6660</v>
      </c>
      <c r="S405" s="59" t="s">
        <v>6655</v>
      </c>
      <c r="T405" s="59" t="s">
        <v>6665</v>
      </c>
      <c r="U405" s="59"/>
      <c r="V405" s="59"/>
      <c r="W405" s="59"/>
      <c r="X405" s="59"/>
    </row>
    <row r="406" spans="1:24" ht="17.25" x14ac:dyDescent="0.3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 t="s">
        <v>6663</v>
      </c>
      <c r="S406" s="59" t="s">
        <v>6658</v>
      </c>
      <c r="T406" s="59" t="s">
        <v>6668</v>
      </c>
      <c r="U406" s="59"/>
      <c r="V406" s="59"/>
      <c r="W406" s="59"/>
      <c r="X406" s="59"/>
    </row>
    <row r="407" spans="1:24" ht="17.25" x14ac:dyDescent="0.3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 t="s">
        <v>6666</v>
      </c>
      <c r="S407" s="59" t="s">
        <v>6661</v>
      </c>
      <c r="T407" s="59" t="s">
        <v>6671</v>
      </c>
      <c r="U407" s="59"/>
      <c r="V407" s="59"/>
      <c r="W407" s="59"/>
      <c r="X407" s="59"/>
    </row>
    <row r="408" spans="1:24" ht="17.25" x14ac:dyDescent="0.3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 t="s">
        <v>6669</v>
      </c>
      <c r="S408" s="59" t="s">
        <v>6664</v>
      </c>
      <c r="T408" s="59" t="s">
        <v>6674</v>
      </c>
      <c r="U408" s="59"/>
      <c r="V408" s="59"/>
      <c r="W408" s="59"/>
      <c r="X408" s="59"/>
    </row>
    <row r="409" spans="1:24" ht="17.25" x14ac:dyDescent="0.3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 t="s">
        <v>6672</v>
      </c>
      <c r="S409" s="59" t="s">
        <v>6667</v>
      </c>
      <c r="T409" s="59" t="s">
        <v>6677</v>
      </c>
      <c r="U409" s="59"/>
      <c r="V409" s="59"/>
      <c r="W409" s="59"/>
      <c r="X409" s="59"/>
    </row>
    <row r="410" spans="1:24" ht="17.25" x14ac:dyDescent="0.3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 t="s">
        <v>6675</v>
      </c>
      <c r="S410" s="59" t="s">
        <v>6670</v>
      </c>
      <c r="T410" s="59" t="s">
        <v>6680</v>
      </c>
      <c r="U410" s="59"/>
      <c r="V410" s="59"/>
      <c r="W410" s="59"/>
      <c r="X410" s="59"/>
    </row>
    <row r="411" spans="1:24" ht="17.25" x14ac:dyDescent="0.3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 t="s">
        <v>6678</v>
      </c>
      <c r="S411" s="59" t="s">
        <v>6673</v>
      </c>
      <c r="T411" s="59" t="s">
        <v>6683</v>
      </c>
      <c r="U411" s="59"/>
      <c r="V411" s="59"/>
      <c r="W411" s="59"/>
      <c r="X411" s="59"/>
    </row>
    <row r="412" spans="1:24" ht="17.25" x14ac:dyDescent="0.3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 t="s">
        <v>6681</v>
      </c>
      <c r="S412" s="59" t="s">
        <v>6676</v>
      </c>
      <c r="T412" s="59" t="s">
        <v>6686</v>
      </c>
      <c r="U412" s="59"/>
      <c r="V412" s="59"/>
      <c r="W412" s="59"/>
      <c r="X412" s="59"/>
    </row>
    <row r="413" spans="1:24" ht="17.25" x14ac:dyDescent="0.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 t="s">
        <v>6684</v>
      </c>
      <c r="S413" s="59" t="s">
        <v>6679</v>
      </c>
      <c r="T413" s="59" t="s">
        <v>6689</v>
      </c>
      <c r="U413" s="59"/>
      <c r="V413" s="59"/>
      <c r="W413" s="59"/>
      <c r="X413" s="59"/>
    </row>
    <row r="414" spans="1:24" ht="17.25" x14ac:dyDescent="0.3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 t="s">
        <v>6687</v>
      </c>
      <c r="S414" s="59" t="s">
        <v>6682</v>
      </c>
      <c r="T414" s="59" t="s">
        <v>6692</v>
      </c>
      <c r="U414" s="59"/>
      <c r="V414" s="59"/>
      <c r="W414" s="59"/>
      <c r="X414" s="59"/>
    </row>
    <row r="415" spans="1:24" ht="17.25" x14ac:dyDescent="0.3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 t="s">
        <v>6690</v>
      </c>
      <c r="S415" s="59" t="s">
        <v>6685</v>
      </c>
      <c r="T415" s="59" t="s">
        <v>6695</v>
      </c>
      <c r="U415" s="59"/>
      <c r="V415" s="59"/>
      <c r="W415" s="59"/>
      <c r="X415" s="59"/>
    </row>
    <row r="416" spans="1:24" ht="17.25" x14ac:dyDescent="0.3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 t="s">
        <v>6693</v>
      </c>
      <c r="S416" s="59" t="s">
        <v>6688</v>
      </c>
      <c r="T416" s="59" t="s">
        <v>6698</v>
      </c>
      <c r="U416" s="59"/>
      <c r="V416" s="59"/>
      <c r="W416" s="59"/>
      <c r="X416" s="59"/>
    </row>
    <row r="417" spans="1:24" ht="17.25" x14ac:dyDescent="0.3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 t="s">
        <v>6696</v>
      </c>
      <c r="S417" s="59" t="s">
        <v>6691</v>
      </c>
      <c r="T417" s="59" t="s">
        <v>6701</v>
      </c>
      <c r="U417" s="59"/>
      <c r="V417" s="59"/>
      <c r="W417" s="59"/>
      <c r="X417" s="59"/>
    </row>
    <row r="418" spans="1:24" ht="17.25" x14ac:dyDescent="0.3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 t="s">
        <v>6699</v>
      </c>
      <c r="S418" s="59" t="s">
        <v>6694</v>
      </c>
      <c r="T418" s="59" t="s">
        <v>6704</v>
      </c>
      <c r="U418" s="59"/>
      <c r="V418" s="59"/>
      <c r="W418" s="59"/>
      <c r="X418" s="59"/>
    </row>
    <row r="419" spans="1:24" ht="17.25" x14ac:dyDescent="0.3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 t="s">
        <v>6702</v>
      </c>
      <c r="S419" s="59" t="s">
        <v>6697</v>
      </c>
      <c r="T419" s="59" t="s">
        <v>6707</v>
      </c>
      <c r="U419" s="59"/>
      <c r="V419" s="59"/>
      <c r="W419" s="59"/>
      <c r="X419" s="59"/>
    </row>
    <row r="420" spans="1:24" ht="17.25" x14ac:dyDescent="0.3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 t="s">
        <v>6705</v>
      </c>
      <c r="S420" s="59" t="s">
        <v>6700</v>
      </c>
      <c r="T420" s="59" t="s">
        <v>6710</v>
      </c>
      <c r="U420" s="59"/>
      <c r="V420" s="59"/>
      <c r="W420" s="59"/>
      <c r="X420" s="59"/>
    </row>
    <row r="421" spans="1:24" ht="17.25" x14ac:dyDescent="0.3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 t="s">
        <v>6708</v>
      </c>
      <c r="S421" s="59" t="s">
        <v>6703</v>
      </c>
      <c r="T421" s="59" t="s">
        <v>6713</v>
      </c>
      <c r="U421" s="59"/>
      <c r="V421" s="59"/>
      <c r="W421" s="59"/>
      <c r="X421" s="59"/>
    </row>
    <row r="422" spans="1:24" ht="17.25" x14ac:dyDescent="0.3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 t="s">
        <v>6711</v>
      </c>
      <c r="S422" s="59" t="s">
        <v>6706</v>
      </c>
      <c r="T422" s="59" t="s">
        <v>6716</v>
      </c>
      <c r="U422" s="59"/>
      <c r="V422" s="59"/>
      <c r="W422" s="59"/>
      <c r="X422" s="59"/>
    </row>
    <row r="423" spans="1:24" ht="17.25" x14ac:dyDescent="0.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 t="s">
        <v>6714</v>
      </c>
      <c r="S423" s="59" t="s">
        <v>6709</v>
      </c>
      <c r="T423" s="59" t="s">
        <v>6719</v>
      </c>
      <c r="U423" s="59"/>
      <c r="V423" s="59"/>
      <c r="W423" s="59"/>
      <c r="X423" s="59"/>
    </row>
    <row r="424" spans="1:24" ht="17.25" x14ac:dyDescent="0.3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 t="s">
        <v>6717</v>
      </c>
      <c r="S424" s="59" t="s">
        <v>6712</v>
      </c>
      <c r="T424" s="59" t="s">
        <v>6722</v>
      </c>
      <c r="U424" s="59"/>
      <c r="V424" s="59"/>
      <c r="W424" s="59"/>
      <c r="X424" s="59"/>
    </row>
    <row r="425" spans="1:24" ht="17.25" x14ac:dyDescent="0.3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 t="s">
        <v>6720</v>
      </c>
      <c r="S425" s="59" t="s">
        <v>6715</v>
      </c>
      <c r="T425" s="59" t="s">
        <v>6725</v>
      </c>
      <c r="U425" s="59"/>
      <c r="V425" s="59"/>
      <c r="W425" s="59"/>
      <c r="X425" s="59"/>
    </row>
    <row r="426" spans="1:24" ht="17.25" x14ac:dyDescent="0.3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 t="s">
        <v>6723</v>
      </c>
      <c r="S426" s="59" t="s">
        <v>6718</v>
      </c>
      <c r="T426" s="59" t="s">
        <v>6728</v>
      </c>
      <c r="U426" s="59"/>
      <c r="V426" s="59"/>
      <c r="W426" s="59"/>
      <c r="X426" s="59"/>
    </row>
    <row r="427" spans="1:24" ht="17.25" x14ac:dyDescent="0.3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 t="s">
        <v>6726</v>
      </c>
      <c r="S427" s="59" t="s">
        <v>6721</v>
      </c>
      <c r="T427" s="59" t="s">
        <v>6731</v>
      </c>
      <c r="U427" s="59"/>
      <c r="V427" s="59"/>
      <c r="W427" s="59"/>
      <c r="X427" s="59"/>
    </row>
    <row r="428" spans="1:24" ht="17.25" x14ac:dyDescent="0.3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 t="s">
        <v>6729</v>
      </c>
      <c r="S428" s="59" t="s">
        <v>6724</v>
      </c>
      <c r="T428" s="59" t="s">
        <v>6734</v>
      </c>
      <c r="U428" s="59"/>
      <c r="V428" s="59"/>
      <c r="W428" s="59"/>
      <c r="X428" s="59"/>
    </row>
    <row r="429" spans="1:24" ht="17.25" x14ac:dyDescent="0.3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 t="s">
        <v>6732</v>
      </c>
      <c r="S429" s="59" t="s">
        <v>6727</v>
      </c>
      <c r="T429" s="59" t="s">
        <v>6737</v>
      </c>
      <c r="U429" s="59"/>
      <c r="V429" s="59"/>
      <c r="W429" s="59"/>
      <c r="X429" s="59"/>
    </row>
    <row r="430" spans="1:24" ht="17.25" x14ac:dyDescent="0.3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 t="s">
        <v>6735</v>
      </c>
      <c r="S430" s="59" t="s">
        <v>6730</v>
      </c>
      <c r="T430" s="59" t="s">
        <v>6740</v>
      </c>
      <c r="U430" s="59"/>
      <c r="V430" s="59"/>
      <c r="W430" s="59"/>
      <c r="X430" s="59"/>
    </row>
    <row r="431" spans="1:24" ht="17.25" x14ac:dyDescent="0.3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 t="s">
        <v>6738</v>
      </c>
      <c r="S431" s="59" t="s">
        <v>6733</v>
      </c>
      <c r="T431" s="59" t="s">
        <v>6743</v>
      </c>
      <c r="U431" s="59"/>
      <c r="V431" s="59"/>
      <c r="W431" s="59"/>
      <c r="X431" s="59"/>
    </row>
    <row r="432" spans="1:24" ht="17.25" x14ac:dyDescent="0.3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 t="s">
        <v>6741</v>
      </c>
      <c r="S432" s="59" t="s">
        <v>6736</v>
      </c>
      <c r="T432" s="59" t="s">
        <v>6746</v>
      </c>
      <c r="U432" s="59"/>
      <c r="V432" s="59"/>
      <c r="W432" s="59"/>
      <c r="X432" s="59"/>
    </row>
    <row r="433" spans="1:24" ht="17.25" x14ac:dyDescent="0.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 t="s">
        <v>6744</v>
      </c>
      <c r="S433" s="59" t="s">
        <v>6739</v>
      </c>
      <c r="T433" s="59" t="s">
        <v>6749</v>
      </c>
      <c r="U433" s="59"/>
      <c r="V433" s="59"/>
      <c r="W433" s="59"/>
      <c r="X433" s="59"/>
    </row>
    <row r="434" spans="1:24" ht="17.25" x14ac:dyDescent="0.3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 t="s">
        <v>6747</v>
      </c>
      <c r="S434" s="59" t="s">
        <v>6742</v>
      </c>
      <c r="T434" s="59" t="s">
        <v>6752</v>
      </c>
      <c r="U434" s="59"/>
      <c r="V434" s="59"/>
      <c r="W434" s="59"/>
      <c r="X434" s="59"/>
    </row>
    <row r="435" spans="1:24" ht="17.25" x14ac:dyDescent="0.3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 t="s">
        <v>6750</v>
      </c>
      <c r="S435" s="59" t="s">
        <v>6745</v>
      </c>
      <c r="T435" s="59" t="s">
        <v>6755</v>
      </c>
      <c r="U435" s="59"/>
      <c r="V435" s="59"/>
      <c r="W435" s="59"/>
      <c r="X435" s="59"/>
    </row>
    <row r="436" spans="1:24" ht="17.25" x14ac:dyDescent="0.3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 t="s">
        <v>6753</v>
      </c>
      <c r="S436" s="59" t="s">
        <v>6748</v>
      </c>
      <c r="T436" s="59" t="s">
        <v>6758</v>
      </c>
      <c r="U436" s="59"/>
      <c r="V436" s="59"/>
      <c r="W436" s="59"/>
      <c r="X436" s="59"/>
    </row>
    <row r="437" spans="1:24" ht="17.25" x14ac:dyDescent="0.3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 t="s">
        <v>6756</v>
      </c>
      <c r="S437" s="59" t="s">
        <v>6751</v>
      </c>
      <c r="T437" s="59" t="s">
        <v>6761</v>
      </c>
      <c r="U437" s="59"/>
      <c r="V437" s="59"/>
      <c r="W437" s="59"/>
      <c r="X437" s="59"/>
    </row>
    <row r="438" spans="1:24" ht="17.25" x14ac:dyDescent="0.3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 t="s">
        <v>6759</v>
      </c>
      <c r="S438" s="59" t="s">
        <v>6754</v>
      </c>
      <c r="T438" s="59" t="s">
        <v>6764</v>
      </c>
      <c r="U438" s="59"/>
      <c r="V438" s="59"/>
      <c r="W438" s="59"/>
      <c r="X438" s="59"/>
    </row>
    <row r="439" spans="1:24" ht="17.25" x14ac:dyDescent="0.3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 t="s">
        <v>6762</v>
      </c>
      <c r="S439" s="59" t="s">
        <v>6757</v>
      </c>
      <c r="T439" s="59" t="s">
        <v>6767</v>
      </c>
      <c r="U439" s="59"/>
      <c r="V439" s="59"/>
      <c r="W439" s="59"/>
      <c r="X439" s="59"/>
    </row>
    <row r="440" spans="1:24" ht="17.25" x14ac:dyDescent="0.3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 t="s">
        <v>6765</v>
      </c>
      <c r="S440" s="59" t="s">
        <v>6760</v>
      </c>
      <c r="T440" s="59" t="s">
        <v>6770</v>
      </c>
      <c r="U440" s="59"/>
      <c r="V440" s="59"/>
      <c r="W440" s="59"/>
      <c r="X440" s="59"/>
    </row>
    <row r="441" spans="1:24" ht="17.25" x14ac:dyDescent="0.3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 t="s">
        <v>6768</v>
      </c>
      <c r="S441" s="59" t="s">
        <v>6763</v>
      </c>
      <c r="T441" s="59" t="s">
        <v>6773</v>
      </c>
      <c r="U441" s="59"/>
      <c r="V441" s="59"/>
      <c r="W441" s="59"/>
      <c r="X441" s="59"/>
    </row>
    <row r="442" spans="1:24" ht="17.25" x14ac:dyDescent="0.3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 t="s">
        <v>6771</v>
      </c>
      <c r="S442" s="59" t="s">
        <v>6766</v>
      </c>
      <c r="T442" s="59" t="s">
        <v>6776</v>
      </c>
      <c r="U442" s="59"/>
      <c r="V442" s="59"/>
      <c r="W442" s="59"/>
      <c r="X442" s="59"/>
    </row>
    <row r="443" spans="1:24" ht="17.25" x14ac:dyDescent="0.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 t="s">
        <v>6774</v>
      </c>
      <c r="S443" s="59" t="s">
        <v>6769</v>
      </c>
      <c r="T443" s="59" t="s">
        <v>6779</v>
      </c>
      <c r="U443" s="59"/>
      <c r="V443" s="59"/>
      <c r="W443" s="59"/>
      <c r="X443" s="59"/>
    </row>
    <row r="444" spans="1:24" ht="17.25" x14ac:dyDescent="0.3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 t="s">
        <v>6777</v>
      </c>
      <c r="S444" s="59" t="s">
        <v>6772</v>
      </c>
      <c r="T444" s="59" t="s">
        <v>6782</v>
      </c>
      <c r="U444" s="59"/>
      <c r="V444" s="59"/>
      <c r="W444" s="59"/>
      <c r="X444" s="59"/>
    </row>
    <row r="445" spans="1:24" ht="17.25" x14ac:dyDescent="0.3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 t="s">
        <v>6780</v>
      </c>
      <c r="S445" s="59" t="s">
        <v>6775</v>
      </c>
      <c r="T445" s="59" t="s">
        <v>6785</v>
      </c>
      <c r="U445" s="59"/>
      <c r="V445" s="59"/>
      <c r="W445" s="59"/>
      <c r="X445" s="59"/>
    </row>
    <row r="446" spans="1:24" ht="17.25" x14ac:dyDescent="0.3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 t="s">
        <v>6783</v>
      </c>
      <c r="S446" s="59" t="s">
        <v>6778</v>
      </c>
      <c r="T446" s="59" t="s">
        <v>6788</v>
      </c>
      <c r="U446" s="59"/>
      <c r="V446" s="59"/>
      <c r="W446" s="59"/>
      <c r="X446" s="59"/>
    </row>
    <row r="447" spans="1:24" ht="17.25" x14ac:dyDescent="0.3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 t="s">
        <v>6786</v>
      </c>
      <c r="S447" s="59" t="s">
        <v>6781</v>
      </c>
      <c r="T447" s="59" t="s">
        <v>6791</v>
      </c>
      <c r="U447" s="59"/>
      <c r="V447" s="59"/>
      <c r="W447" s="59"/>
      <c r="X447" s="59"/>
    </row>
    <row r="448" spans="1:24" ht="17.25" x14ac:dyDescent="0.3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 t="s">
        <v>6789</v>
      </c>
      <c r="S448" s="59" t="s">
        <v>6784</v>
      </c>
      <c r="T448" s="59" t="s">
        <v>6794</v>
      </c>
      <c r="U448" s="59"/>
      <c r="V448" s="59"/>
      <c r="W448" s="59"/>
      <c r="X448" s="59"/>
    </row>
    <row r="449" spans="1:24" ht="17.25" x14ac:dyDescent="0.3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 t="s">
        <v>6792</v>
      </c>
      <c r="S449" s="59" t="s">
        <v>6787</v>
      </c>
      <c r="T449" s="59" t="s">
        <v>6797</v>
      </c>
      <c r="U449" s="59"/>
      <c r="V449" s="59"/>
      <c r="W449" s="59"/>
      <c r="X449" s="59"/>
    </row>
    <row r="450" spans="1:24" ht="17.25" x14ac:dyDescent="0.3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 t="s">
        <v>6795</v>
      </c>
      <c r="S450" s="59" t="s">
        <v>6790</v>
      </c>
      <c r="T450" s="59" t="s">
        <v>6800</v>
      </c>
      <c r="U450" s="59"/>
      <c r="V450" s="59"/>
      <c r="W450" s="59"/>
      <c r="X450" s="59"/>
    </row>
    <row r="451" spans="1:24" ht="17.25" x14ac:dyDescent="0.3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 t="s">
        <v>6798</v>
      </c>
      <c r="S451" s="59" t="s">
        <v>6793</v>
      </c>
      <c r="T451" s="59" t="s">
        <v>6803</v>
      </c>
      <c r="U451" s="59"/>
      <c r="V451" s="59"/>
      <c r="W451" s="59"/>
      <c r="X451" s="59"/>
    </row>
    <row r="452" spans="1:24" ht="17.25" x14ac:dyDescent="0.3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 t="s">
        <v>6801</v>
      </c>
      <c r="S452" s="59" t="s">
        <v>6796</v>
      </c>
      <c r="T452" s="59" t="s">
        <v>6806</v>
      </c>
      <c r="U452" s="59"/>
      <c r="V452" s="59"/>
      <c r="W452" s="59"/>
      <c r="X452" s="59"/>
    </row>
    <row r="453" spans="1:24" ht="17.25" x14ac:dyDescent="0.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 t="s">
        <v>6804</v>
      </c>
      <c r="S453" s="59" t="s">
        <v>6799</v>
      </c>
      <c r="T453" s="59" t="s">
        <v>6809</v>
      </c>
      <c r="U453" s="59"/>
      <c r="V453" s="59"/>
      <c r="W453" s="59"/>
      <c r="X453" s="59"/>
    </row>
    <row r="454" spans="1:24" ht="17.25" x14ac:dyDescent="0.3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 t="s">
        <v>6807</v>
      </c>
      <c r="S454" s="59" t="s">
        <v>6802</v>
      </c>
      <c r="T454" s="59" t="s">
        <v>6812</v>
      </c>
      <c r="U454" s="59"/>
      <c r="V454" s="59"/>
      <c r="W454" s="59"/>
      <c r="X454" s="59"/>
    </row>
    <row r="455" spans="1:24" ht="17.25" x14ac:dyDescent="0.3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 t="s">
        <v>6810</v>
      </c>
      <c r="S455" s="59" t="s">
        <v>6805</v>
      </c>
      <c r="T455" s="59" t="s">
        <v>6815</v>
      </c>
      <c r="U455" s="59"/>
      <c r="V455" s="59"/>
      <c r="W455" s="59"/>
      <c r="X455" s="59"/>
    </row>
    <row r="456" spans="1:24" ht="17.25" x14ac:dyDescent="0.3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 t="s">
        <v>6813</v>
      </c>
      <c r="S456" s="59" t="s">
        <v>6808</v>
      </c>
      <c r="T456" s="59" t="s">
        <v>6818</v>
      </c>
      <c r="U456" s="59"/>
      <c r="V456" s="59"/>
      <c r="W456" s="59"/>
      <c r="X456" s="59"/>
    </row>
    <row r="457" spans="1:24" ht="17.25" x14ac:dyDescent="0.3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 t="s">
        <v>6816</v>
      </c>
      <c r="S457" s="59" t="s">
        <v>6811</v>
      </c>
      <c r="T457" s="59" t="s">
        <v>6821</v>
      </c>
      <c r="U457" s="59"/>
      <c r="V457" s="59"/>
      <c r="W457" s="59"/>
      <c r="X457" s="59"/>
    </row>
    <row r="458" spans="1:24" ht="17.25" x14ac:dyDescent="0.3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 t="s">
        <v>6819</v>
      </c>
      <c r="S458" s="59" t="s">
        <v>6814</v>
      </c>
      <c r="T458" s="59" t="s">
        <v>6824</v>
      </c>
      <c r="U458" s="59"/>
      <c r="V458" s="59"/>
      <c r="W458" s="59"/>
      <c r="X458" s="59"/>
    </row>
    <row r="459" spans="1:24" ht="17.25" x14ac:dyDescent="0.3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 t="s">
        <v>6822</v>
      </c>
      <c r="S459" s="59" t="s">
        <v>6817</v>
      </c>
      <c r="T459" s="59" t="s">
        <v>6827</v>
      </c>
      <c r="U459" s="59"/>
      <c r="V459" s="59"/>
      <c r="W459" s="59"/>
      <c r="X459" s="59"/>
    </row>
    <row r="460" spans="1:24" ht="17.25" x14ac:dyDescent="0.3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 t="s">
        <v>6825</v>
      </c>
      <c r="S460" s="59" t="s">
        <v>6820</v>
      </c>
      <c r="T460" s="59" t="s">
        <v>6830</v>
      </c>
      <c r="U460" s="59"/>
      <c r="V460" s="59"/>
      <c r="W460" s="59"/>
      <c r="X460" s="59"/>
    </row>
    <row r="461" spans="1:24" ht="17.25" x14ac:dyDescent="0.3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 t="s">
        <v>6828</v>
      </c>
      <c r="S461" s="59" t="s">
        <v>6823</v>
      </c>
      <c r="T461" s="59" t="s">
        <v>6833</v>
      </c>
      <c r="U461" s="59"/>
      <c r="V461" s="59"/>
      <c r="W461" s="59"/>
      <c r="X461" s="59"/>
    </row>
    <row r="462" spans="1:24" ht="17.25" x14ac:dyDescent="0.3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 t="s">
        <v>6831</v>
      </c>
      <c r="S462" s="59" t="s">
        <v>6826</v>
      </c>
      <c r="T462" s="59" t="s">
        <v>6836</v>
      </c>
      <c r="U462" s="59"/>
      <c r="V462" s="59"/>
      <c r="W462" s="59"/>
      <c r="X462" s="59"/>
    </row>
    <row r="463" spans="1:24" ht="17.25" x14ac:dyDescent="0.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 t="s">
        <v>6834</v>
      </c>
      <c r="S463" s="59" t="s">
        <v>6829</v>
      </c>
      <c r="T463" s="59" t="s">
        <v>6839</v>
      </c>
      <c r="U463" s="59"/>
      <c r="V463" s="59"/>
      <c r="W463" s="59"/>
      <c r="X463" s="59"/>
    </row>
    <row r="464" spans="1:24" ht="17.25" x14ac:dyDescent="0.3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 t="s">
        <v>6837</v>
      </c>
      <c r="S464" s="59" t="s">
        <v>6832</v>
      </c>
      <c r="T464" s="59" t="s">
        <v>6842</v>
      </c>
      <c r="U464" s="59"/>
      <c r="V464" s="59"/>
      <c r="W464" s="59"/>
      <c r="X464" s="59"/>
    </row>
    <row r="465" spans="1:24" ht="17.25" x14ac:dyDescent="0.3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 t="s">
        <v>6840</v>
      </c>
      <c r="S465" s="59" t="s">
        <v>6835</v>
      </c>
      <c r="T465" s="59" t="s">
        <v>6845</v>
      </c>
      <c r="U465" s="59"/>
      <c r="V465" s="59"/>
      <c r="W465" s="59"/>
      <c r="X465" s="59"/>
    </row>
    <row r="466" spans="1:24" ht="17.25" x14ac:dyDescent="0.3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 t="s">
        <v>6843</v>
      </c>
      <c r="S466" s="59" t="s">
        <v>6838</v>
      </c>
      <c r="T466" s="59" t="s">
        <v>6848</v>
      </c>
      <c r="U466" s="59"/>
      <c r="V466" s="59"/>
      <c r="W466" s="59"/>
      <c r="X466" s="59"/>
    </row>
    <row r="467" spans="1:24" ht="17.25" x14ac:dyDescent="0.3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 t="s">
        <v>6846</v>
      </c>
      <c r="S467" s="59" t="s">
        <v>6841</v>
      </c>
      <c r="T467" s="59" t="s">
        <v>6851</v>
      </c>
      <c r="U467" s="59"/>
      <c r="V467" s="59"/>
      <c r="W467" s="59"/>
      <c r="X467" s="59"/>
    </row>
    <row r="468" spans="1:24" ht="17.25" x14ac:dyDescent="0.3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 t="s">
        <v>6849</v>
      </c>
      <c r="S468" s="59" t="s">
        <v>6844</v>
      </c>
      <c r="T468" s="59" t="s">
        <v>6854</v>
      </c>
      <c r="U468" s="59"/>
      <c r="V468" s="59"/>
      <c r="W468" s="59"/>
      <c r="X468" s="59"/>
    </row>
    <row r="469" spans="1:24" ht="17.25" x14ac:dyDescent="0.3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 t="s">
        <v>6852</v>
      </c>
      <c r="S469" s="59" t="s">
        <v>6847</v>
      </c>
      <c r="T469" s="59" t="s">
        <v>6857</v>
      </c>
      <c r="U469" s="59"/>
      <c r="V469" s="59"/>
      <c r="W469" s="59"/>
      <c r="X469" s="59"/>
    </row>
    <row r="470" spans="1:24" ht="17.25" x14ac:dyDescent="0.3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 t="s">
        <v>6855</v>
      </c>
      <c r="S470" s="59" t="s">
        <v>6850</v>
      </c>
      <c r="T470" s="59" t="s">
        <v>6860</v>
      </c>
      <c r="U470" s="59"/>
      <c r="V470" s="59"/>
      <c r="W470" s="59"/>
      <c r="X470" s="59"/>
    </row>
    <row r="471" spans="1:24" ht="17.25" x14ac:dyDescent="0.3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 t="s">
        <v>6858</v>
      </c>
      <c r="S471" s="59" t="s">
        <v>6853</v>
      </c>
      <c r="T471" s="59" t="s">
        <v>6863</v>
      </c>
      <c r="U471" s="59"/>
      <c r="V471" s="59"/>
      <c r="W471" s="59"/>
      <c r="X471" s="59"/>
    </row>
    <row r="472" spans="1:24" ht="17.25" x14ac:dyDescent="0.3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 t="s">
        <v>6861</v>
      </c>
      <c r="S472" s="59" t="s">
        <v>6856</v>
      </c>
      <c r="T472" s="59" t="s">
        <v>6866</v>
      </c>
      <c r="U472" s="59"/>
      <c r="V472" s="59"/>
      <c r="W472" s="59"/>
      <c r="X472" s="59"/>
    </row>
    <row r="473" spans="1:24" ht="17.25" x14ac:dyDescent="0.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 t="s">
        <v>6864</v>
      </c>
      <c r="S473" s="59" t="s">
        <v>6859</v>
      </c>
      <c r="T473" s="59" t="s">
        <v>6869</v>
      </c>
      <c r="U473" s="59"/>
      <c r="V473" s="59"/>
      <c r="W473" s="59"/>
      <c r="X473" s="59"/>
    </row>
    <row r="474" spans="1:24" ht="17.25" x14ac:dyDescent="0.3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 t="s">
        <v>6867</v>
      </c>
      <c r="S474" s="59" t="s">
        <v>6862</v>
      </c>
      <c r="T474" s="59" t="s">
        <v>6872</v>
      </c>
      <c r="U474" s="59"/>
      <c r="V474" s="59"/>
      <c r="W474" s="59"/>
      <c r="X474" s="59"/>
    </row>
    <row r="475" spans="1:24" ht="17.25" x14ac:dyDescent="0.3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 t="s">
        <v>6870</v>
      </c>
      <c r="S475" s="59" t="s">
        <v>6865</v>
      </c>
      <c r="T475" s="59" t="s">
        <v>6875</v>
      </c>
      <c r="U475" s="59"/>
      <c r="V475" s="59"/>
      <c r="W475" s="59"/>
      <c r="X475" s="59"/>
    </row>
    <row r="476" spans="1:24" ht="17.25" x14ac:dyDescent="0.3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 t="s">
        <v>6873</v>
      </c>
      <c r="S476" s="59" t="s">
        <v>6868</v>
      </c>
      <c r="T476" s="59" t="s">
        <v>6878</v>
      </c>
      <c r="U476" s="59"/>
      <c r="V476" s="59"/>
      <c r="W476" s="59"/>
      <c r="X476" s="59"/>
    </row>
    <row r="477" spans="1:24" ht="17.25" x14ac:dyDescent="0.3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 t="s">
        <v>6876</v>
      </c>
      <c r="S477" s="59" t="s">
        <v>6871</v>
      </c>
      <c r="T477" s="59" t="s">
        <v>6881</v>
      </c>
      <c r="U477" s="59"/>
      <c r="V477" s="59"/>
      <c r="W477" s="59"/>
      <c r="X477" s="59"/>
    </row>
    <row r="478" spans="1:24" ht="17.25" x14ac:dyDescent="0.3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 t="s">
        <v>6879</v>
      </c>
      <c r="S478" s="59" t="s">
        <v>6874</v>
      </c>
      <c r="T478" s="59" t="s">
        <v>6884</v>
      </c>
      <c r="U478" s="59"/>
      <c r="V478" s="59"/>
      <c r="W478" s="59"/>
      <c r="X478" s="59"/>
    </row>
    <row r="479" spans="1:24" ht="17.25" x14ac:dyDescent="0.3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 t="s">
        <v>6882</v>
      </c>
      <c r="S479" s="59" t="s">
        <v>6877</v>
      </c>
      <c r="T479" s="59" t="s">
        <v>6887</v>
      </c>
      <c r="U479" s="59"/>
      <c r="V479" s="59"/>
      <c r="W479" s="59"/>
      <c r="X479" s="59"/>
    </row>
    <row r="480" spans="1:24" ht="17.25" x14ac:dyDescent="0.3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 t="s">
        <v>6885</v>
      </c>
      <c r="S480" s="59" t="s">
        <v>6880</v>
      </c>
      <c r="T480" s="59" t="s">
        <v>6890</v>
      </c>
      <c r="U480" s="59"/>
      <c r="V480" s="59"/>
      <c r="W480" s="59"/>
      <c r="X480" s="59"/>
    </row>
    <row r="481" spans="1:24" ht="17.25" x14ac:dyDescent="0.3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 t="s">
        <v>6888</v>
      </c>
      <c r="S481" s="59" t="s">
        <v>6883</v>
      </c>
      <c r="T481" s="59" t="s">
        <v>6893</v>
      </c>
      <c r="U481" s="59"/>
      <c r="V481" s="59"/>
      <c r="W481" s="59"/>
      <c r="X481" s="59"/>
    </row>
    <row r="482" spans="1:24" ht="17.25" x14ac:dyDescent="0.3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 t="s">
        <v>6891</v>
      </c>
      <c r="S482" s="59" t="s">
        <v>6886</v>
      </c>
      <c r="T482" s="59" t="s">
        <v>6895</v>
      </c>
      <c r="U482" s="59"/>
      <c r="V482" s="59"/>
      <c r="W482" s="59"/>
      <c r="X482" s="59"/>
    </row>
    <row r="483" spans="1:24" ht="17.25" x14ac:dyDescent="0.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 t="s">
        <v>6894</v>
      </c>
      <c r="S483" s="59" t="s">
        <v>6889</v>
      </c>
      <c r="T483" s="59" t="s">
        <v>6897</v>
      </c>
      <c r="U483" s="59"/>
      <c r="V483" s="59"/>
      <c r="W483" s="59"/>
      <c r="X483" s="59"/>
    </row>
    <row r="484" spans="1:24" ht="17.25" x14ac:dyDescent="0.3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 t="s">
        <v>6896</v>
      </c>
      <c r="S484" s="59" t="s">
        <v>6892</v>
      </c>
      <c r="T484" s="59" t="s">
        <v>6899</v>
      </c>
      <c r="U484" s="59"/>
      <c r="V484" s="59"/>
      <c r="W484" s="59"/>
      <c r="X484" s="59"/>
    </row>
    <row r="485" spans="1:24" ht="17.25" x14ac:dyDescent="0.3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 t="s">
        <v>6898</v>
      </c>
      <c r="S485" s="59" t="s">
        <v>7144</v>
      </c>
      <c r="T485" s="59" t="s">
        <v>6901</v>
      </c>
      <c r="U485" s="59"/>
      <c r="V485" s="59"/>
      <c r="W485" s="59"/>
      <c r="X485" s="59"/>
    </row>
    <row r="486" spans="1:24" ht="17.25" x14ac:dyDescent="0.3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 t="s">
        <v>6900</v>
      </c>
      <c r="S486" s="59" t="s">
        <v>7145</v>
      </c>
      <c r="T486" s="59" t="s">
        <v>6903</v>
      </c>
      <c r="U486" s="59"/>
      <c r="V486" s="59"/>
      <c r="W486" s="59"/>
      <c r="X486" s="59"/>
    </row>
    <row r="487" spans="1:24" ht="17.25" x14ac:dyDescent="0.3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 t="s">
        <v>6902</v>
      </c>
      <c r="S487" s="59" t="s">
        <v>7146</v>
      </c>
      <c r="T487" s="59" t="s">
        <v>6905</v>
      </c>
      <c r="U487" s="59"/>
      <c r="V487" s="59"/>
      <c r="W487" s="59"/>
      <c r="X487" s="59"/>
    </row>
    <row r="488" spans="1:24" ht="17.25" x14ac:dyDescent="0.3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 t="s">
        <v>6904</v>
      </c>
      <c r="S488" s="59" t="s">
        <v>7147</v>
      </c>
      <c r="T488" s="59" t="s">
        <v>6907</v>
      </c>
      <c r="U488" s="59"/>
      <c r="V488" s="59"/>
      <c r="W488" s="59"/>
      <c r="X488" s="59"/>
    </row>
    <row r="489" spans="1:24" ht="17.25" x14ac:dyDescent="0.3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 t="s">
        <v>6906</v>
      </c>
      <c r="S489" s="59" t="s">
        <v>7148</v>
      </c>
      <c r="T489" s="59" t="s">
        <v>6909</v>
      </c>
      <c r="U489" s="59"/>
      <c r="V489" s="59"/>
      <c r="W489" s="59"/>
      <c r="X489" s="59"/>
    </row>
    <row r="490" spans="1:24" ht="17.25" x14ac:dyDescent="0.3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 t="s">
        <v>6908</v>
      </c>
      <c r="S490" s="59" t="s">
        <v>7149</v>
      </c>
      <c r="T490" s="59" t="s">
        <v>6911</v>
      </c>
      <c r="U490" s="59"/>
      <c r="V490" s="59"/>
      <c r="W490" s="59"/>
      <c r="X490" s="59"/>
    </row>
    <row r="491" spans="1:24" ht="17.25" x14ac:dyDescent="0.3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 t="s">
        <v>6910</v>
      </c>
      <c r="S491" s="59" t="s">
        <v>7150</v>
      </c>
      <c r="T491" s="59" t="s">
        <v>6913</v>
      </c>
      <c r="U491" s="59"/>
      <c r="V491" s="59"/>
      <c r="W491" s="59"/>
      <c r="X491" s="59"/>
    </row>
    <row r="492" spans="1:24" ht="17.25" x14ac:dyDescent="0.3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 t="s">
        <v>6912</v>
      </c>
      <c r="S492" s="59" t="s">
        <v>2815</v>
      </c>
      <c r="T492" s="59" t="s">
        <v>7152</v>
      </c>
      <c r="U492" s="59"/>
      <c r="V492" s="59"/>
      <c r="W492" s="59"/>
      <c r="X492" s="59"/>
    </row>
    <row r="493" spans="1:24" ht="17.25" x14ac:dyDescent="0.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 t="s">
        <v>6914</v>
      </c>
      <c r="S493" s="59" t="s">
        <v>7151</v>
      </c>
      <c r="T493" s="59" t="s">
        <v>7154</v>
      </c>
      <c r="U493" s="59"/>
      <c r="V493" s="59"/>
      <c r="W493" s="59"/>
      <c r="X493" s="59"/>
    </row>
    <row r="494" spans="1:24" ht="17.25" x14ac:dyDescent="0.3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 t="s">
        <v>6915</v>
      </c>
      <c r="S494" s="59" t="s">
        <v>7153</v>
      </c>
      <c r="T494" s="59" t="s">
        <v>7156</v>
      </c>
      <c r="U494" s="59"/>
      <c r="V494" s="59"/>
      <c r="W494" s="59"/>
      <c r="X494" s="59"/>
    </row>
    <row r="495" spans="1:24" ht="17.25" x14ac:dyDescent="0.3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 t="s">
        <v>6916</v>
      </c>
      <c r="S495" s="59" t="s">
        <v>7155</v>
      </c>
      <c r="T495" s="59" t="s">
        <v>7158</v>
      </c>
      <c r="U495" s="59"/>
      <c r="V495" s="59"/>
      <c r="W495" s="59"/>
      <c r="X495" s="59"/>
    </row>
    <row r="496" spans="1:24" ht="17.25" x14ac:dyDescent="0.3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 t="s">
        <v>6917</v>
      </c>
      <c r="S496" s="59" t="s">
        <v>7157</v>
      </c>
      <c r="T496" s="59" t="s">
        <v>7160</v>
      </c>
      <c r="U496" s="59"/>
      <c r="V496" s="59"/>
      <c r="W496" s="59"/>
      <c r="X496" s="59"/>
    </row>
    <row r="497" spans="1:24" ht="17.25" x14ac:dyDescent="0.3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 t="s">
        <v>6918</v>
      </c>
      <c r="S497" s="59" t="s">
        <v>7159</v>
      </c>
      <c r="T497" s="59" t="s">
        <v>7162</v>
      </c>
      <c r="U497" s="59"/>
      <c r="V497" s="59"/>
      <c r="W497" s="59"/>
      <c r="X497" s="59"/>
    </row>
    <row r="498" spans="1:24" ht="17.25" x14ac:dyDescent="0.3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 t="s">
        <v>6919</v>
      </c>
      <c r="S498" s="59" t="s">
        <v>7161</v>
      </c>
      <c r="T498" s="59" t="s">
        <v>7163</v>
      </c>
      <c r="U498" s="59"/>
      <c r="V498" s="59"/>
      <c r="W498" s="59"/>
      <c r="X498" s="59"/>
    </row>
    <row r="499" spans="1:24" ht="17.25" x14ac:dyDescent="0.3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 t="s">
        <v>6920</v>
      </c>
      <c r="S499" s="59" t="s">
        <v>7295</v>
      </c>
      <c r="T499" s="59" t="s">
        <v>7164</v>
      </c>
      <c r="U499" s="59"/>
      <c r="V499" s="59"/>
      <c r="W499" s="59"/>
      <c r="X499" s="59"/>
    </row>
    <row r="500" spans="1:24" ht="17.25" x14ac:dyDescent="0.3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 t="s">
        <v>6921</v>
      </c>
      <c r="S500" s="59" t="s">
        <v>7296</v>
      </c>
      <c r="T500" s="59" t="s">
        <v>7165</v>
      </c>
      <c r="U500" s="59"/>
      <c r="V500" s="59"/>
      <c r="W500" s="59"/>
      <c r="X500" s="59"/>
    </row>
    <row r="501" spans="1:24" ht="17.25" x14ac:dyDescent="0.3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 t="s">
        <v>6922</v>
      </c>
      <c r="S501" s="59" t="s">
        <v>4508</v>
      </c>
      <c r="T501" s="59" t="s">
        <v>7166</v>
      </c>
      <c r="U501" s="59"/>
      <c r="V501" s="59"/>
      <c r="W501" s="59"/>
      <c r="X501" s="59"/>
    </row>
    <row r="502" spans="1:24" ht="17.25" x14ac:dyDescent="0.3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 t="s">
        <v>6923</v>
      </c>
      <c r="S502" s="59"/>
      <c r="T502" s="59" t="s">
        <v>7167</v>
      </c>
      <c r="U502" s="59"/>
      <c r="V502" s="59"/>
      <c r="W502" s="59"/>
      <c r="X502" s="59"/>
    </row>
    <row r="503" spans="1:24" ht="17.25" x14ac:dyDescent="0.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 t="s">
        <v>6924</v>
      </c>
      <c r="S503" s="59"/>
      <c r="T503" s="59" t="s">
        <v>7168</v>
      </c>
      <c r="U503" s="59"/>
      <c r="V503" s="59"/>
      <c r="W503" s="59"/>
      <c r="X503" s="59"/>
    </row>
    <row r="504" spans="1:24" ht="17.25" x14ac:dyDescent="0.3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 t="s">
        <v>6925</v>
      </c>
      <c r="S504" s="59"/>
      <c r="T504" s="59" t="s">
        <v>7169</v>
      </c>
      <c r="U504" s="59"/>
      <c r="V504" s="59"/>
      <c r="W504" s="59"/>
      <c r="X504" s="59"/>
    </row>
    <row r="505" spans="1:24" ht="17.25" x14ac:dyDescent="0.3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 t="s">
        <v>6926</v>
      </c>
      <c r="S505" s="59"/>
      <c r="T505" s="59" t="s">
        <v>7170</v>
      </c>
      <c r="U505" s="59"/>
      <c r="V505" s="59"/>
      <c r="W505" s="59"/>
      <c r="X505" s="59"/>
    </row>
    <row r="506" spans="1:24" ht="17.25" x14ac:dyDescent="0.3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 t="s">
        <v>6927</v>
      </c>
      <c r="S506" s="59"/>
      <c r="T506" s="59" t="s">
        <v>7171</v>
      </c>
      <c r="U506" s="59"/>
      <c r="V506" s="59"/>
      <c r="W506" s="59"/>
      <c r="X506" s="59"/>
    </row>
    <row r="507" spans="1:24" ht="17.25" x14ac:dyDescent="0.3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 t="s">
        <v>6928</v>
      </c>
      <c r="S507" s="59"/>
      <c r="T507" s="59" t="s">
        <v>7297</v>
      </c>
      <c r="U507" s="59"/>
      <c r="V507" s="59"/>
      <c r="W507" s="59"/>
      <c r="X507" s="59"/>
    </row>
    <row r="508" spans="1:24" ht="17.25" x14ac:dyDescent="0.3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 t="s">
        <v>6929</v>
      </c>
      <c r="S508" s="59"/>
      <c r="T508" s="59" t="s">
        <v>7298</v>
      </c>
      <c r="U508" s="59"/>
      <c r="V508" s="59"/>
      <c r="W508" s="59"/>
      <c r="X508" s="59"/>
    </row>
    <row r="509" spans="1:24" ht="17.25" x14ac:dyDescent="0.3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 t="s">
        <v>6930</v>
      </c>
      <c r="S509" s="59"/>
      <c r="T509" s="59" t="s">
        <v>7299</v>
      </c>
      <c r="U509" s="59"/>
      <c r="V509" s="59"/>
      <c r="W509" s="59"/>
      <c r="X509" s="59"/>
    </row>
    <row r="510" spans="1:24" ht="17.25" x14ac:dyDescent="0.3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 t="s">
        <v>6931</v>
      </c>
      <c r="S510" s="59"/>
      <c r="T510" s="59"/>
      <c r="U510" s="59"/>
      <c r="V510" s="59"/>
      <c r="W510" s="59"/>
      <c r="X510" s="59"/>
    </row>
    <row r="511" spans="1:24" ht="17.25" x14ac:dyDescent="0.3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 t="s">
        <v>6932</v>
      </c>
      <c r="S511" s="59"/>
      <c r="T511" s="59"/>
      <c r="U511" s="59"/>
      <c r="V511" s="59"/>
      <c r="W511" s="59"/>
      <c r="X511" s="59"/>
    </row>
    <row r="512" spans="1:24" ht="17.25" x14ac:dyDescent="0.3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 t="s">
        <v>6933</v>
      </c>
      <c r="S512" s="59"/>
      <c r="T512" s="59"/>
      <c r="U512" s="59"/>
      <c r="V512" s="59"/>
      <c r="W512" s="59"/>
      <c r="X512" s="59"/>
    </row>
    <row r="513" spans="1:24" ht="17.25" x14ac:dyDescent="0.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 t="s">
        <v>6934</v>
      </c>
      <c r="S513" s="59"/>
      <c r="T513" s="59"/>
      <c r="U513" s="59"/>
      <c r="V513" s="59"/>
      <c r="W513" s="59"/>
      <c r="X513" s="59"/>
    </row>
    <row r="514" spans="1:24" ht="17.25" x14ac:dyDescent="0.3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 t="s">
        <v>6935</v>
      </c>
      <c r="S514" s="59"/>
      <c r="T514" s="59"/>
      <c r="U514" s="59"/>
      <c r="V514" s="59"/>
      <c r="W514" s="59"/>
      <c r="X514" s="59"/>
    </row>
    <row r="515" spans="1:24" ht="17.25" x14ac:dyDescent="0.3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 t="s">
        <v>6936</v>
      </c>
      <c r="S515" s="59"/>
      <c r="T515" s="59"/>
      <c r="U515" s="59"/>
      <c r="V515" s="59"/>
      <c r="W515" s="59"/>
      <c r="X515" s="59"/>
    </row>
    <row r="516" spans="1:24" ht="17.25" x14ac:dyDescent="0.3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 t="s">
        <v>6937</v>
      </c>
      <c r="S516" s="59"/>
      <c r="T516" s="59"/>
      <c r="U516" s="59"/>
      <c r="V516" s="59"/>
      <c r="W516" s="59"/>
      <c r="X516" s="59"/>
    </row>
    <row r="517" spans="1:24" ht="17.25" x14ac:dyDescent="0.3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 t="s">
        <v>6938</v>
      </c>
      <c r="S517" s="59"/>
      <c r="T517" s="59"/>
      <c r="U517" s="59"/>
      <c r="V517" s="59"/>
      <c r="W517" s="59"/>
      <c r="X517" s="59"/>
    </row>
    <row r="518" spans="1:24" ht="17.25" x14ac:dyDescent="0.3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 t="s">
        <v>6939</v>
      </c>
      <c r="S518" s="59"/>
      <c r="T518" s="59"/>
      <c r="U518" s="59"/>
      <c r="V518" s="59"/>
      <c r="W518" s="59"/>
      <c r="X518" s="59"/>
    </row>
    <row r="519" spans="1:24" ht="17.25" x14ac:dyDescent="0.3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 t="s">
        <v>6940</v>
      </c>
      <c r="S519" s="59"/>
      <c r="T519" s="59"/>
      <c r="U519" s="59"/>
      <c r="V519" s="59"/>
      <c r="W519" s="59"/>
      <c r="X519" s="59"/>
    </row>
    <row r="520" spans="1:24" ht="17.25" x14ac:dyDescent="0.3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 t="s">
        <v>6941</v>
      </c>
      <c r="S520" s="59"/>
      <c r="T520" s="59"/>
      <c r="U520" s="59"/>
      <c r="V520" s="59"/>
      <c r="W520" s="59"/>
      <c r="X520" s="59"/>
    </row>
    <row r="521" spans="1:24" ht="17.25" x14ac:dyDescent="0.3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 t="s">
        <v>6942</v>
      </c>
      <c r="S521" s="59"/>
      <c r="T521" s="59"/>
      <c r="U521" s="59"/>
      <c r="V521" s="59"/>
      <c r="W521" s="59"/>
      <c r="X521" s="59"/>
    </row>
    <row r="522" spans="1:24" ht="17.25" x14ac:dyDescent="0.3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 t="s">
        <v>6943</v>
      </c>
      <c r="S522" s="59"/>
      <c r="T522" s="59"/>
      <c r="U522" s="59"/>
      <c r="V522" s="59"/>
      <c r="W522" s="59"/>
      <c r="X522" s="59"/>
    </row>
    <row r="523" spans="1:24" ht="17.25" x14ac:dyDescent="0.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 t="s">
        <v>6944</v>
      </c>
      <c r="S523" s="59"/>
      <c r="T523" s="59"/>
      <c r="U523" s="59"/>
      <c r="V523" s="59"/>
      <c r="W523" s="59"/>
      <c r="X523" s="59"/>
    </row>
    <row r="524" spans="1:24" ht="17.25" x14ac:dyDescent="0.3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 t="s">
        <v>6945</v>
      </c>
      <c r="S524" s="59"/>
      <c r="T524" s="59"/>
      <c r="U524" s="59"/>
      <c r="V524" s="59"/>
      <c r="W524" s="59"/>
      <c r="X524" s="59"/>
    </row>
    <row r="525" spans="1:24" ht="17.25" x14ac:dyDescent="0.3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 t="s">
        <v>6946</v>
      </c>
      <c r="S525" s="59"/>
      <c r="T525" s="59"/>
      <c r="U525" s="59"/>
      <c r="V525" s="59"/>
      <c r="W525" s="59"/>
      <c r="X525" s="59"/>
    </row>
    <row r="526" spans="1:24" ht="17.25" x14ac:dyDescent="0.3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 t="s">
        <v>6947</v>
      </c>
      <c r="S526" s="59"/>
      <c r="T526" s="59"/>
      <c r="U526" s="59"/>
      <c r="V526" s="59"/>
      <c r="W526" s="59"/>
      <c r="X526" s="59"/>
    </row>
    <row r="527" spans="1:24" ht="17.25" x14ac:dyDescent="0.3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 t="s">
        <v>6948</v>
      </c>
      <c r="S527" s="59"/>
      <c r="T527" s="59"/>
      <c r="U527" s="59"/>
      <c r="V527" s="59"/>
      <c r="W527" s="59"/>
      <c r="X527" s="59"/>
    </row>
    <row r="528" spans="1:24" ht="17.25" x14ac:dyDescent="0.3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 t="s">
        <v>6949</v>
      </c>
      <c r="S528" s="59"/>
      <c r="T528" s="59"/>
      <c r="U528" s="59"/>
      <c r="V528" s="59"/>
      <c r="W528" s="59"/>
      <c r="X528" s="59"/>
    </row>
    <row r="529" spans="1:24" ht="17.25" x14ac:dyDescent="0.3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 t="s">
        <v>6950</v>
      </c>
      <c r="S529" s="59"/>
      <c r="T529" s="59"/>
      <c r="U529" s="59"/>
      <c r="V529" s="59"/>
      <c r="W529" s="59"/>
      <c r="X529" s="59"/>
    </row>
    <row r="530" spans="1:24" ht="17.25" x14ac:dyDescent="0.3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 t="s">
        <v>6951</v>
      </c>
      <c r="S530" s="59"/>
      <c r="T530" s="59"/>
      <c r="U530" s="59"/>
      <c r="V530" s="59"/>
      <c r="W530" s="59"/>
      <c r="X530" s="59"/>
    </row>
    <row r="531" spans="1:24" ht="17.25" x14ac:dyDescent="0.3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 t="s">
        <v>6952</v>
      </c>
      <c r="S531" s="59"/>
      <c r="T531" s="59"/>
      <c r="U531" s="59"/>
      <c r="V531" s="59"/>
      <c r="W531" s="59"/>
      <c r="X531" s="59"/>
    </row>
    <row r="532" spans="1:24" ht="17.25" x14ac:dyDescent="0.3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 t="s">
        <v>6953</v>
      </c>
      <c r="S532" s="59"/>
      <c r="T532" s="59"/>
      <c r="U532" s="59"/>
      <c r="V532" s="59"/>
      <c r="W532" s="59"/>
      <c r="X532" s="59"/>
    </row>
    <row r="533" spans="1:24" ht="17.25" x14ac:dyDescent="0.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 t="s">
        <v>6954</v>
      </c>
      <c r="S533" s="59"/>
      <c r="T533" s="59"/>
      <c r="U533" s="59"/>
      <c r="V533" s="59"/>
      <c r="W533" s="59"/>
      <c r="X533" s="59"/>
    </row>
    <row r="534" spans="1:24" ht="17.25" x14ac:dyDescent="0.3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 t="s">
        <v>6955</v>
      </c>
      <c r="S534" s="59"/>
      <c r="T534" s="59"/>
      <c r="U534" s="59"/>
      <c r="V534" s="59"/>
      <c r="W534" s="59"/>
      <c r="X534" s="59"/>
    </row>
    <row r="535" spans="1:24" ht="17.25" x14ac:dyDescent="0.3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 t="s">
        <v>6956</v>
      </c>
      <c r="S535" s="59"/>
      <c r="T535" s="59"/>
      <c r="U535" s="59"/>
      <c r="V535" s="59"/>
      <c r="W535" s="59"/>
      <c r="X535" s="59"/>
    </row>
    <row r="536" spans="1:24" ht="17.25" x14ac:dyDescent="0.3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 t="s">
        <v>6957</v>
      </c>
      <c r="S536" s="59"/>
      <c r="T536" s="59"/>
      <c r="U536" s="59"/>
      <c r="V536" s="59"/>
      <c r="W536" s="59"/>
      <c r="X536" s="59"/>
    </row>
    <row r="537" spans="1:24" ht="17.25" x14ac:dyDescent="0.3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 t="s">
        <v>6958</v>
      </c>
      <c r="S537" s="59"/>
      <c r="T537" s="59"/>
      <c r="U537" s="59"/>
      <c r="V537" s="59"/>
      <c r="W537" s="59"/>
      <c r="X537" s="59"/>
    </row>
    <row r="538" spans="1:24" ht="17.25" x14ac:dyDescent="0.3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 t="s">
        <v>6959</v>
      </c>
      <c r="S538" s="59"/>
      <c r="T538" s="59"/>
      <c r="U538" s="59"/>
      <c r="V538" s="59"/>
      <c r="W538" s="59"/>
      <c r="X538" s="59"/>
    </row>
    <row r="539" spans="1:24" ht="17.25" x14ac:dyDescent="0.3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 t="s">
        <v>6960</v>
      </c>
      <c r="S539" s="59"/>
      <c r="T539" s="59"/>
      <c r="U539" s="59"/>
      <c r="V539" s="59"/>
      <c r="W539" s="59"/>
      <c r="X539" s="59"/>
    </row>
    <row r="540" spans="1:24" ht="17.25" x14ac:dyDescent="0.3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 t="s">
        <v>6961</v>
      </c>
      <c r="S540" s="59"/>
      <c r="T540" s="59"/>
      <c r="U540" s="59"/>
      <c r="V540" s="59"/>
      <c r="W540" s="59"/>
      <c r="X540" s="59"/>
    </row>
    <row r="541" spans="1:24" ht="17.25" x14ac:dyDescent="0.3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 t="s">
        <v>6962</v>
      </c>
      <c r="S541" s="59"/>
      <c r="T541" s="59"/>
      <c r="U541" s="59"/>
      <c r="V541" s="59"/>
      <c r="W541" s="59"/>
      <c r="X541" s="59"/>
    </row>
    <row r="542" spans="1:24" ht="17.25" x14ac:dyDescent="0.3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 t="s">
        <v>6963</v>
      </c>
      <c r="S542" s="59"/>
      <c r="T542" s="59"/>
      <c r="U542" s="59"/>
      <c r="V542" s="59"/>
      <c r="W542" s="59"/>
      <c r="X542" s="59"/>
    </row>
    <row r="543" spans="1:24" ht="17.25" x14ac:dyDescent="0.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 t="s">
        <v>6964</v>
      </c>
      <c r="S543" s="59"/>
      <c r="T543" s="59"/>
      <c r="U543" s="59"/>
      <c r="V543" s="59"/>
      <c r="W543" s="59"/>
      <c r="X543" s="59"/>
    </row>
    <row r="544" spans="1:24" ht="17.25" x14ac:dyDescent="0.3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 t="s">
        <v>6965</v>
      </c>
      <c r="S544" s="59"/>
      <c r="T544" s="59"/>
      <c r="U544" s="59"/>
      <c r="V544" s="59"/>
      <c r="W544" s="59"/>
      <c r="X544" s="59"/>
    </row>
    <row r="545" spans="1:24" ht="17.25" x14ac:dyDescent="0.3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 t="s">
        <v>6966</v>
      </c>
      <c r="S545" s="59"/>
      <c r="T545" s="59"/>
      <c r="U545" s="59"/>
      <c r="V545" s="59"/>
      <c r="W545" s="59"/>
      <c r="X545" s="59"/>
    </row>
    <row r="546" spans="1:24" ht="17.25" x14ac:dyDescent="0.3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 t="s">
        <v>6967</v>
      </c>
      <c r="S546" s="59"/>
      <c r="T546" s="59"/>
      <c r="U546" s="59"/>
      <c r="V546" s="59"/>
      <c r="W546" s="59"/>
      <c r="X546" s="59"/>
    </row>
    <row r="547" spans="1:24" ht="17.25" x14ac:dyDescent="0.3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 t="s">
        <v>6968</v>
      </c>
      <c r="S547" s="59"/>
      <c r="T547" s="59"/>
      <c r="U547" s="59"/>
      <c r="V547" s="59"/>
      <c r="W547" s="59"/>
      <c r="X547" s="59"/>
    </row>
    <row r="548" spans="1:24" ht="17.25" x14ac:dyDescent="0.3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 t="s">
        <v>6969</v>
      </c>
      <c r="S548" s="59"/>
      <c r="T548" s="59"/>
      <c r="U548" s="59"/>
      <c r="V548" s="59"/>
      <c r="W548" s="59"/>
      <c r="X548" s="59"/>
    </row>
    <row r="549" spans="1:24" ht="17.25" x14ac:dyDescent="0.3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 t="s">
        <v>6970</v>
      </c>
      <c r="S549" s="59"/>
      <c r="T549" s="59"/>
      <c r="U549" s="59"/>
      <c r="V549" s="59"/>
      <c r="W549" s="59"/>
      <c r="X549" s="59"/>
    </row>
    <row r="550" spans="1:24" ht="17.25" x14ac:dyDescent="0.3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 t="s">
        <v>6971</v>
      </c>
      <c r="S550" s="59"/>
      <c r="T550" s="59"/>
      <c r="U550" s="59"/>
      <c r="V550" s="59"/>
      <c r="W550" s="59"/>
      <c r="X550" s="59"/>
    </row>
    <row r="551" spans="1:24" ht="17.25" x14ac:dyDescent="0.3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 t="s">
        <v>6972</v>
      </c>
      <c r="S551" s="59"/>
      <c r="T551" s="59"/>
      <c r="U551" s="59"/>
      <c r="V551" s="59"/>
      <c r="W551" s="59"/>
      <c r="X551" s="59"/>
    </row>
    <row r="552" spans="1:24" ht="17.25" x14ac:dyDescent="0.3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 t="s">
        <v>6973</v>
      </c>
      <c r="S552" s="59"/>
      <c r="T552" s="59"/>
      <c r="U552" s="59"/>
      <c r="V552" s="59"/>
      <c r="W552" s="59"/>
      <c r="X552" s="59"/>
    </row>
    <row r="553" spans="1:24" ht="17.25" x14ac:dyDescent="0.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 t="s">
        <v>6974</v>
      </c>
      <c r="S553" s="59"/>
      <c r="T553" s="59"/>
      <c r="U553" s="59"/>
      <c r="V553" s="59"/>
      <c r="W553" s="59"/>
      <c r="X553" s="59"/>
    </row>
    <row r="554" spans="1:24" ht="17.25" x14ac:dyDescent="0.3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 t="s">
        <v>6975</v>
      </c>
      <c r="S554" s="59"/>
      <c r="T554" s="59"/>
      <c r="U554" s="59"/>
      <c r="V554" s="59"/>
      <c r="W554" s="59"/>
      <c r="X554" s="59"/>
    </row>
    <row r="555" spans="1:24" ht="17.25" x14ac:dyDescent="0.3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 t="s">
        <v>6976</v>
      </c>
      <c r="S555" s="59"/>
      <c r="T555" s="59"/>
      <c r="U555" s="59"/>
      <c r="V555" s="59"/>
      <c r="W555" s="59"/>
      <c r="X555" s="59"/>
    </row>
    <row r="556" spans="1:24" ht="17.25" x14ac:dyDescent="0.3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 t="s">
        <v>6977</v>
      </c>
      <c r="S556" s="59"/>
      <c r="T556" s="59"/>
      <c r="U556" s="59"/>
      <c r="V556" s="59"/>
      <c r="W556" s="59"/>
      <c r="X556" s="59"/>
    </row>
    <row r="557" spans="1:24" ht="17.25" x14ac:dyDescent="0.3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 t="s">
        <v>6978</v>
      </c>
      <c r="S557" s="59"/>
      <c r="T557" s="59"/>
      <c r="U557" s="59"/>
      <c r="V557" s="59"/>
      <c r="W557" s="59"/>
      <c r="X557" s="59"/>
    </row>
    <row r="558" spans="1:24" ht="17.25" x14ac:dyDescent="0.3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 t="s">
        <v>6979</v>
      </c>
      <c r="S558" s="59"/>
      <c r="T558" s="59"/>
      <c r="U558" s="59"/>
      <c r="V558" s="59"/>
      <c r="W558" s="59"/>
      <c r="X558" s="59"/>
    </row>
    <row r="559" spans="1:24" ht="17.25" x14ac:dyDescent="0.3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 t="s">
        <v>6980</v>
      </c>
      <c r="S559" s="59"/>
      <c r="T559" s="59"/>
      <c r="U559" s="59"/>
      <c r="V559" s="59"/>
      <c r="W559" s="59"/>
      <c r="X559" s="59"/>
    </row>
    <row r="560" spans="1:24" ht="17.25" x14ac:dyDescent="0.3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 t="s">
        <v>6981</v>
      </c>
      <c r="S560" s="59"/>
      <c r="T560" s="59"/>
      <c r="U560" s="59"/>
      <c r="V560" s="59"/>
      <c r="W560" s="59"/>
      <c r="X560" s="59"/>
    </row>
    <row r="561" spans="1:24" ht="17.25" x14ac:dyDescent="0.3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 t="s">
        <v>6982</v>
      </c>
      <c r="S561" s="59"/>
      <c r="T561" s="59"/>
      <c r="U561" s="59"/>
      <c r="V561" s="59"/>
      <c r="W561" s="59"/>
      <c r="X561" s="59"/>
    </row>
    <row r="562" spans="1:24" ht="17.25" x14ac:dyDescent="0.3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 t="s">
        <v>6983</v>
      </c>
      <c r="S562" s="59"/>
      <c r="T562" s="59"/>
      <c r="U562" s="59"/>
      <c r="V562" s="59"/>
      <c r="W562" s="59"/>
      <c r="X562" s="59"/>
    </row>
    <row r="563" spans="1:24" ht="17.25" x14ac:dyDescent="0.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 t="s">
        <v>6984</v>
      </c>
      <c r="S563" s="59"/>
      <c r="T563" s="59"/>
      <c r="U563" s="59"/>
      <c r="V563" s="59"/>
      <c r="W563" s="59"/>
      <c r="X563" s="59"/>
    </row>
    <row r="564" spans="1:24" ht="17.25" x14ac:dyDescent="0.3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 t="s">
        <v>6985</v>
      </c>
      <c r="S564" s="59"/>
      <c r="T564" s="59"/>
      <c r="U564" s="59"/>
      <c r="V564" s="59"/>
      <c r="W564" s="59"/>
      <c r="X564" s="59"/>
    </row>
    <row r="565" spans="1:24" ht="17.25" x14ac:dyDescent="0.3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 t="s">
        <v>6986</v>
      </c>
      <c r="S565" s="59"/>
      <c r="T565" s="59"/>
      <c r="U565" s="59"/>
      <c r="V565" s="59"/>
      <c r="W565" s="59"/>
      <c r="X565" s="59"/>
    </row>
    <row r="566" spans="1:24" ht="17.25" x14ac:dyDescent="0.3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 t="s">
        <v>6987</v>
      </c>
      <c r="S566" s="59"/>
      <c r="T566" s="59"/>
      <c r="U566" s="59"/>
      <c r="V566" s="59"/>
      <c r="W566" s="59"/>
      <c r="X566" s="59"/>
    </row>
    <row r="567" spans="1:24" ht="17.25" x14ac:dyDescent="0.3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 t="s">
        <v>6988</v>
      </c>
      <c r="S567" s="59"/>
      <c r="T567" s="59"/>
      <c r="U567" s="59"/>
      <c r="V567" s="59"/>
      <c r="W567" s="59"/>
      <c r="X567" s="59"/>
    </row>
    <row r="568" spans="1:24" ht="17.25" x14ac:dyDescent="0.3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 t="s">
        <v>6989</v>
      </c>
      <c r="S568" s="59"/>
      <c r="T568" s="59"/>
      <c r="U568" s="59"/>
      <c r="V568" s="59"/>
      <c r="W568" s="59"/>
      <c r="X568" s="59"/>
    </row>
    <row r="569" spans="1:24" ht="17.25" x14ac:dyDescent="0.3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 t="s">
        <v>6990</v>
      </c>
      <c r="S569" s="59"/>
      <c r="T569" s="59"/>
      <c r="U569" s="59"/>
      <c r="V569" s="59"/>
      <c r="W569" s="59"/>
      <c r="X569" s="59"/>
    </row>
    <row r="570" spans="1:24" ht="17.25" x14ac:dyDescent="0.3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 t="s">
        <v>6991</v>
      </c>
      <c r="S570" s="59"/>
      <c r="T570" s="59"/>
      <c r="U570" s="59"/>
      <c r="V570" s="59"/>
      <c r="W570" s="59"/>
      <c r="X570" s="59"/>
    </row>
    <row r="571" spans="1:24" ht="17.25" x14ac:dyDescent="0.3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 t="s">
        <v>6992</v>
      </c>
      <c r="S571" s="59"/>
      <c r="T571" s="59"/>
      <c r="U571" s="59"/>
      <c r="V571" s="59"/>
      <c r="W571" s="59"/>
      <c r="X571" s="59"/>
    </row>
    <row r="572" spans="1:24" ht="17.25" x14ac:dyDescent="0.3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 t="s">
        <v>6993</v>
      </c>
      <c r="S572" s="59"/>
      <c r="T572" s="59"/>
      <c r="U572" s="59"/>
      <c r="V572" s="59"/>
      <c r="W572" s="59"/>
      <c r="X572" s="59"/>
    </row>
    <row r="573" spans="1:24" ht="17.25" x14ac:dyDescent="0.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 t="s">
        <v>6994</v>
      </c>
      <c r="S573" s="59"/>
      <c r="T573" s="59"/>
      <c r="U573" s="59"/>
      <c r="V573" s="59"/>
      <c r="W573" s="59"/>
      <c r="X573" s="59"/>
    </row>
    <row r="574" spans="1:24" ht="17.25" x14ac:dyDescent="0.3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 t="s">
        <v>6995</v>
      </c>
      <c r="S574" s="59"/>
      <c r="T574" s="59"/>
      <c r="U574" s="59"/>
      <c r="V574" s="59"/>
      <c r="W574" s="59"/>
      <c r="X574" s="59"/>
    </row>
    <row r="575" spans="1:24" ht="17.25" x14ac:dyDescent="0.3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 t="s">
        <v>6996</v>
      </c>
      <c r="S575" s="59"/>
      <c r="T575" s="59"/>
      <c r="U575" s="59"/>
      <c r="V575" s="59"/>
      <c r="W575" s="59"/>
      <c r="X575" s="59"/>
    </row>
    <row r="576" spans="1:24" ht="17.25" x14ac:dyDescent="0.3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 t="s">
        <v>6997</v>
      </c>
      <c r="S576" s="59"/>
      <c r="T576" s="59"/>
      <c r="U576" s="59"/>
      <c r="V576" s="59"/>
      <c r="W576" s="59"/>
      <c r="X576" s="59"/>
    </row>
    <row r="577" spans="1:24" ht="17.25" x14ac:dyDescent="0.3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 t="s">
        <v>7172</v>
      </c>
      <c r="S577" s="59"/>
      <c r="T577" s="59"/>
      <c r="U577" s="59"/>
      <c r="V577" s="59"/>
      <c r="W577" s="59"/>
      <c r="X577" s="59"/>
    </row>
    <row r="578" spans="1:24" ht="17.25" x14ac:dyDescent="0.3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 t="s">
        <v>7173</v>
      </c>
      <c r="S578" s="59"/>
      <c r="T578" s="59"/>
      <c r="U578" s="59"/>
      <c r="V578" s="59"/>
      <c r="W578" s="59"/>
      <c r="X578" s="59"/>
    </row>
    <row r="579" spans="1:24" ht="17.25" x14ac:dyDescent="0.3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 t="s">
        <v>7174</v>
      </c>
      <c r="S579" s="59"/>
      <c r="T579" s="59"/>
      <c r="U579" s="59"/>
      <c r="V579" s="59"/>
      <c r="W579" s="59"/>
      <c r="X579" s="59"/>
    </row>
    <row r="580" spans="1:24" ht="17.25" x14ac:dyDescent="0.3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 t="s">
        <v>7175</v>
      </c>
      <c r="S580" s="59"/>
      <c r="T580" s="59"/>
      <c r="U580" s="59"/>
      <c r="V580" s="59"/>
      <c r="W580" s="59"/>
      <c r="X580" s="59"/>
    </row>
    <row r="581" spans="1:24" ht="17.25" x14ac:dyDescent="0.3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 t="s">
        <v>7176</v>
      </c>
      <c r="S581" s="59"/>
      <c r="T581" s="59"/>
      <c r="U581" s="59"/>
      <c r="V581" s="59"/>
      <c r="W581" s="59"/>
      <c r="X581" s="59"/>
    </row>
    <row r="582" spans="1:24" ht="17.25" x14ac:dyDescent="0.3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 t="s">
        <v>7177</v>
      </c>
      <c r="S582" s="59"/>
      <c r="T582" s="59"/>
      <c r="U582" s="59"/>
      <c r="V582" s="59"/>
      <c r="W582" s="59"/>
      <c r="X582" s="59"/>
    </row>
    <row r="583" spans="1:24" ht="17.25" x14ac:dyDescent="0.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 t="s">
        <v>7178</v>
      </c>
      <c r="S583" s="59"/>
      <c r="T583" s="59"/>
      <c r="U583" s="59"/>
      <c r="V583" s="59"/>
      <c r="W583" s="59"/>
      <c r="X583" s="59"/>
    </row>
    <row r="584" spans="1:24" ht="17.25" x14ac:dyDescent="0.3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 t="s">
        <v>7179</v>
      </c>
      <c r="S584" s="59"/>
      <c r="T584" s="59"/>
      <c r="U584" s="59"/>
      <c r="V584" s="59"/>
      <c r="W584" s="59"/>
      <c r="X584" s="59"/>
    </row>
    <row r="585" spans="1:24" ht="17.25" x14ac:dyDescent="0.3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 t="s">
        <v>7180</v>
      </c>
      <c r="S585" s="59"/>
      <c r="T585" s="59"/>
      <c r="U585" s="59"/>
      <c r="V585" s="59"/>
      <c r="W585" s="59"/>
      <c r="X585" s="59"/>
    </row>
    <row r="586" spans="1:24" ht="17.25" x14ac:dyDescent="0.3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 t="s">
        <v>7181</v>
      </c>
      <c r="S586" s="59"/>
      <c r="T586" s="59"/>
      <c r="U586" s="59"/>
      <c r="V586" s="59"/>
      <c r="W586" s="59"/>
      <c r="X586" s="59"/>
    </row>
    <row r="587" spans="1:24" ht="17.25" x14ac:dyDescent="0.3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 t="s">
        <v>7182</v>
      </c>
      <c r="S587" s="59"/>
      <c r="T587" s="59"/>
      <c r="U587" s="59"/>
      <c r="V587" s="59"/>
      <c r="W587" s="59"/>
      <c r="X587" s="59"/>
    </row>
    <row r="588" spans="1:24" ht="17.25" x14ac:dyDescent="0.3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 t="s">
        <v>7183</v>
      </c>
      <c r="S588" s="59"/>
      <c r="T588" s="59"/>
      <c r="U588" s="59"/>
      <c r="V588" s="59"/>
      <c r="W588" s="59"/>
      <c r="X588" s="59"/>
    </row>
    <row r="589" spans="1:24" ht="17.25" x14ac:dyDescent="0.3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 t="s">
        <v>7184</v>
      </c>
      <c r="S589" s="59"/>
      <c r="T589" s="59"/>
      <c r="U589" s="59"/>
      <c r="V589" s="59"/>
      <c r="W589" s="59"/>
      <c r="X589" s="59"/>
    </row>
    <row r="590" spans="1:24" ht="17.25" x14ac:dyDescent="0.3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 t="s">
        <v>7185</v>
      </c>
      <c r="S590" s="59"/>
      <c r="T590" s="59"/>
      <c r="U590" s="59"/>
      <c r="V590" s="59"/>
      <c r="W590" s="59"/>
      <c r="X590" s="59"/>
    </row>
    <row r="591" spans="1:24" ht="17.25" x14ac:dyDescent="0.3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 t="s">
        <v>7186</v>
      </c>
      <c r="S591" s="59"/>
      <c r="T591" s="59"/>
      <c r="U591" s="59"/>
      <c r="V591" s="59"/>
      <c r="W591" s="59"/>
      <c r="X591" s="59"/>
    </row>
    <row r="592" spans="1:24" ht="17.25" x14ac:dyDescent="0.3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 t="s">
        <v>7187</v>
      </c>
      <c r="S592" s="59"/>
      <c r="T592" s="59"/>
      <c r="U592" s="59"/>
      <c r="V592" s="59"/>
      <c r="W592" s="59"/>
      <c r="X592" s="59"/>
    </row>
    <row r="593" spans="1:24" ht="17.25" x14ac:dyDescent="0.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 t="s">
        <v>7229</v>
      </c>
      <c r="S593" s="59"/>
      <c r="T593" s="59"/>
      <c r="U593" s="59"/>
      <c r="V593" s="59"/>
      <c r="W593" s="59"/>
      <c r="X593" s="59"/>
    </row>
    <row r="594" spans="1:24" ht="17.25" x14ac:dyDescent="0.3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 t="s">
        <v>7300</v>
      </c>
      <c r="S594" s="59"/>
      <c r="T594" s="59"/>
      <c r="U594" s="59"/>
      <c r="V594" s="59"/>
      <c r="W594" s="59"/>
      <c r="X594" s="59"/>
    </row>
    <row r="595" spans="1:24" ht="17.25" x14ac:dyDescent="0.3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 t="s">
        <v>7301</v>
      </c>
      <c r="S595" s="59"/>
      <c r="T595" s="59"/>
      <c r="U595" s="59"/>
      <c r="V595" s="59"/>
      <c r="W595" s="59"/>
      <c r="X595" s="59"/>
    </row>
    <row r="596" spans="1:24" ht="17.25" x14ac:dyDescent="0.3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 t="s">
        <v>7302</v>
      </c>
      <c r="S596" s="59"/>
      <c r="T596" s="59"/>
      <c r="U596" s="59"/>
      <c r="V596" s="59"/>
      <c r="W596" s="59"/>
      <c r="X596" s="59"/>
    </row>
    <row r="597" spans="1:24" ht="17.25" x14ac:dyDescent="0.3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 t="s">
        <v>7303</v>
      </c>
      <c r="S597" s="59"/>
      <c r="T597" s="59"/>
      <c r="U597" s="59"/>
      <c r="V597" s="59"/>
      <c r="W597" s="59"/>
      <c r="X597" s="59"/>
    </row>
    <row r="598" spans="1:24" ht="17.25" x14ac:dyDescent="0.3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 t="s">
        <v>7304</v>
      </c>
      <c r="S598" s="59"/>
      <c r="T598" s="59"/>
      <c r="U598" s="59"/>
      <c r="V598" s="59"/>
      <c r="W598" s="59"/>
      <c r="X598" s="59"/>
    </row>
    <row r="599" spans="1:24" ht="17.25" x14ac:dyDescent="0.3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 t="s">
        <v>7305</v>
      </c>
      <c r="S599" s="59"/>
      <c r="T599" s="59"/>
      <c r="U599" s="59"/>
      <c r="V599" s="59"/>
      <c r="W599" s="59"/>
      <c r="X599" s="59"/>
    </row>
  </sheetData>
  <phoneticPr fontId="2" type="noConversion"/>
  <pageMargins left="0.7" right="0.7" top="0.75" bottom="0.75" header="0.3" footer="0.3"/>
  <ignoredErrors>
    <ignoredError sqref="A1:M599 N1:X5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topLeftCell="A13" workbookViewId="0">
      <selection activeCell="A30" sqref="A30"/>
    </sheetView>
  </sheetViews>
  <sheetFormatPr defaultRowHeight="16.5" x14ac:dyDescent="0.3"/>
  <cols>
    <col min="1" max="1" width="77.25" style="49" bestFit="1" customWidth="1"/>
  </cols>
  <sheetData>
    <row r="1" spans="1:2" x14ac:dyDescent="0.3">
      <c r="A1" t="s">
        <v>61</v>
      </c>
      <c r="B1" t="s">
        <v>62</v>
      </c>
    </row>
    <row r="2" spans="1:2" x14ac:dyDescent="0.3">
      <c r="A2" t="s">
        <v>63</v>
      </c>
      <c r="B2" t="s">
        <v>64</v>
      </c>
    </row>
    <row r="3" spans="1:2" x14ac:dyDescent="0.3">
      <c r="A3" t="s">
        <v>65</v>
      </c>
      <c r="B3" t="s">
        <v>66</v>
      </c>
    </row>
    <row r="4" spans="1:2" x14ac:dyDescent="0.3">
      <c r="A4" t="s">
        <v>67</v>
      </c>
      <c r="B4" t="s">
        <v>66</v>
      </c>
    </row>
    <row r="5" spans="1:2" x14ac:dyDescent="0.3">
      <c r="A5" t="s">
        <v>68</v>
      </c>
      <c r="B5" t="s">
        <v>66</v>
      </c>
    </row>
    <row r="6" spans="1:2" x14ac:dyDescent="0.3">
      <c r="A6" t="s">
        <v>69</v>
      </c>
      <c r="B6" t="s">
        <v>70</v>
      </c>
    </row>
    <row r="7" spans="1:2" x14ac:dyDescent="0.3">
      <c r="A7" t="s">
        <v>71</v>
      </c>
      <c r="B7" t="s">
        <v>70</v>
      </c>
    </row>
    <row r="8" spans="1:2" x14ac:dyDescent="0.3">
      <c r="A8" t="s">
        <v>72</v>
      </c>
      <c r="B8" t="s">
        <v>70</v>
      </c>
    </row>
    <row r="9" spans="1:2" x14ac:dyDescent="0.3">
      <c r="A9" t="s">
        <v>73</v>
      </c>
      <c r="B9" t="s">
        <v>70</v>
      </c>
    </row>
    <row r="10" spans="1:2" x14ac:dyDescent="0.3">
      <c r="A10" t="s">
        <v>74</v>
      </c>
      <c r="B10" t="s">
        <v>75</v>
      </c>
    </row>
    <row r="11" spans="1:2" x14ac:dyDescent="0.3">
      <c r="A11" t="s">
        <v>76</v>
      </c>
      <c r="B11" t="s">
        <v>75</v>
      </c>
    </row>
    <row r="12" spans="1:2" x14ac:dyDescent="0.3">
      <c r="A12" t="s">
        <v>77</v>
      </c>
      <c r="B12" t="s">
        <v>75</v>
      </c>
    </row>
    <row r="13" spans="1:2" x14ac:dyDescent="0.3">
      <c r="A13" t="s">
        <v>78</v>
      </c>
      <c r="B13" t="s">
        <v>75</v>
      </c>
    </row>
    <row r="14" spans="1:2" x14ac:dyDescent="0.3">
      <c r="A14" t="s">
        <v>79</v>
      </c>
      <c r="B14" t="s">
        <v>75</v>
      </c>
    </row>
    <row r="15" spans="1:2" x14ac:dyDescent="0.3">
      <c r="A15" t="s">
        <v>80</v>
      </c>
      <c r="B15" t="s">
        <v>75</v>
      </c>
    </row>
    <row r="16" spans="1:2" x14ac:dyDescent="0.3">
      <c r="A16" t="s">
        <v>81</v>
      </c>
      <c r="B16" t="s">
        <v>75</v>
      </c>
    </row>
    <row r="17" spans="1:2" x14ac:dyDescent="0.3">
      <c r="A17" t="s">
        <v>82</v>
      </c>
      <c r="B17" t="s">
        <v>75</v>
      </c>
    </row>
    <row r="18" spans="1:2" x14ac:dyDescent="0.3">
      <c r="A18" t="s">
        <v>83</v>
      </c>
      <c r="B18" t="s">
        <v>75</v>
      </c>
    </row>
    <row r="19" spans="1:2" x14ac:dyDescent="0.3">
      <c r="A19" t="s">
        <v>84</v>
      </c>
      <c r="B19" t="s">
        <v>75</v>
      </c>
    </row>
    <row r="20" spans="1:2" x14ac:dyDescent="0.3">
      <c r="A20" t="s">
        <v>85</v>
      </c>
      <c r="B20" t="s">
        <v>75</v>
      </c>
    </row>
    <row r="21" spans="1:2" x14ac:dyDescent="0.3">
      <c r="A21" t="s">
        <v>86</v>
      </c>
      <c r="B21" t="s">
        <v>75</v>
      </c>
    </row>
    <row r="22" spans="1:2" x14ac:dyDescent="0.3">
      <c r="A22" t="s">
        <v>87</v>
      </c>
      <c r="B22" t="s">
        <v>75</v>
      </c>
    </row>
    <row r="23" spans="1:2" x14ac:dyDescent="0.3">
      <c r="A23" t="s">
        <v>88</v>
      </c>
      <c r="B23" t="s">
        <v>75</v>
      </c>
    </row>
    <row r="24" spans="1:2" x14ac:dyDescent="0.3">
      <c r="A24" t="s">
        <v>89</v>
      </c>
      <c r="B24" t="s">
        <v>75</v>
      </c>
    </row>
    <row r="25" spans="1:2" x14ac:dyDescent="0.3">
      <c r="A25" t="s">
        <v>7230</v>
      </c>
      <c r="B25" t="s">
        <v>75</v>
      </c>
    </row>
    <row r="26" spans="1:2" x14ac:dyDescent="0.3">
      <c r="A26" t="s">
        <v>7231</v>
      </c>
      <c r="B26" t="s">
        <v>75</v>
      </c>
    </row>
    <row r="27" spans="1:2" x14ac:dyDescent="0.3">
      <c r="A27" t="s">
        <v>7232</v>
      </c>
      <c r="B27" t="s">
        <v>75</v>
      </c>
    </row>
    <row r="28" spans="1:2" x14ac:dyDescent="0.3">
      <c r="A28" t="s">
        <v>7233</v>
      </c>
      <c r="B28" t="s">
        <v>75</v>
      </c>
    </row>
    <row r="29" spans="1:2" x14ac:dyDescent="0.3">
      <c r="A29" t="s">
        <v>7234</v>
      </c>
      <c r="B29" t="s">
        <v>75</v>
      </c>
    </row>
    <row r="30" spans="1:2" x14ac:dyDescent="0.3">
      <c r="A30" t="s">
        <v>7235</v>
      </c>
      <c r="B30" t="s">
        <v>75</v>
      </c>
    </row>
    <row r="31" spans="1:2" x14ac:dyDescent="0.3">
      <c r="A31" t="s">
        <v>7236</v>
      </c>
      <c r="B31" t="s">
        <v>75</v>
      </c>
    </row>
    <row r="32" spans="1:2" x14ac:dyDescent="0.3">
      <c r="A32" t="s">
        <v>7237</v>
      </c>
      <c r="B32" t="s">
        <v>75</v>
      </c>
    </row>
    <row r="33" spans="1:2" x14ac:dyDescent="0.3">
      <c r="A33" t="s">
        <v>7238</v>
      </c>
      <c r="B33" t="s">
        <v>75</v>
      </c>
    </row>
    <row r="34" spans="1:2" x14ac:dyDescent="0.3">
      <c r="A34" t="s">
        <v>7239</v>
      </c>
      <c r="B34" t="s">
        <v>75</v>
      </c>
    </row>
    <row r="35" spans="1:2" x14ac:dyDescent="0.3">
      <c r="A35" t="s">
        <v>7240</v>
      </c>
      <c r="B35" t="s">
        <v>75</v>
      </c>
    </row>
    <row r="36" spans="1:2" x14ac:dyDescent="0.3">
      <c r="A36" t="s">
        <v>7241</v>
      </c>
      <c r="B36" t="s">
        <v>75</v>
      </c>
    </row>
    <row r="37" spans="1:2" x14ac:dyDescent="0.3">
      <c r="A37"/>
    </row>
    <row r="38" spans="1:2" x14ac:dyDescent="0.3">
      <c r="A38"/>
    </row>
    <row r="39" spans="1:2" x14ac:dyDescent="0.3">
      <c r="A3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AM270"/>
  <sheetViews>
    <sheetView workbookViewId="0">
      <selection activeCell="F1" sqref="F1"/>
    </sheetView>
  </sheetViews>
  <sheetFormatPr defaultRowHeight="12" x14ac:dyDescent="0.3"/>
  <cols>
    <col min="1" max="1" width="7.25" style="12" customWidth="1"/>
    <col min="2" max="2" width="7.25" style="12" hidden="1" customWidth="1"/>
    <col min="3" max="4" width="7.25" style="12" customWidth="1"/>
    <col min="5" max="5" width="11.25" style="12" bestFit="1" customWidth="1"/>
    <col min="6" max="7" width="7.25" style="48" customWidth="1"/>
    <col min="8" max="11" width="7.25" style="6" customWidth="1"/>
    <col min="12" max="12" width="7.25" style="48" customWidth="1"/>
    <col min="13" max="16" width="7.25" style="6" customWidth="1"/>
    <col min="17" max="17" width="7.25" style="48" customWidth="1"/>
    <col min="18" max="21" width="7.25" style="6" customWidth="1"/>
    <col min="22" max="22" width="7.25" style="48" customWidth="1"/>
    <col min="23" max="26" width="7.25" style="6" customWidth="1"/>
    <col min="27" max="27" width="7.25" style="48" customWidth="1"/>
    <col min="28" max="29" width="7.25" style="6" customWidth="1"/>
    <col min="30" max="30" width="7.25" style="48" customWidth="1"/>
    <col min="31" max="34" width="7.25" style="6" customWidth="1"/>
    <col min="35" max="35" width="7.25" style="48" customWidth="1"/>
    <col min="36" max="39" width="7.25" style="6" customWidth="1"/>
    <col min="40" max="40" width="9" style="6" customWidth="1"/>
    <col min="41" max="16384" width="9" style="6"/>
  </cols>
  <sheetData>
    <row r="5" spans="1:39" x14ac:dyDescent="0.3">
      <c r="A5" s="50" t="s">
        <v>90</v>
      </c>
      <c r="B5" s="56" t="s">
        <v>91</v>
      </c>
      <c r="C5" s="56" t="s">
        <v>92</v>
      </c>
      <c r="D5" s="56" t="s">
        <v>93</v>
      </c>
      <c r="E5" s="52" t="s">
        <v>94</v>
      </c>
      <c r="F5" s="54" t="s">
        <v>95</v>
      </c>
      <c r="G5" s="1" t="s">
        <v>96</v>
      </c>
      <c r="H5" s="2"/>
      <c r="I5" s="2"/>
      <c r="J5" s="2"/>
      <c r="K5" s="3"/>
      <c r="L5" s="4" t="s">
        <v>97</v>
      </c>
      <c r="M5" s="2"/>
      <c r="N5" s="2"/>
      <c r="O5" s="2"/>
      <c r="P5" s="3"/>
      <c r="Q5" s="4" t="s">
        <v>98</v>
      </c>
      <c r="R5" s="2"/>
      <c r="S5" s="2"/>
      <c r="T5" s="2"/>
      <c r="U5" s="3"/>
      <c r="V5" s="4" t="s">
        <v>99</v>
      </c>
      <c r="W5" s="2"/>
      <c r="X5" s="2"/>
      <c r="Y5" s="2"/>
      <c r="Z5" s="3"/>
      <c r="AA5" s="4" t="s">
        <v>100</v>
      </c>
      <c r="AB5" s="2"/>
      <c r="AC5" s="3"/>
      <c r="AD5" s="4" t="s">
        <v>101</v>
      </c>
      <c r="AE5" s="2"/>
      <c r="AF5" s="2"/>
      <c r="AG5" s="2"/>
      <c r="AH5" s="3"/>
      <c r="AI5" s="4" t="s">
        <v>102</v>
      </c>
      <c r="AJ5" s="2"/>
      <c r="AK5" s="2"/>
      <c r="AL5" s="2"/>
      <c r="AM5" s="5"/>
    </row>
    <row r="6" spans="1:39" s="12" customFormat="1" x14ac:dyDescent="0.3">
      <c r="A6" s="51"/>
      <c r="B6" s="57"/>
      <c r="C6" s="57"/>
      <c r="D6" s="57"/>
      <c r="E6" s="53"/>
      <c r="F6" s="55"/>
      <c r="G6" s="7" t="s">
        <v>103</v>
      </c>
      <c r="H6" s="8">
        <v>202510</v>
      </c>
      <c r="I6" s="8">
        <v>202511</v>
      </c>
      <c r="J6" s="8">
        <v>202601</v>
      </c>
      <c r="K6" s="9">
        <v>202602</v>
      </c>
      <c r="L6" s="10" t="s">
        <v>103</v>
      </c>
      <c r="M6" s="8">
        <v>202510</v>
      </c>
      <c r="N6" s="8">
        <v>202511</v>
      </c>
      <c r="O6" s="8">
        <v>202601</v>
      </c>
      <c r="P6" s="9">
        <v>202602</v>
      </c>
      <c r="Q6" s="10" t="s">
        <v>103</v>
      </c>
      <c r="R6" s="8">
        <v>202510</v>
      </c>
      <c r="S6" s="8">
        <v>202511</v>
      </c>
      <c r="T6" s="8">
        <v>202601</v>
      </c>
      <c r="U6" s="9">
        <v>202602</v>
      </c>
      <c r="V6" s="10" t="s">
        <v>103</v>
      </c>
      <c r="W6" s="8">
        <v>202510</v>
      </c>
      <c r="X6" s="8">
        <v>202511</v>
      </c>
      <c r="Y6" s="8">
        <v>202601</v>
      </c>
      <c r="Z6" s="9">
        <v>202602</v>
      </c>
      <c r="AA6" s="10" t="s">
        <v>104</v>
      </c>
      <c r="AB6" s="8">
        <v>202510</v>
      </c>
      <c r="AC6" s="9">
        <v>202511</v>
      </c>
      <c r="AD6" s="10" t="s">
        <v>103</v>
      </c>
      <c r="AE6" s="8">
        <v>202510</v>
      </c>
      <c r="AF6" s="8">
        <v>202511</v>
      </c>
      <c r="AG6" s="8">
        <v>202601</v>
      </c>
      <c r="AH6" s="9">
        <v>202602</v>
      </c>
      <c r="AI6" s="10" t="s">
        <v>103</v>
      </c>
      <c r="AJ6" s="8">
        <v>202510</v>
      </c>
      <c r="AK6" s="8">
        <v>202511</v>
      </c>
      <c r="AL6" s="8">
        <v>202601</v>
      </c>
      <c r="AM6" s="11">
        <v>202602</v>
      </c>
    </row>
    <row r="7" spans="1:39" x14ac:dyDescent="0.3">
      <c r="A7" s="13" t="s">
        <v>105</v>
      </c>
      <c r="B7" s="14" t="s">
        <v>26</v>
      </c>
      <c r="C7" s="14" t="s">
        <v>27</v>
      </c>
      <c r="D7" s="14" t="s">
        <v>106</v>
      </c>
      <c r="E7" s="15" t="s">
        <v>107</v>
      </c>
      <c r="F7" s="16">
        <v>26</v>
      </c>
      <c r="G7" s="17">
        <f t="shared" ref="G7:G70" si="0">SUM(H7:K7)/4</f>
        <v>25.5</v>
      </c>
      <c r="H7" s="18">
        <v>7</v>
      </c>
      <c r="I7" s="18">
        <v>9</v>
      </c>
      <c r="J7" s="18">
        <v>40</v>
      </c>
      <c r="K7" s="19">
        <v>46</v>
      </c>
      <c r="L7" s="20">
        <f t="shared" ref="L7:L70" si="1">Q7+V7+AA7+AD7+AI7</f>
        <v>18.150511999999999</v>
      </c>
      <c r="M7" s="21">
        <v>2.2301489999999999</v>
      </c>
      <c r="N7" s="21">
        <v>1.6008869999999999</v>
      </c>
      <c r="O7" s="21">
        <v>40.915494000000002</v>
      </c>
      <c r="P7" s="22">
        <v>27.106560999999999</v>
      </c>
      <c r="Q7" s="20">
        <f t="shared" ref="Q7:Q70" si="2">SUM(R7:U7)/4</f>
        <v>1.8742099999999999</v>
      </c>
      <c r="R7" s="21">
        <v>1.2520100000000001</v>
      </c>
      <c r="S7" s="21">
        <v>0.81456000000000006</v>
      </c>
      <c r="T7" s="21">
        <v>2.1048</v>
      </c>
      <c r="U7" s="22">
        <v>3.3254700000000001</v>
      </c>
      <c r="V7" s="20">
        <f t="shared" ref="V7:V70" si="3">SUM(W7:Z7)/4</f>
        <v>14.07845</v>
      </c>
      <c r="W7" s="21">
        <v>0</v>
      </c>
      <c r="X7" s="21">
        <v>0.50007999999999997</v>
      </c>
      <c r="Y7" s="21">
        <v>35.533760000000001</v>
      </c>
      <c r="Z7" s="22">
        <v>20.279959999999999</v>
      </c>
      <c r="AA7" s="20">
        <f t="shared" ref="AA7:AA70" si="4">SUM(AB7:AC7)/2</f>
        <v>0.37447850000000005</v>
      </c>
      <c r="AB7" s="21">
        <v>0.52463000000000004</v>
      </c>
      <c r="AC7" s="22">
        <v>0.224327</v>
      </c>
      <c r="AD7" s="20">
        <f t="shared" ref="AD7:AD70" si="5">SUM(AE7:AH7)/4</f>
        <v>1.3233735</v>
      </c>
      <c r="AE7" s="21">
        <v>0.453509</v>
      </c>
      <c r="AF7" s="21">
        <v>6.1920000000000003E-2</v>
      </c>
      <c r="AG7" s="21">
        <v>1.776934</v>
      </c>
      <c r="AH7" s="22">
        <v>3.001131</v>
      </c>
      <c r="AI7" s="20">
        <f t="shared" ref="AI7:AI70" si="6">SUM(AJ7:AM7)/4</f>
        <v>0.49999999999999944</v>
      </c>
      <c r="AJ7" s="21">
        <v>0</v>
      </c>
      <c r="AK7" s="21">
        <v>0</v>
      </c>
      <c r="AL7" s="21">
        <v>1.4999999999999969</v>
      </c>
      <c r="AM7" s="23">
        <v>0.50000000000000089</v>
      </c>
    </row>
    <row r="8" spans="1:39" x14ac:dyDescent="0.3">
      <c r="A8" s="24" t="s">
        <v>105</v>
      </c>
      <c r="B8" s="25" t="s">
        <v>26</v>
      </c>
      <c r="C8" s="25" t="s">
        <v>27</v>
      </c>
      <c r="D8" s="25" t="s">
        <v>106</v>
      </c>
      <c r="E8" s="26" t="s">
        <v>108</v>
      </c>
      <c r="F8" s="27">
        <v>111</v>
      </c>
      <c r="G8" s="28">
        <f t="shared" si="0"/>
        <v>108</v>
      </c>
      <c r="H8" s="29">
        <v>137</v>
      </c>
      <c r="I8" s="29">
        <v>96</v>
      </c>
      <c r="J8" s="29">
        <v>95</v>
      </c>
      <c r="K8" s="30">
        <v>104</v>
      </c>
      <c r="L8" s="31">
        <f t="shared" si="1"/>
        <v>57.537817250000003</v>
      </c>
      <c r="M8" s="32">
        <v>69.251423999999986</v>
      </c>
      <c r="N8" s="32">
        <v>64.932286999999988</v>
      </c>
      <c r="O8" s="32">
        <v>42.487492000000003</v>
      </c>
      <c r="P8" s="33">
        <v>39.787699999999987</v>
      </c>
      <c r="Q8" s="31">
        <f t="shared" si="2"/>
        <v>14.083565999999999</v>
      </c>
      <c r="R8" s="32">
        <v>17.691825000000001</v>
      </c>
      <c r="S8" s="32">
        <v>8.2920160000000003</v>
      </c>
      <c r="T8" s="32">
        <v>17.357544999999998</v>
      </c>
      <c r="U8" s="33">
        <v>12.992877999999999</v>
      </c>
      <c r="V8" s="31">
        <f t="shared" si="3"/>
        <v>15.168525000000001</v>
      </c>
      <c r="W8" s="32">
        <v>11.428965</v>
      </c>
      <c r="X8" s="32">
        <v>37.580919000000002</v>
      </c>
      <c r="Y8" s="32">
        <v>5.7298460000000002</v>
      </c>
      <c r="Z8" s="33">
        <v>5.9343699999999986</v>
      </c>
      <c r="AA8" s="31">
        <f t="shared" si="4"/>
        <v>6.8461829999999999</v>
      </c>
      <c r="AB8" s="32">
        <v>10.346147999999999</v>
      </c>
      <c r="AC8" s="33">
        <v>3.3462179999999999</v>
      </c>
      <c r="AD8" s="31">
        <f t="shared" si="5"/>
        <v>4.8708132499999994</v>
      </c>
      <c r="AE8" s="32">
        <v>2.7244860000000002</v>
      </c>
      <c r="AF8" s="32">
        <v>1.9631339999999999</v>
      </c>
      <c r="AG8" s="32">
        <v>5.5351810000000006</v>
      </c>
      <c r="AH8" s="33">
        <v>9.260451999999999</v>
      </c>
      <c r="AI8" s="31">
        <f t="shared" si="6"/>
        <v>16.568729999999999</v>
      </c>
      <c r="AJ8" s="32">
        <v>27.06</v>
      </c>
      <c r="AK8" s="32">
        <v>13.74999999999998</v>
      </c>
      <c r="AL8" s="32">
        <v>13.86492000000001</v>
      </c>
      <c r="AM8" s="34">
        <v>11.6</v>
      </c>
    </row>
    <row r="9" spans="1:39" x14ac:dyDescent="0.3">
      <c r="A9" s="24" t="s">
        <v>105</v>
      </c>
      <c r="B9" s="25" t="s">
        <v>26</v>
      </c>
      <c r="C9" s="25" t="s">
        <v>27</v>
      </c>
      <c r="D9" s="25" t="s">
        <v>106</v>
      </c>
      <c r="E9" s="26" t="s">
        <v>109</v>
      </c>
      <c r="F9" s="27">
        <v>97</v>
      </c>
      <c r="G9" s="28">
        <f t="shared" si="0"/>
        <v>75.5</v>
      </c>
      <c r="H9" s="29">
        <v>75</v>
      </c>
      <c r="I9" s="29">
        <v>65</v>
      </c>
      <c r="J9" s="29">
        <v>77</v>
      </c>
      <c r="K9" s="30">
        <v>85</v>
      </c>
      <c r="L9" s="31">
        <f t="shared" si="1"/>
        <v>38.905713249999998</v>
      </c>
      <c r="M9" s="32">
        <v>40.369595999999987</v>
      </c>
      <c r="N9" s="32">
        <v>39.033026999999997</v>
      </c>
      <c r="O9" s="32">
        <v>36.227751000000012</v>
      </c>
      <c r="P9" s="33">
        <v>34.03548</v>
      </c>
      <c r="Q9" s="31">
        <f t="shared" si="2"/>
        <v>9.8994579999999992</v>
      </c>
      <c r="R9" s="32">
        <v>12.527131000000001</v>
      </c>
      <c r="S9" s="32">
        <v>10.783092999999999</v>
      </c>
      <c r="T9" s="32">
        <v>8.0258009999999995</v>
      </c>
      <c r="U9" s="33">
        <v>8.2618069999999992</v>
      </c>
      <c r="V9" s="31">
        <f t="shared" si="3"/>
        <v>10.504282000000002</v>
      </c>
      <c r="W9" s="32">
        <v>8.773670000000001</v>
      </c>
      <c r="X9" s="32">
        <v>17.174787999999999</v>
      </c>
      <c r="Y9" s="32">
        <v>8.3477500000000013</v>
      </c>
      <c r="Z9" s="33">
        <v>7.7209199999999996</v>
      </c>
      <c r="AA9" s="31">
        <f t="shared" si="4"/>
        <v>2.9784994999999999</v>
      </c>
      <c r="AB9" s="32">
        <v>4.3349859999999998</v>
      </c>
      <c r="AC9" s="33">
        <v>1.6220129999999999</v>
      </c>
      <c r="AD9" s="31">
        <f t="shared" si="5"/>
        <v>5.05303375</v>
      </c>
      <c r="AE9" s="32">
        <v>0.35800900000000002</v>
      </c>
      <c r="AF9" s="32">
        <v>1.953133</v>
      </c>
      <c r="AG9" s="32">
        <v>8.0541999999999998</v>
      </c>
      <c r="AH9" s="33">
        <v>9.8467929999999999</v>
      </c>
      <c r="AI9" s="31">
        <f t="shared" si="6"/>
        <v>10.47044</v>
      </c>
      <c r="AJ9" s="32">
        <v>14.375799999999989</v>
      </c>
      <c r="AK9" s="32">
        <v>7.4999999999999973</v>
      </c>
      <c r="AL9" s="32">
        <v>11.80000000000001</v>
      </c>
      <c r="AM9" s="34">
        <v>8.2059600000000028</v>
      </c>
    </row>
    <row r="10" spans="1:39" x14ac:dyDescent="0.3">
      <c r="A10" s="24" t="s">
        <v>105</v>
      </c>
      <c r="B10" s="25" t="s">
        <v>15</v>
      </c>
      <c r="C10" s="25" t="s">
        <v>16</v>
      </c>
      <c r="D10" s="25" t="s">
        <v>110</v>
      </c>
      <c r="E10" s="26" t="s">
        <v>111</v>
      </c>
      <c r="F10" s="27">
        <v>110</v>
      </c>
      <c r="G10" s="28">
        <f t="shared" si="0"/>
        <v>124.5</v>
      </c>
      <c r="H10" s="29">
        <v>119</v>
      </c>
      <c r="I10" s="29">
        <v>136</v>
      </c>
      <c r="J10" s="29">
        <v>130</v>
      </c>
      <c r="K10" s="30">
        <v>113</v>
      </c>
      <c r="L10" s="31">
        <f t="shared" si="1"/>
        <v>78.52157425</v>
      </c>
      <c r="M10" s="32">
        <v>83.836837999999986</v>
      </c>
      <c r="N10" s="32">
        <v>90.212276000000017</v>
      </c>
      <c r="O10" s="32">
        <v>68.340356</v>
      </c>
      <c r="P10" s="33">
        <v>57.864837000000009</v>
      </c>
      <c r="Q10" s="31">
        <f t="shared" si="2"/>
        <v>45.180365500000001</v>
      </c>
      <c r="R10" s="32">
        <v>52.890937999999998</v>
      </c>
      <c r="S10" s="32">
        <v>58.782136000000001</v>
      </c>
      <c r="T10" s="32">
        <v>37.423636999999999</v>
      </c>
      <c r="U10" s="33">
        <v>31.624751</v>
      </c>
      <c r="V10" s="31">
        <f t="shared" si="3"/>
        <v>15.824996249999998</v>
      </c>
      <c r="W10" s="32">
        <v>18.116208</v>
      </c>
      <c r="X10" s="32">
        <v>17.119586999999999</v>
      </c>
      <c r="Y10" s="32">
        <v>16.146170000000001</v>
      </c>
      <c r="Z10" s="33">
        <v>11.91802</v>
      </c>
      <c r="AA10" s="31">
        <f t="shared" si="4"/>
        <v>6.9159950000000006</v>
      </c>
      <c r="AB10" s="32">
        <v>9.0639020000000006</v>
      </c>
      <c r="AC10" s="33">
        <v>4.7680880000000014</v>
      </c>
      <c r="AD10" s="31">
        <f t="shared" si="5"/>
        <v>6.4501299999999997</v>
      </c>
      <c r="AE10" s="32">
        <v>1.8657900000000001</v>
      </c>
      <c r="AF10" s="32">
        <v>4.8116149999999998</v>
      </c>
      <c r="AG10" s="32">
        <v>9.4705490000000001</v>
      </c>
      <c r="AH10" s="33">
        <v>9.6525660000000002</v>
      </c>
      <c r="AI10" s="31">
        <f t="shared" si="6"/>
        <v>4.1500875000000024</v>
      </c>
      <c r="AJ10" s="32">
        <v>1.8999999999999899</v>
      </c>
      <c r="AK10" s="32">
        <v>4.7308500000000162</v>
      </c>
      <c r="AL10" s="32">
        <v>5.2999999999999989</v>
      </c>
      <c r="AM10" s="34">
        <v>4.6695000000000046</v>
      </c>
    </row>
    <row r="11" spans="1:39" x14ac:dyDescent="0.3">
      <c r="A11" s="24" t="s">
        <v>105</v>
      </c>
      <c r="B11" s="25" t="s">
        <v>15</v>
      </c>
      <c r="C11" s="25" t="s">
        <v>16</v>
      </c>
      <c r="D11" s="25" t="s">
        <v>110</v>
      </c>
      <c r="E11" s="26" t="s">
        <v>112</v>
      </c>
      <c r="F11" s="27">
        <v>68</v>
      </c>
      <c r="G11" s="28">
        <f t="shared" si="0"/>
        <v>58.25</v>
      </c>
      <c r="H11" s="29">
        <v>65</v>
      </c>
      <c r="I11" s="29">
        <v>50</v>
      </c>
      <c r="J11" s="29">
        <v>67</v>
      </c>
      <c r="K11" s="30">
        <v>51</v>
      </c>
      <c r="L11" s="31">
        <f t="shared" si="1"/>
        <v>39.374822999999999</v>
      </c>
      <c r="M11" s="32">
        <v>39.064086999999986</v>
      </c>
      <c r="N11" s="32">
        <v>28.961227000000001</v>
      </c>
      <c r="O11" s="32">
        <v>43.683055000000003</v>
      </c>
      <c r="P11" s="33">
        <v>39.159241000000002</v>
      </c>
      <c r="Q11" s="31">
        <f t="shared" si="2"/>
        <v>20.243731</v>
      </c>
      <c r="R11" s="32">
        <v>18.244319999999998</v>
      </c>
      <c r="S11" s="32">
        <v>16.432130000000001</v>
      </c>
      <c r="T11" s="32">
        <v>23.35257</v>
      </c>
      <c r="U11" s="33">
        <v>22.945903999999999</v>
      </c>
      <c r="V11" s="31">
        <f t="shared" si="3"/>
        <v>8.0058989999999994</v>
      </c>
      <c r="W11" s="32">
        <v>11.407093</v>
      </c>
      <c r="X11" s="32">
        <v>8.0829000000000004</v>
      </c>
      <c r="Y11" s="32">
        <v>9.0062720000000009</v>
      </c>
      <c r="Z11" s="33">
        <v>3.5273310000000002</v>
      </c>
      <c r="AA11" s="31">
        <f t="shared" si="4"/>
        <v>3.3158410000000003</v>
      </c>
      <c r="AB11" s="32">
        <v>5.2118160000000007</v>
      </c>
      <c r="AC11" s="33">
        <v>1.4198660000000001</v>
      </c>
      <c r="AD11" s="31">
        <f t="shared" si="5"/>
        <v>2.9093519999999997</v>
      </c>
      <c r="AE11" s="32">
        <v>1.9008579999999999</v>
      </c>
      <c r="AF11" s="32">
        <v>3.0263309999999999</v>
      </c>
      <c r="AG11" s="32">
        <v>4.1242130000000001</v>
      </c>
      <c r="AH11" s="33">
        <v>2.5860059999999998</v>
      </c>
      <c r="AI11" s="31">
        <f t="shared" si="6"/>
        <v>4.8999999999999986</v>
      </c>
      <c r="AJ11" s="32">
        <v>2.2999999999999949</v>
      </c>
      <c r="AK11" s="32">
        <v>0</v>
      </c>
      <c r="AL11" s="32">
        <v>7.200000000000002</v>
      </c>
      <c r="AM11" s="34">
        <v>10.1</v>
      </c>
    </row>
    <row r="12" spans="1:39" x14ac:dyDescent="0.3">
      <c r="A12" s="24" t="s">
        <v>105</v>
      </c>
      <c r="B12" s="25" t="s">
        <v>15</v>
      </c>
      <c r="C12" s="25" t="s">
        <v>16</v>
      </c>
      <c r="D12" s="25" t="s">
        <v>106</v>
      </c>
      <c r="E12" s="26" t="s">
        <v>113</v>
      </c>
      <c r="F12" s="27">
        <v>4</v>
      </c>
      <c r="G12" s="28">
        <f t="shared" si="0"/>
        <v>2.25</v>
      </c>
      <c r="H12" s="29">
        <v>2</v>
      </c>
      <c r="I12" s="29">
        <v>1</v>
      </c>
      <c r="J12" s="29">
        <v>2</v>
      </c>
      <c r="K12" s="30">
        <v>4</v>
      </c>
      <c r="L12" s="31">
        <f t="shared" si="1"/>
        <v>0.94344474999999994</v>
      </c>
      <c r="M12" s="32">
        <v>0.75294899999999998</v>
      </c>
      <c r="N12" s="32">
        <v>1.00708</v>
      </c>
      <c r="O12" s="32">
        <v>0.30319000000000002</v>
      </c>
      <c r="P12" s="33">
        <v>1.7105600000000001</v>
      </c>
      <c r="Q12" s="31">
        <f t="shared" si="2"/>
        <v>0.86764724999999998</v>
      </c>
      <c r="R12" s="32">
        <v>0.75294899999999998</v>
      </c>
      <c r="S12" s="32">
        <v>1.00708</v>
      </c>
      <c r="T12" s="32">
        <v>0</v>
      </c>
      <c r="U12" s="33">
        <v>1.7105600000000001</v>
      </c>
      <c r="V12" s="31">
        <f t="shared" si="3"/>
        <v>0</v>
      </c>
      <c r="W12" s="32">
        <v>0</v>
      </c>
      <c r="X12" s="32">
        <v>0</v>
      </c>
      <c r="Y12" s="32">
        <v>0</v>
      </c>
      <c r="Z12" s="33">
        <v>0</v>
      </c>
      <c r="AA12" s="31">
        <f t="shared" si="4"/>
        <v>0</v>
      </c>
      <c r="AB12" s="32">
        <v>0</v>
      </c>
      <c r="AC12" s="33">
        <v>0</v>
      </c>
      <c r="AD12" s="31">
        <f t="shared" si="5"/>
        <v>1.32975E-2</v>
      </c>
      <c r="AE12" s="32">
        <v>0</v>
      </c>
      <c r="AF12" s="32">
        <v>0</v>
      </c>
      <c r="AG12" s="32">
        <v>5.3190000000000001E-2</v>
      </c>
      <c r="AH12" s="33">
        <v>0</v>
      </c>
      <c r="AI12" s="31">
        <f t="shared" si="6"/>
        <v>6.25E-2</v>
      </c>
      <c r="AJ12" s="32">
        <v>0</v>
      </c>
      <c r="AK12" s="32">
        <v>0</v>
      </c>
      <c r="AL12" s="32">
        <v>0.25</v>
      </c>
      <c r="AM12" s="34">
        <v>0</v>
      </c>
    </row>
    <row r="13" spans="1:39" x14ac:dyDescent="0.3">
      <c r="A13" s="24" t="s">
        <v>105</v>
      </c>
      <c r="B13" s="25" t="s">
        <v>29</v>
      </c>
      <c r="C13" s="25" t="s">
        <v>30</v>
      </c>
      <c r="D13" s="25" t="s">
        <v>110</v>
      </c>
      <c r="E13" s="26" t="s">
        <v>114</v>
      </c>
      <c r="F13" s="27">
        <v>42</v>
      </c>
      <c r="G13" s="28">
        <f t="shared" si="0"/>
        <v>21</v>
      </c>
      <c r="H13" s="29">
        <v>12</v>
      </c>
      <c r="I13" s="29">
        <v>27</v>
      </c>
      <c r="J13" s="29">
        <v>18</v>
      </c>
      <c r="K13" s="30">
        <v>27</v>
      </c>
      <c r="L13" s="31">
        <f t="shared" si="1"/>
        <v>14.515541000000001</v>
      </c>
      <c r="M13" s="32">
        <v>11.988034000000001</v>
      </c>
      <c r="N13" s="32">
        <v>21.50855</v>
      </c>
      <c r="O13" s="32">
        <v>8.8007439999999999</v>
      </c>
      <c r="P13" s="33">
        <v>14.881634</v>
      </c>
      <c r="Q13" s="31">
        <f t="shared" si="2"/>
        <v>5.2571449999999995</v>
      </c>
      <c r="R13" s="32">
        <v>3.2185760000000001</v>
      </c>
      <c r="S13" s="32">
        <v>10.059759</v>
      </c>
      <c r="T13" s="32">
        <v>2.1910810000000001</v>
      </c>
      <c r="U13" s="33">
        <v>5.5591639999999991</v>
      </c>
      <c r="V13" s="31">
        <f t="shared" si="3"/>
        <v>7.8995525000000004</v>
      </c>
      <c r="W13" s="32">
        <v>8.2375499999999988</v>
      </c>
      <c r="X13" s="32">
        <v>10.680630000000001</v>
      </c>
      <c r="Y13" s="32">
        <v>4.9387700000000008</v>
      </c>
      <c r="Z13" s="33">
        <v>7.7412599999999987</v>
      </c>
      <c r="AA13" s="31">
        <f t="shared" si="4"/>
        <v>0.44160099999999991</v>
      </c>
      <c r="AB13" s="32">
        <v>0.46786399999999989</v>
      </c>
      <c r="AC13" s="33">
        <v>0.41533799999999998</v>
      </c>
      <c r="AD13" s="31">
        <f t="shared" si="5"/>
        <v>0.58912750000000003</v>
      </c>
      <c r="AE13" s="32">
        <v>6.4044000000000004E-2</v>
      </c>
      <c r="AF13" s="32">
        <v>0.352823</v>
      </c>
      <c r="AG13" s="32">
        <v>0.65843300000000005</v>
      </c>
      <c r="AH13" s="33">
        <v>1.28121</v>
      </c>
      <c r="AI13" s="31">
        <f t="shared" si="6"/>
        <v>0.32811500000000066</v>
      </c>
      <c r="AJ13" s="32">
        <v>1.429412144204889E-15</v>
      </c>
      <c r="AK13" s="32">
        <v>0</v>
      </c>
      <c r="AL13" s="32">
        <v>1.012459999999999</v>
      </c>
      <c r="AM13" s="34">
        <v>0.30000000000000232</v>
      </c>
    </row>
    <row r="14" spans="1:39" x14ac:dyDescent="0.3">
      <c r="A14" s="24" t="s">
        <v>105</v>
      </c>
      <c r="B14" s="25" t="s">
        <v>29</v>
      </c>
      <c r="C14" s="25" t="s">
        <v>30</v>
      </c>
      <c r="D14" s="25" t="s">
        <v>106</v>
      </c>
      <c r="E14" s="26" t="s">
        <v>115</v>
      </c>
      <c r="F14" s="27">
        <v>92</v>
      </c>
      <c r="G14" s="28">
        <f t="shared" si="0"/>
        <v>85.5</v>
      </c>
      <c r="H14" s="29">
        <v>104</v>
      </c>
      <c r="I14" s="29">
        <v>93</v>
      </c>
      <c r="J14" s="29">
        <v>74</v>
      </c>
      <c r="K14" s="30">
        <v>71</v>
      </c>
      <c r="L14" s="31">
        <f t="shared" si="1"/>
        <v>44.913426500000007</v>
      </c>
      <c r="M14" s="32">
        <v>52.755542000000013</v>
      </c>
      <c r="N14" s="32">
        <v>37.08618100000001</v>
      </c>
      <c r="O14" s="32">
        <v>49.616259999999997</v>
      </c>
      <c r="P14" s="33">
        <v>31.010372999999991</v>
      </c>
      <c r="Q14" s="31">
        <f t="shared" si="2"/>
        <v>8.9658102500000005</v>
      </c>
      <c r="R14" s="32">
        <v>20.500326999999999</v>
      </c>
      <c r="S14" s="32">
        <v>5.3148920000000004</v>
      </c>
      <c r="T14" s="32">
        <v>5.5321060000000006</v>
      </c>
      <c r="U14" s="33">
        <v>4.5159160000000007</v>
      </c>
      <c r="V14" s="31">
        <f t="shared" si="3"/>
        <v>26.205099750000002</v>
      </c>
      <c r="W14" s="32">
        <v>20.905199</v>
      </c>
      <c r="X14" s="32">
        <v>22.43627</v>
      </c>
      <c r="Y14" s="32">
        <v>40.355020000000003</v>
      </c>
      <c r="Z14" s="33">
        <v>21.123909999999999</v>
      </c>
      <c r="AA14" s="31">
        <f t="shared" si="4"/>
        <v>4.5926749999999998</v>
      </c>
      <c r="AB14" s="32">
        <v>5.2593749999999986</v>
      </c>
      <c r="AC14" s="33">
        <v>3.9259750000000002</v>
      </c>
      <c r="AD14" s="31">
        <f t="shared" si="5"/>
        <v>2.5498414999999999</v>
      </c>
      <c r="AE14" s="32">
        <v>1.6906410000000001</v>
      </c>
      <c r="AF14" s="32">
        <v>2.5090439999999998</v>
      </c>
      <c r="AG14" s="32">
        <v>2.1291340000000001</v>
      </c>
      <c r="AH14" s="33">
        <v>3.8705470000000002</v>
      </c>
      <c r="AI14" s="31">
        <f t="shared" si="6"/>
        <v>2.6000000000000041</v>
      </c>
      <c r="AJ14" s="32">
        <v>4.400000000000011</v>
      </c>
      <c r="AK14" s="32">
        <v>2.9000000000000088</v>
      </c>
      <c r="AL14" s="32">
        <v>1.6000000000000021</v>
      </c>
      <c r="AM14" s="34">
        <v>1.4999999999999949</v>
      </c>
    </row>
    <row r="15" spans="1:39" x14ac:dyDescent="0.3">
      <c r="A15" s="24" t="s">
        <v>105</v>
      </c>
      <c r="B15" s="25" t="s">
        <v>29</v>
      </c>
      <c r="C15" s="25" t="s">
        <v>30</v>
      </c>
      <c r="D15" s="25" t="s">
        <v>116</v>
      </c>
      <c r="E15" s="26" t="s">
        <v>117</v>
      </c>
      <c r="F15" s="27">
        <v>49</v>
      </c>
      <c r="G15" s="28">
        <f t="shared" si="0"/>
        <v>10.75</v>
      </c>
      <c r="H15" s="29">
        <v>13</v>
      </c>
      <c r="I15" s="29">
        <v>7</v>
      </c>
      <c r="J15" s="29">
        <v>12</v>
      </c>
      <c r="K15" s="30">
        <v>11</v>
      </c>
      <c r="L15" s="31">
        <f t="shared" si="1"/>
        <v>7.4806152500000005</v>
      </c>
      <c r="M15" s="32">
        <v>7.737717</v>
      </c>
      <c r="N15" s="32">
        <v>6.6845140000000001</v>
      </c>
      <c r="O15" s="32">
        <v>8.9969310000000018</v>
      </c>
      <c r="P15" s="33">
        <v>5.5615170000000003</v>
      </c>
      <c r="Q15" s="31">
        <f t="shared" si="2"/>
        <v>2.4114364999999998</v>
      </c>
      <c r="R15" s="32">
        <v>1.5421339999999999</v>
      </c>
      <c r="S15" s="32">
        <v>0.30096000000000001</v>
      </c>
      <c r="T15" s="32">
        <v>5.1407209999999992</v>
      </c>
      <c r="U15" s="33">
        <v>2.661931</v>
      </c>
      <c r="V15" s="31">
        <f t="shared" si="3"/>
        <v>2.8882895000000004</v>
      </c>
      <c r="W15" s="32">
        <v>1.7114609999999999</v>
      </c>
      <c r="X15" s="32">
        <v>6.3193370000000009</v>
      </c>
      <c r="Y15" s="32">
        <v>3.3183600000000002</v>
      </c>
      <c r="Z15" s="33">
        <v>0.20399999999999999</v>
      </c>
      <c r="AA15" s="31">
        <f t="shared" si="4"/>
        <v>0.470891</v>
      </c>
      <c r="AB15" s="32">
        <v>0.87756500000000004</v>
      </c>
      <c r="AC15" s="33">
        <v>6.4216999999999996E-2</v>
      </c>
      <c r="AD15" s="31">
        <f t="shared" si="5"/>
        <v>0.44499824999999998</v>
      </c>
      <c r="AE15" s="32">
        <v>0.106557</v>
      </c>
      <c r="AF15" s="32">
        <v>0</v>
      </c>
      <c r="AG15" s="32">
        <v>0.53784999999999994</v>
      </c>
      <c r="AH15" s="33">
        <v>1.135586</v>
      </c>
      <c r="AI15" s="31">
        <f t="shared" si="6"/>
        <v>1.2650000000000006</v>
      </c>
      <c r="AJ15" s="32">
        <v>3.5</v>
      </c>
      <c r="AK15" s="32">
        <v>0</v>
      </c>
      <c r="AL15" s="32">
        <v>2.442490654175344E-15</v>
      </c>
      <c r="AM15" s="34">
        <v>1.56</v>
      </c>
    </row>
    <row r="16" spans="1:39" x14ac:dyDescent="0.3">
      <c r="A16" s="24" t="s">
        <v>105</v>
      </c>
      <c r="B16" s="25" t="s">
        <v>29</v>
      </c>
      <c r="C16" s="25" t="s">
        <v>30</v>
      </c>
      <c r="D16" s="25" t="s">
        <v>116</v>
      </c>
      <c r="E16" s="26" t="s">
        <v>118</v>
      </c>
      <c r="F16" s="27">
        <v>1</v>
      </c>
      <c r="G16" s="28">
        <f t="shared" si="0"/>
        <v>0</v>
      </c>
      <c r="H16" s="29">
        <v>0</v>
      </c>
      <c r="I16" s="29">
        <v>0</v>
      </c>
      <c r="J16" s="29">
        <v>0</v>
      </c>
      <c r="K16" s="30">
        <v>0</v>
      </c>
      <c r="L16" s="31">
        <f t="shared" si="1"/>
        <v>0</v>
      </c>
      <c r="M16" s="32">
        <v>0</v>
      </c>
      <c r="N16" s="32">
        <v>0</v>
      </c>
      <c r="O16" s="32">
        <v>0</v>
      </c>
      <c r="P16" s="33">
        <v>0</v>
      </c>
      <c r="Q16" s="31">
        <f t="shared" si="2"/>
        <v>0</v>
      </c>
      <c r="R16" s="32">
        <v>0</v>
      </c>
      <c r="S16" s="32">
        <v>0</v>
      </c>
      <c r="T16" s="32">
        <v>0</v>
      </c>
      <c r="U16" s="33">
        <v>0</v>
      </c>
      <c r="V16" s="31">
        <f t="shared" si="3"/>
        <v>0</v>
      </c>
      <c r="W16" s="32">
        <v>0</v>
      </c>
      <c r="X16" s="32">
        <v>0</v>
      </c>
      <c r="Y16" s="32">
        <v>0</v>
      </c>
      <c r="Z16" s="33">
        <v>0</v>
      </c>
      <c r="AA16" s="31">
        <f t="shared" si="4"/>
        <v>0</v>
      </c>
      <c r="AB16" s="32">
        <v>0</v>
      </c>
      <c r="AC16" s="33">
        <v>0</v>
      </c>
      <c r="AD16" s="31">
        <f t="shared" si="5"/>
        <v>0</v>
      </c>
      <c r="AE16" s="32">
        <v>0</v>
      </c>
      <c r="AF16" s="32">
        <v>0</v>
      </c>
      <c r="AG16" s="32">
        <v>0</v>
      </c>
      <c r="AH16" s="33">
        <v>0</v>
      </c>
      <c r="AI16" s="31">
        <f t="shared" si="6"/>
        <v>0</v>
      </c>
      <c r="AJ16" s="32">
        <v>0</v>
      </c>
      <c r="AK16" s="32">
        <v>0</v>
      </c>
      <c r="AL16" s="32">
        <v>0</v>
      </c>
      <c r="AM16" s="34">
        <v>0</v>
      </c>
    </row>
    <row r="17" spans="1:39" x14ac:dyDescent="0.3">
      <c r="A17" s="24" t="s">
        <v>105</v>
      </c>
      <c r="B17" s="25" t="s">
        <v>29</v>
      </c>
      <c r="C17" s="25" t="s">
        <v>30</v>
      </c>
      <c r="D17" s="25" t="s">
        <v>116</v>
      </c>
      <c r="E17" s="26" t="s">
        <v>119</v>
      </c>
      <c r="F17" s="27">
        <v>14</v>
      </c>
      <c r="G17" s="28">
        <f t="shared" si="0"/>
        <v>2.25</v>
      </c>
      <c r="H17" s="29">
        <v>4</v>
      </c>
      <c r="I17" s="29">
        <v>1</v>
      </c>
      <c r="J17" s="29">
        <v>4</v>
      </c>
      <c r="K17" s="30">
        <v>0</v>
      </c>
      <c r="L17" s="31">
        <f t="shared" si="1"/>
        <v>0.73464450000000003</v>
      </c>
      <c r="M17" s="32">
        <v>1.2375210000000001</v>
      </c>
      <c r="N17" s="32">
        <v>0.50088500000000002</v>
      </c>
      <c r="O17" s="32">
        <v>1.200172</v>
      </c>
      <c r="P17" s="33">
        <v>0</v>
      </c>
      <c r="Q17" s="31">
        <f t="shared" si="2"/>
        <v>0.63901350000000001</v>
      </c>
      <c r="R17" s="32">
        <v>1.143383</v>
      </c>
      <c r="S17" s="32">
        <v>0.50088500000000002</v>
      </c>
      <c r="T17" s="32">
        <v>0.91178599999999999</v>
      </c>
      <c r="U17" s="33">
        <v>0</v>
      </c>
      <c r="V17" s="31">
        <f t="shared" si="3"/>
        <v>0</v>
      </c>
      <c r="W17" s="32">
        <v>0</v>
      </c>
      <c r="X17" s="32">
        <v>0</v>
      </c>
      <c r="Y17" s="32">
        <v>0</v>
      </c>
      <c r="Z17" s="33">
        <v>0</v>
      </c>
      <c r="AA17" s="31">
        <f t="shared" si="4"/>
        <v>0</v>
      </c>
      <c r="AB17" s="32">
        <v>0</v>
      </c>
      <c r="AC17" s="33">
        <v>0</v>
      </c>
      <c r="AD17" s="31">
        <f t="shared" si="5"/>
        <v>4.5631000000000005E-2</v>
      </c>
      <c r="AE17" s="32">
        <v>9.4137999999999999E-2</v>
      </c>
      <c r="AF17" s="32">
        <v>0</v>
      </c>
      <c r="AG17" s="32">
        <v>8.8386000000000006E-2</v>
      </c>
      <c r="AH17" s="33">
        <v>0</v>
      </c>
      <c r="AI17" s="31">
        <f t="shared" si="6"/>
        <v>0.05</v>
      </c>
      <c r="AJ17" s="32">
        <v>0</v>
      </c>
      <c r="AK17" s="32">
        <v>0</v>
      </c>
      <c r="AL17" s="32">
        <v>0.2</v>
      </c>
      <c r="AM17" s="34">
        <v>0</v>
      </c>
    </row>
    <row r="18" spans="1:39" x14ac:dyDescent="0.3">
      <c r="A18" s="24" t="s">
        <v>105</v>
      </c>
      <c r="B18" s="25" t="s">
        <v>29</v>
      </c>
      <c r="C18" s="25" t="s">
        <v>30</v>
      </c>
      <c r="D18" s="25" t="s">
        <v>116</v>
      </c>
      <c r="E18" s="26" t="s">
        <v>120</v>
      </c>
      <c r="F18" s="27">
        <v>10</v>
      </c>
      <c r="G18" s="28">
        <f t="shared" si="0"/>
        <v>0.75</v>
      </c>
      <c r="H18" s="29">
        <v>0</v>
      </c>
      <c r="I18" s="29">
        <v>2</v>
      </c>
      <c r="J18" s="29">
        <v>1</v>
      </c>
      <c r="K18" s="30">
        <v>0</v>
      </c>
      <c r="L18" s="31">
        <f t="shared" si="1"/>
        <v>0.97084324999999994</v>
      </c>
      <c r="M18" s="32">
        <v>0</v>
      </c>
      <c r="N18" s="32">
        <v>2.8796029999999999</v>
      </c>
      <c r="O18" s="32">
        <v>1.0037700000000001</v>
      </c>
      <c r="P18" s="33">
        <v>0</v>
      </c>
      <c r="Q18" s="31">
        <f t="shared" si="2"/>
        <v>0.97084324999999994</v>
      </c>
      <c r="R18" s="32">
        <v>0</v>
      </c>
      <c r="S18" s="32">
        <v>2.8796029999999999</v>
      </c>
      <c r="T18" s="32">
        <v>1.0037700000000001</v>
      </c>
      <c r="U18" s="33">
        <v>0</v>
      </c>
      <c r="V18" s="31">
        <f t="shared" si="3"/>
        <v>0</v>
      </c>
      <c r="W18" s="32">
        <v>0</v>
      </c>
      <c r="X18" s="32">
        <v>0</v>
      </c>
      <c r="Y18" s="32">
        <v>0</v>
      </c>
      <c r="Z18" s="33">
        <v>0</v>
      </c>
      <c r="AA18" s="31">
        <f t="shared" si="4"/>
        <v>0</v>
      </c>
      <c r="AB18" s="32">
        <v>0</v>
      </c>
      <c r="AC18" s="33">
        <v>0</v>
      </c>
      <c r="AD18" s="31">
        <f t="shared" si="5"/>
        <v>0</v>
      </c>
      <c r="AE18" s="32">
        <v>0</v>
      </c>
      <c r="AF18" s="32">
        <v>0</v>
      </c>
      <c r="AG18" s="32">
        <v>0</v>
      </c>
      <c r="AH18" s="33">
        <v>0</v>
      </c>
      <c r="AI18" s="31">
        <f t="shared" si="6"/>
        <v>0</v>
      </c>
      <c r="AJ18" s="32">
        <v>0</v>
      </c>
      <c r="AK18" s="32">
        <v>0</v>
      </c>
      <c r="AL18" s="32">
        <v>0</v>
      </c>
      <c r="AM18" s="34">
        <v>0</v>
      </c>
    </row>
    <row r="19" spans="1:39" x14ac:dyDescent="0.3">
      <c r="A19" s="24" t="s">
        <v>105</v>
      </c>
      <c r="B19" s="25" t="s">
        <v>29</v>
      </c>
      <c r="C19" s="25" t="s">
        <v>30</v>
      </c>
      <c r="D19" s="25" t="s">
        <v>116</v>
      </c>
      <c r="E19" s="26" t="s">
        <v>121</v>
      </c>
      <c r="F19" s="27">
        <v>16</v>
      </c>
      <c r="G19" s="28">
        <f t="shared" si="0"/>
        <v>6.25</v>
      </c>
      <c r="H19" s="29">
        <v>12</v>
      </c>
      <c r="I19" s="29">
        <v>5</v>
      </c>
      <c r="J19" s="29">
        <v>3</v>
      </c>
      <c r="K19" s="30">
        <v>5</v>
      </c>
      <c r="L19" s="31">
        <f t="shared" si="1"/>
        <v>2.9317974999999996</v>
      </c>
      <c r="M19" s="32">
        <v>5.0106380000000001</v>
      </c>
      <c r="N19" s="32">
        <v>2.0464000000000002</v>
      </c>
      <c r="O19" s="32">
        <v>0.62431999999999999</v>
      </c>
      <c r="P19" s="33">
        <v>4.0458319999999999</v>
      </c>
      <c r="Q19" s="31">
        <f t="shared" si="2"/>
        <v>0.93925799999999993</v>
      </c>
      <c r="R19" s="32">
        <v>0</v>
      </c>
      <c r="S19" s="32">
        <v>0</v>
      </c>
      <c r="T19" s="32">
        <v>0.2112</v>
      </c>
      <c r="U19" s="33">
        <v>3.5458319999999999</v>
      </c>
      <c r="V19" s="31">
        <f t="shared" si="3"/>
        <v>1.8075300000000001</v>
      </c>
      <c r="W19" s="32">
        <v>4.9706000000000001</v>
      </c>
      <c r="X19" s="32">
        <v>2.0464000000000002</v>
      </c>
      <c r="Y19" s="32">
        <v>0.21312</v>
      </c>
      <c r="Z19" s="33">
        <v>0</v>
      </c>
      <c r="AA19" s="31">
        <f t="shared" si="4"/>
        <v>0</v>
      </c>
      <c r="AB19" s="32">
        <v>0</v>
      </c>
      <c r="AC19" s="33">
        <v>0</v>
      </c>
      <c r="AD19" s="31">
        <f t="shared" si="5"/>
        <v>1.0009499999999999E-2</v>
      </c>
      <c r="AE19" s="32">
        <v>4.0037999999999997E-2</v>
      </c>
      <c r="AF19" s="32">
        <v>0</v>
      </c>
      <c r="AG19" s="32">
        <v>0</v>
      </c>
      <c r="AH19" s="33">
        <v>0</v>
      </c>
      <c r="AI19" s="31">
        <f t="shared" si="6"/>
        <v>0.17499999999999999</v>
      </c>
      <c r="AJ19" s="32">
        <v>0</v>
      </c>
      <c r="AK19" s="32">
        <v>0</v>
      </c>
      <c r="AL19" s="32">
        <v>0.2</v>
      </c>
      <c r="AM19" s="34">
        <v>0.5</v>
      </c>
    </row>
    <row r="20" spans="1:39" x14ac:dyDescent="0.3">
      <c r="A20" s="24" t="s">
        <v>105</v>
      </c>
      <c r="B20" s="25" t="s">
        <v>29</v>
      </c>
      <c r="C20" s="25" t="s">
        <v>30</v>
      </c>
      <c r="D20" s="25" t="s">
        <v>116</v>
      </c>
      <c r="E20" s="26" t="s">
        <v>122</v>
      </c>
      <c r="F20" s="27">
        <v>3</v>
      </c>
      <c r="G20" s="28">
        <f t="shared" si="0"/>
        <v>0</v>
      </c>
      <c r="H20" s="29">
        <v>0</v>
      </c>
      <c r="I20" s="29">
        <v>0</v>
      </c>
      <c r="J20" s="29">
        <v>0</v>
      </c>
      <c r="K20" s="30">
        <v>0</v>
      </c>
      <c r="L20" s="31">
        <f t="shared" si="1"/>
        <v>0</v>
      </c>
      <c r="M20" s="32">
        <v>0</v>
      </c>
      <c r="N20" s="32">
        <v>0</v>
      </c>
      <c r="O20" s="32">
        <v>0</v>
      </c>
      <c r="P20" s="33">
        <v>0</v>
      </c>
      <c r="Q20" s="31">
        <f t="shared" si="2"/>
        <v>0</v>
      </c>
      <c r="R20" s="32">
        <v>0</v>
      </c>
      <c r="S20" s="32">
        <v>0</v>
      </c>
      <c r="T20" s="32">
        <v>0</v>
      </c>
      <c r="U20" s="33">
        <v>0</v>
      </c>
      <c r="V20" s="31">
        <f t="shared" si="3"/>
        <v>0</v>
      </c>
      <c r="W20" s="32">
        <v>0</v>
      </c>
      <c r="X20" s="32">
        <v>0</v>
      </c>
      <c r="Y20" s="32">
        <v>0</v>
      </c>
      <c r="Z20" s="33">
        <v>0</v>
      </c>
      <c r="AA20" s="31">
        <f t="shared" si="4"/>
        <v>0</v>
      </c>
      <c r="AB20" s="32">
        <v>0</v>
      </c>
      <c r="AC20" s="33">
        <v>0</v>
      </c>
      <c r="AD20" s="31">
        <f t="shared" si="5"/>
        <v>0</v>
      </c>
      <c r="AE20" s="32">
        <v>0</v>
      </c>
      <c r="AF20" s="32">
        <v>0</v>
      </c>
      <c r="AG20" s="32">
        <v>0</v>
      </c>
      <c r="AH20" s="33">
        <v>0</v>
      </c>
      <c r="AI20" s="31">
        <f t="shared" si="6"/>
        <v>0</v>
      </c>
      <c r="AJ20" s="32">
        <v>0</v>
      </c>
      <c r="AK20" s="32">
        <v>0</v>
      </c>
      <c r="AL20" s="32">
        <v>0</v>
      </c>
      <c r="AM20" s="34">
        <v>0</v>
      </c>
    </row>
    <row r="21" spans="1:39" x14ac:dyDescent="0.3">
      <c r="A21" s="24" t="s">
        <v>105</v>
      </c>
      <c r="B21" s="25" t="s">
        <v>29</v>
      </c>
      <c r="C21" s="25" t="s">
        <v>30</v>
      </c>
      <c r="D21" s="25" t="s">
        <v>116</v>
      </c>
      <c r="E21" s="26" t="s">
        <v>123</v>
      </c>
      <c r="F21" s="27">
        <v>1</v>
      </c>
      <c r="G21" s="28">
        <f t="shared" si="0"/>
        <v>0</v>
      </c>
      <c r="H21" s="29">
        <v>0</v>
      </c>
      <c r="I21" s="29">
        <v>0</v>
      </c>
      <c r="J21" s="29">
        <v>0</v>
      </c>
      <c r="K21" s="30">
        <v>0</v>
      </c>
      <c r="L21" s="31">
        <f t="shared" si="1"/>
        <v>0</v>
      </c>
      <c r="M21" s="32">
        <v>0</v>
      </c>
      <c r="N21" s="32">
        <v>0</v>
      </c>
      <c r="O21" s="32">
        <v>0</v>
      </c>
      <c r="P21" s="33">
        <v>0</v>
      </c>
      <c r="Q21" s="31">
        <f t="shared" si="2"/>
        <v>0</v>
      </c>
      <c r="R21" s="32">
        <v>0</v>
      </c>
      <c r="S21" s="32">
        <v>0</v>
      </c>
      <c r="T21" s="32">
        <v>0</v>
      </c>
      <c r="U21" s="33">
        <v>0</v>
      </c>
      <c r="V21" s="31">
        <f t="shared" si="3"/>
        <v>0</v>
      </c>
      <c r="W21" s="32">
        <v>0</v>
      </c>
      <c r="X21" s="32">
        <v>0</v>
      </c>
      <c r="Y21" s="32">
        <v>0</v>
      </c>
      <c r="Z21" s="33">
        <v>0</v>
      </c>
      <c r="AA21" s="31">
        <f t="shared" si="4"/>
        <v>0</v>
      </c>
      <c r="AB21" s="32">
        <v>0</v>
      </c>
      <c r="AC21" s="33">
        <v>0</v>
      </c>
      <c r="AD21" s="31">
        <f t="shared" si="5"/>
        <v>0</v>
      </c>
      <c r="AE21" s="32">
        <v>0</v>
      </c>
      <c r="AF21" s="32">
        <v>0</v>
      </c>
      <c r="AG21" s="32">
        <v>0</v>
      </c>
      <c r="AH21" s="33">
        <v>0</v>
      </c>
      <c r="AI21" s="31">
        <f t="shared" si="6"/>
        <v>0</v>
      </c>
      <c r="AJ21" s="32">
        <v>0</v>
      </c>
      <c r="AK21" s="32">
        <v>0</v>
      </c>
      <c r="AL21" s="32">
        <v>0</v>
      </c>
      <c r="AM21" s="34">
        <v>0</v>
      </c>
    </row>
    <row r="22" spans="1:39" x14ac:dyDescent="0.3">
      <c r="A22" s="24" t="s">
        <v>105</v>
      </c>
      <c r="B22" s="25" t="s">
        <v>29</v>
      </c>
      <c r="C22" s="25" t="s">
        <v>30</v>
      </c>
      <c r="D22" s="25" t="s">
        <v>116</v>
      </c>
      <c r="E22" s="26" t="s">
        <v>124</v>
      </c>
      <c r="F22" s="27">
        <v>1</v>
      </c>
      <c r="G22" s="28">
        <f t="shared" si="0"/>
        <v>0</v>
      </c>
      <c r="H22" s="29">
        <v>0</v>
      </c>
      <c r="I22" s="29">
        <v>0</v>
      </c>
      <c r="J22" s="29">
        <v>0</v>
      </c>
      <c r="K22" s="30">
        <v>0</v>
      </c>
      <c r="L22" s="31">
        <f t="shared" si="1"/>
        <v>0</v>
      </c>
      <c r="M22" s="32">
        <v>0</v>
      </c>
      <c r="N22" s="32">
        <v>0</v>
      </c>
      <c r="O22" s="32">
        <v>0</v>
      </c>
      <c r="P22" s="33">
        <v>0</v>
      </c>
      <c r="Q22" s="31">
        <f t="shared" si="2"/>
        <v>0</v>
      </c>
      <c r="R22" s="32">
        <v>0</v>
      </c>
      <c r="S22" s="32">
        <v>0</v>
      </c>
      <c r="T22" s="32">
        <v>0</v>
      </c>
      <c r="U22" s="33">
        <v>0</v>
      </c>
      <c r="V22" s="31">
        <f t="shared" si="3"/>
        <v>0</v>
      </c>
      <c r="W22" s="32">
        <v>0</v>
      </c>
      <c r="X22" s="32">
        <v>0</v>
      </c>
      <c r="Y22" s="32">
        <v>0</v>
      </c>
      <c r="Z22" s="33">
        <v>0</v>
      </c>
      <c r="AA22" s="31">
        <f t="shared" si="4"/>
        <v>0</v>
      </c>
      <c r="AB22" s="32">
        <v>0</v>
      </c>
      <c r="AC22" s="33">
        <v>0</v>
      </c>
      <c r="AD22" s="31">
        <f t="shared" si="5"/>
        <v>0</v>
      </c>
      <c r="AE22" s="32">
        <v>0</v>
      </c>
      <c r="AF22" s="32">
        <v>0</v>
      </c>
      <c r="AG22" s="32">
        <v>0</v>
      </c>
      <c r="AH22" s="33">
        <v>0</v>
      </c>
      <c r="AI22" s="31">
        <f t="shared" si="6"/>
        <v>0</v>
      </c>
      <c r="AJ22" s="32">
        <v>0</v>
      </c>
      <c r="AK22" s="32">
        <v>0</v>
      </c>
      <c r="AL22" s="32">
        <v>0</v>
      </c>
      <c r="AM22" s="34">
        <v>0</v>
      </c>
    </row>
    <row r="23" spans="1:39" x14ac:dyDescent="0.3">
      <c r="A23" s="24" t="s">
        <v>105</v>
      </c>
      <c r="B23" s="25" t="s">
        <v>29</v>
      </c>
      <c r="C23" s="25" t="s">
        <v>30</v>
      </c>
      <c r="D23" s="25" t="s">
        <v>116</v>
      </c>
      <c r="E23" s="26" t="s">
        <v>125</v>
      </c>
      <c r="F23" s="27">
        <v>69</v>
      </c>
      <c r="G23" s="28">
        <f t="shared" si="0"/>
        <v>28.75</v>
      </c>
      <c r="H23" s="29">
        <v>27</v>
      </c>
      <c r="I23" s="29">
        <v>28</v>
      </c>
      <c r="J23" s="29">
        <v>22</v>
      </c>
      <c r="K23" s="30">
        <v>38</v>
      </c>
      <c r="L23" s="31">
        <f t="shared" si="1"/>
        <v>12.043722249999998</v>
      </c>
      <c r="M23" s="32">
        <v>7.8241869999999993</v>
      </c>
      <c r="N23" s="32">
        <v>15.405981000000001</v>
      </c>
      <c r="O23" s="32">
        <v>6.6198639999999997</v>
      </c>
      <c r="P23" s="33">
        <v>14.785232000000001</v>
      </c>
      <c r="Q23" s="31">
        <f t="shared" si="2"/>
        <v>3.9655249999999995</v>
      </c>
      <c r="R23" s="32">
        <v>3.7600220000000002</v>
      </c>
      <c r="S23" s="32">
        <v>5.0072089999999996</v>
      </c>
      <c r="T23" s="32">
        <v>1.5013909999999999</v>
      </c>
      <c r="U23" s="33">
        <v>5.5934780000000002</v>
      </c>
      <c r="V23" s="31">
        <f t="shared" si="3"/>
        <v>3.7343225000000002</v>
      </c>
      <c r="W23" s="32">
        <v>0.65049000000000001</v>
      </c>
      <c r="X23" s="32">
        <v>8.4353800000000003</v>
      </c>
      <c r="Y23" s="32">
        <v>2.2092499999999999</v>
      </c>
      <c r="Z23" s="33">
        <v>3.6421700000000001</v>
      </c>
      <c r="AA23" s="31">
        <f t="shared" si="4"/>
        <v>1.7698125</v>
      </c>
      <c r="AB23" s="32">
        <v>2.4038200000000001</v>
      </c>
      <c r="AC23" s="33">
        <v>1.135805</v>
      </c>
      <c r="AD23" s="31">
        <f t="shared" si="5"/>
        <v>1.5543772499999999</v>
      </c>
      <c r="AE23" s="32">
        <v>0.69955500000000004</v>
      </c>
      <c r="AF23" s="32">
        <v>0.82758700000000007</v>
      </c>
      <c r="AG23" s="32">
        <v>1.2692730000000001</v>
      </c>
      <c r="AH23" s="33">
        <v>3.4210940000000001</v>
      </c>
      <c r="AI23" s="31">
        <f t="shared" si="6"/>
        <v>1.019685</v>
      </c>
      <c r="AJ23" s="32">
        <v>0.31029999999999952</v>
      </c>
      <c r="AK23" s="32">
        <v>0</v>
      </c>
      <c r="AL23" s="32">
        <v>1.63995</v>
      </c>
      <c r="AM23" s="34">
        <v>2.1284900000000002</v>
      </c>
    </row>
    <row r="24" spans="1:39" x14ac:dyDescent="0.3">
      <c r="A24" s="24" t="s">
        <v>105</v>
      </c>
      <c r="B24" s="25" t="s">
        <v>29</v>
      </c>
      <c r="C24" s="25" t="s">
        <v>30</v>
      </c>
      <c r="D24" s="25" t="s">
        <v>116</v>
      </c>
      <c r="E24" s="26" t="s">
        <v>126</v>
      </c>
      <c r="F24" s="27">
        <v>3</v>
      </c>
      <c r="G24" s="28">
        <f t="shared" si="0"/>
        <v>0.75</v>
      </c>
      <c r="H24" s="29">
        <v>0</v>
      </c>
      <c r="I24" s="29">
        <v>0</v>
      </c>
      <c r="J24" s="29">
        <v>2</v>
      </c>
      <c r="K24" s="30">
        <v>1</v>
      </c>
      <c r="L24" s="31">
        <f t="shared" si="1"/>
        <v>0.11602499999999999</v>
      </c>
      <c r="M24" s="32">
        <v>0</v>
      </c>
      <c r="N24" s="32">
        <v>0</v>
      </c>
      <c r="O24" s="32">
        <v>0.33529999999999999</v>
      </c>
      <c r="P24" s="33">
        <v>0.1288</v>
      </c>
      <c r="Q24" s="31">
        <f t="shared" si="2"/>
        <v>0</v>
      </c>
      <c r="R24" s="32">
        <v>0</v>
      </c>
      <c r="S24" s="32">
        <v>0</v>
      </c>
      <c r="T24" s="32">
        <v>0</v>
      </c>
      <c r="U24" s="33">
        <v>0</v>
      </c>
      <c r="V24" s="31">
        <f t="shared" si="3"/>
        <v>0.11602499999999999</v>
      </c>
      <c r="W24" s="32">
        <v>0</v>
      </c>
      <c r="X24" s="32">
        <v>0</v>
      </c>
      <c r="Y24" s="32">
        <v>0.33529999999999999</v>
      </c>
      <c r="Z24" s="33">
        <v>0.1288</v>
      </c>
      <c r="AA24" s="31">
        <f t="shared" si="4"/>
        <v>0</v>
      </c>
      <c r="AB24" s="32">
        <v>0</v>
      </c>
      <c r="AC24" s="33">
        <v>0</v>
      </c>
      <c r="AD24" s="31">
        <f t="shared" si="5"/>
        <v>0</v>
      </c>
      <c r="AE24" s="32">
        <v>0</v>
      </c>
      <c r="AF24" s="32">
        <v>0</v>
      </c>
      <c r="AG24" s="32">
        <v>0</v>
      </c>
      <c r="AH24" s="33">
        <v>0</v>
      </c>
      <c r="AI24" s="31">
        <f t="shared" si="6"/>
        <v>0</v>
      </c>
      <c r="AJ24" s="32">
        <v>0</v>
      </c>
      <c r="AK24" s="32">
        <v>0</v>
      </c>
      <c r="AL24" s="32">
        <v>0</v>
      </c>
      <c r="AM24" s="34">
        <v>0</v>
      </c>
    </row>
    <row r="25" spans="1:39" x14ac:dyDescent="0.3">
      <c r="A25" s="24" t="s">
        <v>105</v>
      </c>
      <c r="B25" s="25" t="s">
        <v>29</v>
      </c>
      <c r="C25" s="25" t="s">
        <v>30</v>
      </c>
      <c r="D25" s="25" t="s">
        <v>116</v>
      </c>
      <c r="E25" s="26" t="s">
        <v>127</v>
      </c>
      <c r="F25" s="27">
        <v>1</v>
      </c>
      <c r="G25" s="28">
        <f t="shared" si="0"/>
        <v>1</v>
      </c>
      <c r="H25" s="29">
        <v>2</v>
      </c>
      <c r="I25" s="29">
        <v>1</v>
      </c>
      <c r="J25" s="29">
        <v>1</v>
      </c>
      <c r="K25" s="30">
        <v>0</v>
      </c>
      <c r="L25" s="31">
        <f t="shared" si="1"/>
        <v>0.22456625</v>
      </c>
      <c r="M25" s="32">
        <v>0.32165899999999997</v>
      </c>
      <c r="N25" s="32">
        <v>0.15478800000000001</v>
      </c>
      <c r="O25" s="32">
        <v>4.4729999999999999E-2</v>
      </c>
      <c r="P25" s="33">
        <v>0</v>
      </c>
      <c r="Q25" s="31">
        <f t="shared" si="2"/>
        <v>0</v>
      </c>
      <c r="R25" s="32">
        <v>0</v>
      </c>
      <c r="S25" s="32">
        <v>0</v>
      </c>
      <c r="T25" s="32">
        <v>0</v>
      </c>
      <c r="U25" s="33">
        <v>0</v>
      </c>
      <c r="V25" s="31">
        <f t="shared" si="3"/>
        <v>0</v>
      </c>
      <c r="W25" s="32">
        <v>0</v>
      </c>
      <c r="X25" s="32">
        <v>0</v>
      </c>
      <c r="Y25" s="32">
        <v>0</v>
      </c>
      <c r="Z25" s="33">
        <v>0</v>
      </c>
      <c r="AA25" s="31">
        <f t="shared" si="4"/>
        <v>0.18854399999999999</v>
      </c>
      <c r="AB25" s="32">
        <v>0.2223</v>
      </c>
      <c r="AC25" s="33">
        <v>0.15478800000000001</v>
      </c>
      <c r="AD25" s="31">
        <f t="shared" si="5"/>
        <v>3.6022249999999999E-2</v>
      </c>
      <c r="AE25" s="32">
        <v>9.9359000000000003E-2</v>
      </c>
      <c r="AF25" s="32">
        <v>0</v>
      </c>
      <c r="AG25" s="32">
        <v>4.4729999999999999E-2</v>
      </c>
      <c r="AH25" s="33">
        <v>0</v>
      </c>
      <c r="AI25" s="31">
        <f t="shared" si="6"/>
        <v>0</v>
      </c>
      <c r="AJ25" s="32">
        <v>0</v>
      </c>
      <c r="AK25" s="32">
        <v>0</v>
      </c>
      <c r="AL25" s="32">
        <v>0</v>
      </c>
      <c r="AM25" s="34">
        <v>0</v>
      </c>
    </row>
    <row r="26" spans="1:39" x14ac:dyDescent="0.3">
      <c r="A26" s="24" t="s">
        <v>105</v>
      </c>
      <c r="B26" s="25" t="s">
        <v>29</v>
      </c>
      <c r="C26" s="25" t="s">
        <v>30</v>
      </c>
      <c r="D26" s="25" t="s">
        <v>116</v>
      </c>
      <c r="E26" s="26" t="s">
        <v>128</v>
      </c>
      <c r="F26" s="27">
        <v>2</v>
      </c>
      <c r="G26" s="28">
        <f t="shared" si="0"/>
        <v>0</v>
      </c>
      <c r="H26" s="29">
        <v>0</v>
      </c>
      <c r="I26" s="29">
        <v>0</v>
      </c>
      <c r="J26" s="29">
        <v>0</v>
      </c>
      <c r="K26" s="30">
        <v>0</v>
      </c>
      <c r="L26" s="31">
        <f t="shared" si="1"/>
        <v>0</v>
      </c>
      <c r="M26" s="32">
        <v>0</v>
      </c>
      <c r="N26" s="32">
        <v>0</v>
      </c>
      <c r="O26" s="32">
        <v>0</v>
      </c>
      <c r="P26" s="33">
        <v>0</v>
      </c>
      <c r="Q26" s="31">
        <f t="shared" si="2"/>
        <v>0</v>
      </c>
      <c r="R26" s="32">
        <v>0</v>
      </c>
      <c r="S26" s="32">
        <v>0</v>
      </c>
      <c r="T26" s="32">
        <v>0</v>
      </c>
      <c r="U26" s="33">
        <v>0</v>
      </c>
      <c r="V26" s="31">
        <f t="shared" si="3"/>
        <v>0</v>
      </c>
      <c r="W26" s="32">
        <v>0</v>
      </c>
      <c r="X26" s="32">
        <v>0</v>
      </c>
      <c r="Y26" s="32">
        <v>0</v>
      </c>
      <c r="Z26" s="33">
        <v>0</v>
      </c>
      <c r="AA26" s="31">
        <f t="shared" si="4"/>
        <v>0</v>
      </c>
      <c r="AB26" s="32">
        <v>0</v>
      </c>
      <c r="AC26" s="33">
        <v>0</v>
      </c>
      <c r="AD26" s="31">
        <f t="shared" si="5"/>
        <v>0</v>
      </c>
      <c r="AE26" s="32">
        <v>0</v>
      </c>
      <c r="AF26" s="32">
        <v>0</v>
      </c>
      <c r="AG26" s="32">
        <v>0</v>
      </c>
      <c r="AH26" s="33">
        <v>0</v>
      </c>
      <c r="AI26" s="31">
        <f t="shared" si="6"/>
        <v>0</v>
      </c>
      <c r="AJ26" s="32">
        <v>0</v>
      </c>
      <c r="AK26" s="32">
        <v>0</v>
      </c>
      <c r="AL26" s="32">
        <v>0</v>
      </c>
      <c r="AM26" s="34">
        <v>0</v>
      </c>
    </row>
    <row r="27" spans="1:39" x14ac:dyDescent="0.3">
      <c r="A27" s="24" t="s">
        <v>105</v>
      </c>
      <c r="B27" s="25" t="s">
        <v>29</v>
      </c>
      <c r="C27" s="25" t="s">
        <v>30</v>
      </c>
      <c r="D27" s="25" t="s">
        <v>116</v>
      </c>
      <c r="E27" s="26" t="s">
        <v>129</v>
      </c>
      <c r="F27" s="27">
        <v>42</v>
      </c>
      <c r="G27" s="28">
        <f t="shared" si="0"/>
        <v>19.5</v>
      </c>
      <c r="H27" s="29">
        <v>15</v>
      </c>
      <c r="I27" s="29">
        <v>24</v>
      </c>
      <c r="J27" s="29">
        <v>17</v>
      </c>
      <c r="K27" s="30">
        <v>22</v>
      </c>
      <c r="L27" s="31">
        <f t="shared" si="1"/>
        <v>7.5734835</v>
      </c>
      <c r="M27" s="32">
        <v>5.3615970000000006</v>
      </c>
      <c r="N27" s="32">
        <v>9.3539510000000003</v>
      </c>
      <c r="O27" s="32">
        <v>6.1563280000000011</v>
      </c>
      <c r="P27" s="33">
        <v>7.5389119999999989</v>
      </c>
      <c r="Q27" s="31">
        <f t="shared" si="2"/>
        <v>2.6165354999999999</v>
      </c>
      <c r="R27" s="32">
        <v>2.0365039999999999</v>
      </c>
      <c r="S27" s="32">
        <v>2.451012</v>
      </c>
      <c r="T27" s="32">
        <v>2.5039069999999999</v>
      </c>
      <c r="U27" s="33">
        <v>3.4747189999999999</v>
      </c>
      <c r="V27" s="31">
        <f t="shared" si="3"/>
        <v>2.4548872500000001</v>
      </c>
      <c r="W27" s="32">
        <v>1.15598</v>
      </c>
      <c r="X27" s="32">
        <v>3.7877000000000001</v>
      </c>
      <c r="Y27" s="32">
        <v>2.8983289999999999</v>
      </c>
      <c r="Z27" s="33">
        <v>1.9775400000000001</v>
      </c>
      <c r="AA27" s="31">
        <f t="shared" si="4"/>
        <v>0.94157299999999999</v>
      </c>
      <c r="AB27" s="32">
        <v>0.92232299999999989</v>
      </c>
      <c r="AC27" s="33">
        <v>0.96082299999999998</v>
      </c>
      <c r="AD27" s="31">
        <f t="shared" si="5"/>
        <v>0.91048774999999993</v>
      </c>
      <c r="AE27" s="32">
        <v>4.6789999999999998E-2</v>
      </c>
      <c r="AF27" s="32">
        <v>1.1544160000000001</v>
      </c>
      <c r="AG27" s="32">
        <v>0.75409199999999987</v>
      </c>
      <c r="AH27" s="33">
        <v>1.686653</v>
      </c>
      <c r="AI27" s="31">
        <f t="shared" si="6"/>
        <v>0.65000000000000036</v>
      </c>
      <c r="AJ27" s="32">
        <v>1.2000000000000011</v>
      </c>
      <c r="AK27" s="32">
        <v>1</v>
      </c>
      <c r="AL27" s="32">
        <v>1.4432899320127041E-15</v>
      </c>
      <c r="AM27" s="34">
        <v>0.39999999999999902</v>
      </c>
    </row>
    <row r="28" spans="1:39" x14ac:dyDescent="0.3">
      <c r="A28" s="24" t="s">
        <v>105</v>
      </c>
      <c r="B28" s="25" t="s">
        <v>29</v>
      </c>
      <c r="C28" s="25" t="s">
        <v>30</v>
      </c>
      <c r="D28" s="25" t="s">
        <v>116</v>
      </c>
      <c r="E28" s="26" t="s">
        <v>130</v>
      </c>
      <c r="F28" s="27">
        <v>6</v>
      </c>
      <c r="G28" s="28">
        <f t="shared" si="0"/>
        <v>0.25</v>
      </c>
      <c r="H28" s="29">
        <v>0</v>
      </c>
      <c r="I28" s="29">
        <v>0</v>
      </c>
      <c r="J28" s="29">
        <v>0</v>
      </c>
      <c r="K28" s="30">
        <v>1</v>
      </c>
      <c r="L28" s="31">
        <f t="shared" si="1"/>
        <v>0.117075</v>
      </c>
      <c r="M28" s="32">
        <v>0</v>
      </c>
      <c r="N28" s="32">
        <v>0</v>
      </c>
      <c r="O28" s="32">
        <v>0</v>
      </c>
      <c r="P28" s="33">
        <v>0.46829999999999999</v>
      </c>
      <c r="Q28" s="31">
        <f t="shared" si="2"/>
        <v>0</v>
      </c>
      <c r="R28" s="32">
        <v>0</v>
      </c>
      <c r="S28" s="32">
        <v>0</v>
      </c>
      <c r="T28" s="32">
        <v>0</v>
      </c>
      <c r="U28" s="33">
        <v>0</v>
      </c>
      <c r="V28" s="31">
        <f t="shared" si="3"/>
        <v>0</v>
      </c>
      <c r="W28" s="32">
        <v>0</v>
      </c>
      <c r="X28" s="32">
        <v>0</v>
      </c>
      <c r="Y28" s="32">
        <v>0</v>
      </c>
      <c r="Z28" s="33">
        <v>0</v>
      </c>
      <c r="AA28" s="31">
        <f t="shared" si="4"/>
        <v>0</v>
      </c>
      <c r="AB28" s="32">
        <v>0</v>
      </c>
      <c r="AC28" s="33">
        <v>0</v>
      </c>
      <c r="AD28" s="31">
        <f t="shared" si="5"/>
        <v>0.117075</v>
      </c>
      <c r="AE28" s="32">
        <v>0</v>
      </c>
      <c r="AF28" s="32">
        <v>0</v>
      </c>
      <c r="AG28" s="32">
        <v>0</v>
      </c>
      <c r="AH28" s="33">
        <v>0.46829999999999999</v>
      </c>
      <c r="AI28" s="31">
        <f t="shared" si="6"/>
        <v>0</v>
      </c>
      <c r="AJ28" s="32">
        <v>0</v>
      </c>
      <c r="AK28" s="32">
        <v>0</v>
      </c>
      <c r="AL28" s="32">
        <v>0</v>
      </c>
      <c r="AM28" s="34">
        <v>0</v>
      </c>
    </row>
    <row r="29" spans="1:39" x14ac:dyDescent="0.3">
      <c r="A29" s="24" t="s">
        <v>105</v>
      </c>
      <c r="B29" s="25" t="s">
        <v>29</v>
      </c>
      <c r="C29" s="25" t="s">
        <v>30</v>
      </c>
      <c r="D29" s="25" t="s">
        <v>116</v>
      </c>
      <c r="E29" s="26" t="s">
        <v>131</v>
      </c>
      <c r="F29" s="27">
        <v>2</v>
      </c>
      <c r="G29" s="28">
        <f t="shared" si="0"/>
        <v>0</v>
      </c>
      <c r="H29" s="29">
        <v>0</v>
      </c>
      <c r="I29" s="29">
        <v>0</v>
      </c>
      <c r="J29" s="29">
        <v>0</v>
      </c>
      <c r="K29" s="30">
        <v>0</v>
      </c>
      <c r="L29" s="31">
        <f t="shared" si="1"/>
        <v>0</v>
      </c>
      <c r="M29" s="32">
        <v>0</v>
      </c>
      <c r="N29" s="32">
        <v>0</v>
      </c>
      <c r="O29" s="32">
        <v>0</v>
      </c>
      <c r="P29" s="33">
        <v>0</v>
      </c>
      <c r="Q29" s="31">
        <f t="shared" si="2"/>
        <v>0</v>
      </c>
      <c r="R29" s="32">
        <v>0</v>
      </c>
      <c r="S29" s="32">
        <v>0</v>
      </c>
      <c r="T29" s="32">
        <v>0</v>
      </c>
      <c r="U29" s="33">
        <v>0</v>
      </c>
      <c r="V29" s="31">
        <f t="shared" si="3"/>
        <v>0</v>
      </c>
      <c r="W29" s="32">
        <v>0</v>
      </c>
      <c r="X29" s="32">
        <v>0</v>
      </c>
      <c r="Y29" s="32">
        <v>0</v>
      </c>
      <c r="Z29" s="33">
        <v>0</v>
      </c>
      <c r="AA29" s="31">
        <f t="shared" si="4"/>
        <v>0</v>
      </c>
      <c r="AB29" s="32">
        <v>0</v>
      </c>
      <c r="AC29" s="33">
        <v>0</v>
      </c>
      <c r="AD29" s="31">
        <f t="shared" si="5"/>
        <v>0</v>
      </c>
      <c r="AE29" s="32">
        <v>0</v>
      </c>
      <c r="AF29" s="32">
        <v>0</v>
      </c>
      <c r="AG29" s="32">
        <v>0</v>
      </c>
      <c r="AH29" s="33">
        <v>0</v>
      </c>
      <c r="AI29" s="31">
        <f t="shared" si="6"/>
        <v>0</v>
      </c>
      <c r="AJ29" s="32">
        <v>0</v>
      </c>
      <c r="AK29" s="32">
        <v>0</v>
      </c>
      <c r="AL29" s="32">
        <v>0</v>
      </c>
      <c r="AM29" s="34">
        <v>0</v>
      </c>
    </row>
    <row r="30" spans="1:39" x14ac:dyDescent="0.3">
      <c r="A30" s="24" t="s">
        <v>105</v>
      </c>
      <c r="B30" s="25" t="s">
        <v>29</v>
      </c>
      <c r="C30" s="25" t="s">
        <v>30</v>
      </c>
      <c r="D30" s="25" t="s">
        <v>116</v>
      </c>
      <c r="E30" s="26" t="s">
        <v>132</v>
      </c>
      <c r="F30" s="27">
        <v>8</v>
      </c>
      <c r="G30" s="28">
        <f t="shared" si="0"/>
        <v>1.25</v>
      </c>
      <c r="H30" s="29">
        <v>0</v>
      </c>
      <c r="I30" s="29">
        <v>1</v>
      </c>
      <c r="J30" s="29">
        <v>1</v>
      </c>
      <c r="K30" s="30">
        <v>3</v>
      </c>
      <c r="L30" s="31">
        <f t="shared" si="1"/>
        <v>0.54149524999999998</v>
      </c>
      <c r="M30" s="32">
        <v>0</v>
      </c>
      <c r="N30" s="32">
        <v>0.5</v>
      </c>
      <c r="O30" s="32">
        <v>0.50102000000000002</v>
      </c>
      <c r="P30" s="33">
        <v>1.1649609999999999</v>
      </c>
      <c r="Q30" s="31">
        <f t="shared" si="2"/>
        <v>0.54149524999999998</v>
      </c>
      <c r="R30" s="32">
        <v>0</v>
      </c>
      <c r="S30" s="32">
        <v>0.5</v>
      </c>
      <c r="T30" s="32">
        <v>0.50102000000000002</v>
      </c>
      <c r="U30" s="33">
        <v>1.1649609999999999</v>
      </c>
      <c r="V30" s="31">
        <f t="shared" si="3"/>
        <v>0</v>
      </c>
      <c r="W30" s="32">
        <v>0</v>
      </c>
      <c r="X30" s="32">
        <v>0</v>
      </c>
      <c r="Y30" s="32">
        <v>0</v>
      </c>
      <c r="Z30" s="33">
        <v>0</v>
      </c>
      <c r="AA30" s="31">
        <f t="shared" si="4"/>
        <v>0</v>
      </c>
      <c r="AB30" s="32">
        <v>0</v>
      </c>
      <c r="AC30" s="33">
        <v>0</v>
      </c>
      <c r="AD30" s="31">
        <f t="shared" si="5"/>
        <v>0</v>
      </c>
      <c r="AE30" s="32">
        <v>0</v>
      </c>
      <c r="AF30" s="32">
        <v>0</v>
      </c>
      <c r="AG30" s="32">
        <v>0</v>
      </c>
      <c r="AH30" s="33">
        <v>0</v>
      </c>
      <c r="AI30" s="31">
        <f t="shared" si="6"/>
        <v>0</v>
      </c>
      <c r="AJ30" s="32">
        <v>0</v>
      </c>
      <c r="AK30" s="32">
        <v>0</v>
      </c>
      <c r="AL30" s="32">
        <v>0</v>
      </c>
      <c r="AM30" s="34">
        <v>0</v>
      </c>
    </row>
    <row r="31" spans="1:39" x14ac:dyDescent="0.3">
      <c r="A31" s="24" t="s">
        <v>105</v>
      </c>
      <c r="B31" s="25" t="s">
        <v>29</v>
      </c>
      <c r="C31" s="25" t="s">
        <v>30</v>
      </c>
      <c r="D31" s="25" t="s">
        <v>116</v>
      </c>
      <c r="E31" s="26" t="s">
        <v>133</v>
      </c>
      <c r="F31" s="27">
        <v>1</v>
      </c>
      <c r="G31" s="28">
        <f t="shared" si="0"/>
        <v>0</v>
      </c>
      <c r="H31" s="29">
        <v>0</v>
      </c>
      <c r="I31" s="29">
        <v>0</v>
      </c>
      <c r="J31" s="29">
        <v>0</v>
      </c>
      <c r="K31" s="30">
        <v>0</v>
      </c>
      <c r="L31" s="31">
        <f t="shared" si="1"/>
        <v>0</v>
      </c>
      <c r="M31" s="32">
        <v>0</v>
      </c>
      <c r="N31" s="32">
        <v>0</v>
      </c>
      <c r="O31" s="32">
        <v>0</v>
      </c>
      <c r="P31" s="33">
        <v>0</v>
      </c>
      <c r="Q31" s="31">
        <f t="shared" si="2"/>
        <v>0</v>
      </c>
      <c r="R31" s="32">
        <v>0</v>
      </c>
      <c r="S31" s="32">
        <v>0</v>
      </c>
      <c r="T31" s="32">
        <v>0</v>
      </c>
      <c r="U31" s="33">
        <v>0</v>
      </c>
      <c r="V31" s="31">
        <f t="shared" si="3"/>
        <v>0</v>
      </c>
      <c r="W31" s="32">
        <v>0</v>
      </c>
      <c r="X31" s="32">
        <v>0</v>
      </c>
      <c r="Y31" s="32">
        <v>0</v>
      </c>
      <c r="Z31" s="33">
        <v>0</v>
      </c>
      <c r="AA31" s="31">
        <f t="shared" si="4"/>
        <v>0</v>
      </c>
      <c r="AB31" s="32">
        <v>0</v>
      </c>
      <c r="AC31" s="33">
        <v>0</v>
      </c>
      <c r="AD31" s="31">
        <f t="shared" si="5"/>
        <v>0</v>
      </c>
      <c r="AE31" s="32">
        <v>0</v>
      </c>
      <c r="AF31" s="32">
        <v>0</v>
      </c>
      <c r="AG31" s="32">
        <v>0</v>
      </c>
      <c r="AH31" s="33">
        <v>0</v>
      </c>
      <c r="AI31" s="31">
        <f t="shared" si="6"/>
        <v>0</v>
      </c>
      <c r="AJ31" s="32">
        <v>0</v>
      </c>
      <c r="AK31" s="32">
        <v>0</v>
      </c>
      <c r="AL31" s="32">
        <v>0</v>
      </c>
      <c r="AM31" s="34">
        <v>0</v>
      </c>
    </row>
    <row r="32" spans="1:39" x14ac:dyDescent="0.3">
      <c r="A32" s="24" t="s">
        <v>105</v>
      </c>
      <c r="B32" s="25" t="s">
        <v>6</v>
      </c>
      <c r="C32" s="25" t="s">
        <v>7</v>
      </c>
      <c r="D32" s="25" t="s">
        <v>110</v>
      </c>
      <c r="E32" s="26" t="s">
        <v>134</v>
      </c>
      <c r="F32" s="27">
        <v>59</v>
      </c>
      <c r="G32" s="28">
        <f t="shared" si="0"/>
        <v>30</v>
      </c>
      <c r="H32" s="29">
        <v>24</v>
      </c>
      <c r="I32" s="29">
        <v>21</v>
      </c>
      <c r="J32" s="29">
        <v>37</v>
      </c>
      <c r="K32" s="30">
        <v>38</v>
      </c>
      <c r="L32" s="31">
        <f t="shared" si="1"/>
        <v>15.91526625</v>
      </c>
      <c r="M32" s="32">
        <v>14.424685999999999</v>
      </c>
      <c r="N32" s="32">
        <v>16.347000000000001</v>
      </c>
      <c r="O32" s="32">
        <v>17.653963000000001</v>
      </c>
      <c r="P32" s="33">
        <v>13.823973000000001</v>
      </c>
      <c r="Q32" s="31">
        <f t="shared" si="2"/>
        <v>5.1186315000000002</v>
      </c>
      <c r="R32" s="32">
        <v>6.1672610000000008</v>
      </c>
      <c r="S32" s="32">
        <v>6.4918609999999992</v>
      </c>
      <c r="T32" s="32">
        <v>2.70506</v>
      </c>
      <c r="U32" s="33">
        <v>5.1103440000000004</v>
      </c>
      <c r="V32" s="31">
        <f t="shared" si="3"/>
        <v>7.3372230000000007</v>
      </c>
      <c r="W32" s="32">
        <v>6.6553200000000006</v>
      </c>
      <c r="X32" s="32">
        <v>8.4819620000000011</v>
      </c>
      <c r="Y32" s="32">
        <v>10.52176</v>
      </c>
      <c r="Z32" s="33">
        <v>3.6898499999999999</v>
      </c>
      <c r="AA32" s="31">
        <f t="shared" si="4"/>
        <v>0.7057215</v>
      </c>
      <c r="AB32" s="32">
        <v>0.87445200000000001</v>
      </c>
      <c r="AC32" s="33">
        <v>0.536991</v>
      </c>
      <c r="AD32" s="31">
        <f t="shared" si="5"/>
        <v>2.4036902500000004</v>
      </c>
      <c r="AE32" s="32">
        <v>0.72765299999999999</v>
      </c>
      <c r="AF32" s="32">
        <v>0.83618599999999998</v>
      </c>
      <c r="AG32" s="32">
        <v>3.0271430000000001</v>
      </c>
      <c r="AH32" s="33">
        <v>5.0237790000000002</v>
      </c>
      <c r="AI32" s="31">
        <f t="shared" si="6"/>
        <v>0.34999999999999976</v>
      </c>
      <c r="AJ32" s="32">
        <v>0</v>
      </c>
      <c r="AK32" s="32">
        <v>0</v>
      </c>
      <c r="AL32" s="32">
        <v>1.399999999999999</v>
      </c>
      <c r="AM32" s="34">
        <v>0</v>
      </c>
    </row>
    <row r="33" spans="1:39" x14ac:dyDescent="0.3">
      <c r="A33" s="24" t="s">
        <v>105</v>
      </c>
      <c r="B33" s="25" t="s">
        <v>6</v>
      </c>
      <c r="C33" s="25" t="s">
        <v>7</v>
      </c>
      <c r="D33" s="25" t="s">
        <v>110</v>
      </c>
      <c r="E33" s="26" t="s">
        <v>135</v>
      </c>
      <c r="F33" s="27">
        <v>29</v>
      </c>
      <c r="G33" s="28">
        <f t="shared" si="0"/>
        <v>7.75</v>
      </c>
      <c r="H33" s="29">
        <v>8</v>
      </c>
      <c r="I33" s="29">
        <v>4</v>
      </c>
      <c r="J33" s="29">
        <v>8</v>
      </c>
      <c r="K33" s="30">
        <v>11</v>
      </c>
      <c r="L33" s="31">
        <f t="shared" si="1"/>
        <v>9.1560367500000002</v>
      </c>
      <c r="M33" s="32">
        <v>4.0681039999999999</v>
      </c>
      <c r="N33" s="32">
        <v>1.075814</v>
      </c>
      <c r="O33" s="32">
        <v>15.174894999999999</v>
      </c>
      <c r="P33" s="33">
        <v>15.462078</v>
      </c>
      <c r="Q33" s="31">
        <f t="shared" si="2"/>
        <v>6.4839527500000003</v>
      </c>
      <c r="R33" s="32">
        <v>0.200072</v>
      </c>
      <c r="S33" s="32">
        <v>0</v>
      </c>
      <c r="T33" s="32">
        <v>13.016683</v>
      </c>
      <c r="U33" s="33">
        <v>12.719056</v>
      </c>
      <c r="V33" s="31">
        <f t="shared" si="3"/>
        <v>1.8975575</v>
      </c>
      <c r="W33" s="32">
        <v>2.5233300000000001</v>
      </c>
      <c r="X33" s="32">
        <v>0.81284000000000001</v>
      </c>
      <c r="Y33" s="32">
        <v>1.9293</v>
      </c>
      <c r="Z33" s="33">
        <v>2.3247599999999999</v>
      </c>
      <c r="AA33" s="31">
        <f t="shared" si="4"/>
        <v>0.421628</v>
      </c>
      <c r="AB33" s="32">
        <v>0.58028199999999996</v>
      </c>
      <c r="AC33" s="33">
        <v>0.26297399999999999</v>
      </c>
      <c r="AD33" s="31">
        <f t="shared" si="5"/>
        <v>0.20289850000000001</v>
      </c>
      <c r="AE33" s="32">
        <v>0.16442000000000001</v>
      </c>
      <c r="AF33" s="32">
        <v>0</v>
      </c>
      <c r="AG33" s="32">
        <v>0.228912</v>
      </c>
      <c r="AH33" s="33">
        <v>0.41826200000000002</v>
      </c>
      <c r="AI33" s="31">
        <f t="shared" si="6"/>
        <v>0.14999999999999997</v>
      </c>
      <c r="AJ33" s="32">
        <v>0.59999999999999987</v>
      </c>
      <c r="AK33" s="32">
        <v>5.5511151231257827E-17</v>
      </c>
      <c r="AL33" s="32">
        <v>0</v>
      </c>
      <c r="AM33" s="34">
        <v>0</v>
      </c>
    </row>
    <row r="34" spans="1:39" x14ac:dyDescent="0.3">
      <c r="A34" s="24" t="s">
        <v>105</v>
      </c>
      <c r="B34" s="25" t="s">
        <v>6</v>
      </c>
      <c r="C34" s="25" t="s">
        <v>7</v>
      </c>
      <c r="D34" s="25" t="s">
        <v>110</v>
      </c>
      <c r="E34" s="26" t="s">
        <v>136</v>
      </c>
      <c r="F34" s="27">
        <v>32</v>
      </c>
      <c r="G34" s="28">
        <f t="shared" si="0"/>
        <v>29.5</v>
      </c>
      <c r="H34" s="29">
        <v>21</v>
      </c>
      <c r="I34" s="29">
        <v>39</v>
      </c>
      <c r="J34" s="29">
        <v>24</v>
      </c>
      <c r="K34" s="30">
        <v>34</v>
      </c>
      <c r="L34" s="31">
        <f t="shared" si="1"/>
        <v>15.94707125</v>
      </c>
      <c r="M34" s="32">
        <v>16.110154000000001</v>
      </c>
      <c r="N34" s="32">
        <v>27.169440999999999</v>
      </c>
      <c r="O34" s="32">
        <v>5.6296499999999998</v>
      </c>
      <c r="P34" s="33">
        <v>13.265573</v>
      </c>
      <c r="Q34" s="31">
        <f t="shared" si="2"/>
        <v>2.2524195000000002</v>
      </c>
      <c r="R34" s="32">
        <v>1.0009999999999999</v>
      </c>
      <c r="S34" s="32">
        <v>3.7003460000000001</v>
      </c>
      <c r="T34" s="32">
        <v>0</v>
      </c>
      <c r="U34" s="33">
        <v>4.3083320000000001</v>
      </c>
      <c r="V34" s="31">
        <f t="shared" si="3"/>
        <v>11.77507825</v>
      </c>
      <c r="W34" s="32">
        <v>13.521470000000001</v>
      </c>
      <c r="X34" s="32">
        <v>22.526533000000001</v>
      </c>
      <c r="Y34" s="32">
        <v>3.6021000000000001</v>
      </c>
      <c r="Z34" s="33">
        <v>7.4502099999999993</v>
      </c>
      <c r="AA34" s="31">
        <f t="shared" si="4"/>
        <v>0.80673349999999999</v>
      </c>
      <c r="AB34" s="32">
        <v>1.1571769999999999</v>
      </c>
      <c r="AC34" s="33">
        <v>0.45628999999999997</v>
      </c>
      <c r="AD34" s="31">
        <f t="shared" si="5"/>
        <v>1.1128400000000001</v>
      </c>
      <c r="AE34" s="32">
        <v>0.43050699999999997</v>
      </c>
      <c r="AF34" s="32">
        <v>0.48627199999999998</v>
      </c>
      <c r="AG34" s="32">
        <v>2.0275500000000002</v>
      </c>
      <c r="AH34" s="33">
        <v>1.507031</v>
      </c>
      <c r="AI34" s="31">
        <f t="shared" si="6"/>
        <v>8.6042284408449652E-16</v>
      </c>
      <c r="AJ34" s="32">
        <v>1.0547118733938989E-15</v>
      </c>
      <c r="AK34" s="32">
        <v>2.386979502944087E-15</v>
      </c>
      <c r="AL34" s="32">
        <v>0</v>
      </c>
      <c r="AM34" s="34">
        <v>0</v>
      </c>
    </row>
    <row r="35" spans="1:39" x14ac:dyDescent="0.3">
      <c r="A35" s="24" t="s">
        <v>105</v>
      </c>
      <c r="B35" s="25" t="s">
        <v>6</v>
      </c>
      <c r="C35" s="25" t="s">
        <v>7</v>
      </c>
      <c r="D35" s="25" t="s">
        <v>106</v>
      </c>
      <c r="E35" s="26" t="s">
        <v>137</v>
      </c>
      <c r="F35" s="27">
        <v>9</v>
      </c>
      <c r="G35" s="28">
        <f t="shared" si="0"/>
        <v>0.5</v>
      </c>
      <c r="H35" s="29">
        <v>0</v>
      </c>
      <c r="I35" s="29">
        <v>0</v>
      </c>
      <c r="J35" s="29">
        <v>0</v>
      </c>
      <c r="K35" s="30">
        <v>2</v>
      </c>
      <c r="L35" s="31">
        <f t="shared" si="1"/>
        <v>0.1168</v>
      </c>
      <c r="M35" s="32">
        <v>0</v>
      </c>
      <c r="N35" s="32">
        <v>0</v>
      </c>
      <c r="O35" s="32">
        <v>0</v>
      </c>
      <c r="P35" s="33">
        <v>0.4672</v>
      </c>
      <c r="Q35" s="31">
        <f t="shared" si="2"/>
        <v>0.1168</v>
      </c>
      <c r="R35" s="32">
        <v>0</v>
      </c>
      <c r="S35" s="32">
        <v>0</v>
      </c>
      <c r="T35" s="32">
        <v>0</v>
      </c>
      <c r="U35" s="33">
        <v>0.4672</v>
      </c>
      <c r="V35" s="31">
        <f t="shared" si="3"/>
        <v>0</v>
      </c>
      <c r="W35" s="32">
        <v>0</v>
      </c>
      <c r="X35" s="32">
        <v>0</v>
      </c>
      <c r="Y35" s="32">
        <v>0</v>
      </c>
      <c r="Z35" s="33">
        <v>0</v>
      </c>
      <c r="AA35" s="31">
        <f t="shared" si="4"/>
        <v>0</v>
      </c>
      <c r="AB35" s="32">
        <v>0</v>
      </c>
      <c r="AC35" s="33">
        <v>0</v>
      </c>
      <c r="AD35" s="31">
        <f t="shared" si="5"/>
        <v>0</v>
      </c>
      <c r="AE35" s="32">
        <v>0</v>
      </c>
      <c r="AF35" s="32">
        <v>0</v>
      </c>
      <c r="AG35" s="32">
        <v>0</v>
      </c>
      <c r="AH35" s="33">
        <v>0</v>
      </c>
      <c r="AI35" s="31">
        <f t="shared" si="6"/>
        <v>0</v>
      </c>
      <c r="AJ35" s="32">
        <v>0</v>
      </c>
      <c r="AK35" s="32">
        <v>0</v>
      </c>
      <c r="AL35" s="32">
        <v>0</v>
      </c>
      <c r="AM35" s="34">
        <v>0</v>
      </c>
    </row>
    <row r="36" spans="1:39" x14ac:dyDescent="0.3">
      <c r="A36" s="24" t="s">
        <v>105</v>
      </c>
      <c r="B36" s="25" t="s">
        <v>6</v>
      </c>
      <c r="C36" s="25" t="s">
        <v>7</v>
      </c>
      <c r="D36" s="25" t="s">
        <v>106</v>
      </c>
      <c r="E36" s="26" t="s">
        <v>138</v>
      </c>
      <c r="F36" s="27">
        <v>16</v>
      </c>
      <c r="G36" s="28">
        <f t="shared" si="0"/>
        <v>5.5</v>
      </c>
      <c r="H36" s="29">
        <v>5</v>
      </c>
      <c r="I36" s="29">
        <v>6</v>
      </c>
      <c r="J36" s="29">
        <v>5</v>
      </c>
      <c r="K36" s="30">
        <v>6</v>
      </c>
      <c r="L36" s="31">
        <f t="shared" si="1"/>
        <v>1.1677244999999998</v>
      </c>
      <c r="M36" s="32">
        <v>1.7778799999999999</v>
      </c>
      <c r="N36" s="32">
        <v>1.0880939999999999</v>
      </c>
      <c r="O36" s="32">
        <v>0.54448300000000005</v>
      </c>
      <c r="P36" s="33">
        <v>0.77727599999999997</v>
      </c>
      <c r="Q36" s="31">
        <f t="shared" si="2"/>
        <v>8.8124999999999995E-2</v>
      </c>
      <c r="R36" s="32">
        <v>0</v>
      </c>
      <c r="S36" s="32">
        <v>0</v>
      </c>
      <c r="T36" s="32">
        <v>0</v>
      </c>
      <c r="U36" s="33">
        <v>0.35249999999999998</v>
      </c>
      <c r="V36" s="31">
        <f t="shared" si="3"/>
        <v>0.52935999999999994</v>
      </c>
      <c r="W36" s="32">
        <v>1.3091999999999999</v>
      </c>
      <c r="X36" s="32">
        <v>0.80823999999999996</v>
      </c>
      <c r="Y36" s="32">
        <v>0</v>
      </c>
      <c r="Z36" s="33">
        <v>0</v>
      </c>
      <c r="AA36" s="31">
        <f t="shared" si="4"/>
        <v>0.24158249999999998</v>
      </c>
      <c r="AB36" s="32">
        <v>0.42596699999999998</v>
      </c>
      <c r="AC36" s="33">
        <v>5.7197999999999999E-2</v>
      </c>
      <c r="AD36" s="31">
        <f t="shared" si="5"/>
        <v>0.30865700000000001</v>
      </c>
      <c r="AE36" s="32">
        <v>4.2713000000000001E-2</v>
      </c>
      <c r="AF36" s="32">
        <v>0.22265599999999999</v>
      </c>
      <c r="AG36" s="32">
        <v>0.54448300000000005</v>
      </c>
      <c r="AH36" s="33">
        <v>0.42477599999999999</v>
      </c>
      <c r="AI36" s="31">
        <f t="shared" si="6"/>
        <v>0</v>
      </c>
      <c r="AJ36" s="32">
        <v>0</v>
      </c>
      <c r="AK36" s="32">
        <v>0</v>
      </c>
      <c r="AL36" s="32">
        <v>0</v>
      </c>
      <c r="AM36" s="34">
        <v>0</v>
      </c>
    </row>
    <row r="37" spans="1:39" x14ac:dyDescent="0.3">
      <c r="A37" s="24" t="s">
        <v>105</v>
      </c>
      <c r="B37" s="25" t="s">
        <v>6</v>
      </c>
      <c r="C37" s="25" t="s">
        <v>7</v>
      </c>
      <c r="D37" s="25" t="s">
        <v>106</v>
      </c>
      <c r="E37" s="26" t="s">
        <v>139</v>
      </c>
      <c r="F37" s="27">
        <v>2</v>
      </c>
      <c r="G37" s="28">
        <f t="shared" si="0"/>
        <v>0</v>
      </c>
      <c r="H37" s="29">
        <v>0</v>
      </c>
      <c r="I37" s="29">
        <v>0</v>
      </c>
      <c r="J37" s="29">
        <v>0</v>
      </c>
      <c r="K37" s="30">
        <v>0</v>
      </c>
      <c r="L37" s="31">
        <f t="shared" si="1"/>
        <v>0</v>
      </c>
      <c r="M37" s="32">
        <v>0</v>
      </c>
      <c r="N37" s="32">
        <v>0</v>
      </c>
      <c r="O37" s="32">
        <v>0</v>
      </c>
      <c r="P37" s="33">
        <v>0</v>
      </c>
      <c r="Q37" s="31">
        <f t="shared" si="2"/>
        <v>0</v>
      </c>
      <c r="R37" s="32">
        <v>0</v>
      </c>
      <c r="S37" s="32">
        <v>0</v>
      </c>
      <c r="T37" s="32">
        <v>0</v>
      </c>
      <c r="U37" s="33">
        <v>0</v>
      </c>
      <c r="V37" s="31">
        <f t="shared" si="3"/>
        <v>0</v>
      </c>
      <c r="W37" s="32">
        <v>0</v>
      </c>
      <c r="X37" s="32">
        <v>0</v>
      </c>
      <c r="Y37" s="32">
        <v>0</v>
      </c>
      <c r="Z37" s="33">
        <v>0</v>
      </c>
      <c r="AA37" s="31">
        <f t="shared" si="4"/>
        <v>0</v>
      </c>
      <c r="AB37" s="32">
        <v>0</v>
      </c>
      <c r="AC37" s="33">
        <v>0</v>
      </c>
      <c r="AD37" s="31">
        <f t="shared" si="5"/>
        <v>0</v>
      </c>
      <c r="AE37" s="32">
        <v>0</v>
      </c>
      <c r="AF37" s="32">
        <v>0</v>
      </c>
      <c r="AG37" s="32">
        <v>0</v>
      </c>
      <c r="AH37" s="33">
        <v>0</v>
      </c>
      <c r="AI37" s="31">
        <f t="shared" si="6"/>
        <v>0</v>
      </c>
      <c r="AJ37" s="32">
        <v>0</v>
      </c>
      <c r="AK37" s="32">
        <v>0</v>
      </c>
      <c r="AL37" s="32">
        <v>0</v>
      </c>
      <c r="AM37" s="34">
        <v>0</v>
      </c>
    </row>
    <row r="38" spans="1:39" x14ac:dyDescent="0.3">
      <c r="A38" s="24" t="s">
        <v>105</v>
      </c>
      <c r="B38" s="25" t="s">
        <v>6</v>
      </c>
      <c r="C38" s="25" t="s">
        <v>7</v>
      </c>
      <c r="D38" s="25" t="s">
        <v>106</v>
      </c>
      <c r="E38" s="26" t="s">
        <v>140</v>
      </c>
      <c r="F38" s="27">
        <v>73</v>
      </c>
      <c r="G38" s="28">
        <f t="shared" si="0"/>
        <v>38.75</v>
      </c>
      <c r="H38" s="29">
        <v>50</v>
      </c>
      <c r="I38" s="29">
        <v>40</v>
      </c>
      <c r="J38" s="29">
        <v>30</v>
      </c>
      <c r="K38" s="30">
        <v>35</v>
      </c>
      <c r="L38" s="31">
        <f t="shared" si="1"/>
        <v>25.639254500000007</v>
      </c>
      <c r="M38" s="32">
        <v>40.923763000000008</v>
      </c>
      <c r="N38" s="32">
        <v>20.914156999999999</v>
      </c>
      <c r="O38" s="32">
        <v>17.580480000000001</v>
      </c>
      <c r="P38" s="33">
        <v>19.812719999999999</v>
      </c>
      <c r="Q38" s="31">
        <f t="shared" si="2"/>
        <v>5.3787442499999996</v>
      </c>
      <c r="R38" s="32">
        <v>6.9330119999999997</v>
      </c>
      <c r="S38" s="32">
        <v>5.7886150000000001</v>
      </c>
      <c r="T38" s="32">
        <v>3.222596999999999</v>
      </c>
      <c r="U38" s="33">
        <v>5.5707529999999998</v>
      </c>
      <c r="V38" s="31">
        <f t="shared" si="3"/>
        <v>17.654530000000001</v>
      </c>
      <c r="W38" s="32">
        <v>31.295649999999998</v>
      </c>
      <c r="X38" s="32">
        <v>13.22898</v>
      </c>
      <c r="Y38" s="32">
        <v>13.27575</v>
      </c>
      <c r="Z38" s="33">
        <v>12.817740000000001</v>
      </c>
      <c r="AA38" s="31">
        <f t="shared" si="4"/>
        <v>1.662949</v>
      </c>
      <c r="AB38" s="32">
        <v>2.0362480000000001</v>
      </c>
      <c r="AC38" s="33">
        <v>1.28965</v>
      </c>
      <c r="AD38" s="31">
        <f t="shared" si="5"/>
        <v>0.94303124999999999</v>
      </c>
      <c r="AE38" s="32">
        <v>0.65885300000000002</v>
      </c>
      <c r="AF38" s="32">
        <v>0.60691200000000012</v>
      </c>
      <c r="AG38" s="32">
        <v>1.082133</v>
      </c>
      <c r="AH38" s="33">
        <v>1.4242269999999999</v>
      </c>
      <c r="AI38" s="31">
        <f t="shared" si="6"/>
        <v>2.0261570199409107E-15</v>
      </c>
      <c r="AJ38" s="32">
        <v>8.1046280797636427E-15</v>
      </c>
      <c r="AK38" s="32">
        <v>0</v>
      </c>
      <c r="AL38" s="32">
        <v>0</v>
      </c>
      <c r="AM38" s="34">
        <v>0</v>
      </c>
    </row>
    <row r="39" spans="1:39" x14ac:dyDescent="0.3">
      <c r="A39" s="24" t="s">
        <v>105</v>
      </c>
      <c r="B39" s="25" t="s">
        <v>6</v>
      </c>
      <c r="C39" s="25" t="s">
        <v>7</v>
      </c>
      <c r="D39" s="25" t="s">
        <v>106</v>
      </c>
      <c r="E39" s="26" t="s">
        <v>141</v>
      </c>
      <c r="F39" s="27">
        <v>12</v>
      </c>
      <c r="G39" s="28">
        <f t="shared" si="0"/>
        <v>1.5</v>
      </c>
      <c r="H39" s="29">
        <v>2</v>
      </c>
      <c r="I39" s="29">
        <v>0</v>
      </c>
      <c r="J39" s="29">
        <v>2</v>
      </c>
      <c r="K39" s="30">
        <v>2</v>
      </c>
      <c r="L39" s="31">
        <f t="shared" si="1"/>
        <v>1.6420370000000002</v>
      </c>
      <c r="M39" s="32">
        <v>5.2548699999999986</v>
      </c>
      <c r="N39" s="32">
        <v>0</v>
      </c>
      <c r="O39" s="32">
        <v>0.121729</v>
      </c>
      <c r="P39" s="33">
        <v>1.108679</v>
      </c>
      <c r="Q39" s="31">
        <f t="shared" si="2"/>
        <v>0</v>
      </c>
      <c r="R39" s="32">
        <v>0</v>
      </c>
      <c r="S39" s="32">
        <v>0</v>
      </c>
      <c r="T39" s="32">
        <v>0</v>
      </c>
      <c r="U39" s="33">
        <v>0</v>
      </c>
      <c r="V39" s="31">
        <f t="shared" si="3"/>
        <v>1.54443</v>
      </c>
      <c r="W39" s="32">
        <v>5.1719999999999997</v>
      </c>
      <c r="X39" s="32">
        <v>0</v>
      </c>
      <c r="Y39" s="32">
        <v>0</v>
      </c>
      <c r="Z39" s="33">
        <v>1.0057199999999999</v>
      </c>
      <c r="AA39" s="31">
        <f t="shared" si="4"/>
        <v>4.1435E-2</v>
      </c>
      <c r="AB39" s="32">
        <v>8.2869999999999999E-2</v>
      </c>
      <c r="AC39" s="33">
        <v>0</v>
      </c>
      <c r="AD39" s="31">
        <f t="shared" si="5"/>
        <v>5.6172E-2</v>
      </c>
      <c r="AE39" s="32">
        <v>0</v>
      </c>
      <c r="AF39" s="32">
        <v>0</v>
      </c>
      <c r="AG39" s="32">
        <v>0.121729</v>
      </c>
      <c r="AH39" s="33">
        <v>0.10295899999999999</v>
      </c>
      <c r="AI39" s="31">
        <f t="shared" si="6"/>
        <v>0</v>
      </c>
      <c r="AJ39" s="32">
        <v>0</v>
      </c>
      <c r="AK39" s="32">
        <v>0</v>
      </c>
      <c r="AL39" s="32">
        <v>0</v>
      </c>
      <c r="AM39" s="34">
        <v>0</v>
      </c>
    </row>
    <row r="40" spans="1:39" x14ac:dyDescent="0.3">
      <c r="A40" s="24" t="s">
        <v>142</v>
      </c>
      <c r="B40" s="25" t="s">
        <v>2</v>
      </c>
      <c r="C40" s="25" t="s">
        <v>3</v>
      </c>
      <c r="D40" s="25" t="s">
        <v>143</v>
      </c>
      <c r="E40" s="26" t="s">
        <v>144</v>
      </c>
      <c r="F40" s="27">
        <v>4</v>
      </c>
      <c r="G40" s="28">
        <f t="shared" si="0"/>
        <v>0</v>
      </c>
      <c r="H40" s="29">
        <v>0</v>
      </c>
      <c r="I40" s="29">
        <v>0</v>
      </c>
      <c r="J40" s="29">
        <v>0</v>
      </c>
      <c r="K40" s="30">
        <v>0</v>
      </c>
      <c r="L40" s="31">
        <f t="shared" si="1"/>
        <v>0</v>
      </c>
      <c r="M40" s="32">
        <v>0</v>
      </c>
      <c r="N40" s="32">
        <v>0</v>
      </c>
      <c r="O40" s="32">
        <v>0</v>
      </c>
      <c r="P40" s="33">
        <v>0</v>
      </c>
      <c r="Q40" s="31">
        <f t="shared" si="2"/>
        <v>0</v>
      </c>
      <c r="R40" s="32">
        <v>0</v>
      </c>
      <c r="S40" s="32">
        <v>0</v>
      </c>
      <c r="T40" s="32">
        <v>0</v>
      </c>
      <c r="U40" s="33">
        <v>0</v>
      </c>
      <c r="V40" s="31">
        <f t="shared" si="3"/>
        <v>0</v>
      </c>
      <c r="W40" s="32">
        <v>0</v>
      </c>
      <c r="X40" s="32">
        <v>0</v>
      </c>
      <c r="Y40" s="32">
        <v>0</v>
      </c>
      <c r="Z40" s="33">
        <v>0</v>
      </c>
      <c r="AA40" s="31">
        <f t="shared" si="4"/>
        <v>0</v>
      </c>
      <c r="AB40" s="32">
        <v>0</v>
      </c>
      <c r="AC40" s="33">
        <v>0</v>
      </c>
      <c r="AD40" s="31">
        <f t="shared" si="5"/>
        <v>0</v>
      </c>
      <c r="AE40" s="32">
        <v>0</v>
      </c>
      <c r="AF40" s="32">
        <v>0</v>
      </c>
      <c r="AG40" s="32">
        <v>0</v>
      </c>
      <c r="AH40" s="33">
        <v>0</v>
      </c>
      <c r="AI40" s="31">
        <f t="shared" si="6"/>
        <v>0</v>
      </c>
      <c r="AJ40" s="32">
        <v>0</v>
      </c>
      <c r="AK40" s="32">
        <v>0</v>
      </c>
      <c r="AL40" s="32">
        <v>0</v>
      </c>
      <c r="AM40" s="34">
        <v>0</v>
      </c>
    </row>
    <row r="41" spans="1:39" x14ac:dyDescent="0.3">
      <c r="A41" s="24" t="s">
        <v>142</v>
      </c>
      <c r="B41" s="25" t="s">
        <v>2</v>
      </c>
      <c r="C41" s="25" t="s">
        <v>3</v>
      </c>
      <c r="D41" s="25" t="s">
        <v>143</v>
      </c>
      <c r="E41" s="26" t="s">
        <v>145</v>
      </c>
      <c r="F41" s="27">
        <v>20</v>
      </c>
      <c r="G41" s="28">
        <f t="shared" si="0"/>
        <v>9.75</v>
      </c>
      <c r="H41" s="29">
        <v>8</v>
      </c>
      <c r="I41" s="29">
        <v>13</v>
      </c>
      <c r="J41" s="29">
        <v>8</v>
      </c>
      <c r="K41" s="30">
        <v>10</v>
      </c>
      <c r="L41" s="31">
        <f t="shared" si="1"/>
        <v>4.0293789999999996</v>
      </c>
      <c r="M41" s="32">
        <v>2.8939539999999999</v>
      </c>
      <c r="N41" s="32">
        <v>6.6281220000000003</v>
      </c>
      <c r="O41" s="32">
        <v>2.4278040000000001</v>
      </c>
      <c r="P41" s="33">
        <v>4.1199310000000002</v>
      </c>
      <c r="Q41" s="31">
        <f t="shared" si="2"/>
        <v>1.6892795</v>
      </c>
      <c r="R41" s="32">
        <v>1.3848370000000001</v>
      </c>
      <c r="S41" s="32">
        <v>2.313517</v>
      </c>
      <c r="T41" s="32">
        <v>1.206196</v>
      </c>
      <c r="U41" s="33">
        <v>1.852568</v>
      </c>
      <c r="V41" s="31">
        <f t="shared" si="3"/>
        <v>1.9668324999999998</v>
      </c>
      <c r="W41" s="32">
        <v>1.4098999999999999</v>
      </c>
      <c r="X41" s="32">
        <v>4.0505100000000001</v>
      </c>
      <c r="Y41" s="32">
        <v>0.82319999999999993</v>
      </c>
      <c r="Z41" s="33">
        <v>1.58372</v>
      </c>
      <c r="AA41" s="31">
        <f t="shared" si="4"/>
        <v>2.3852499999999999E-2</v>
      </c>
      <c r="AB41" s="32">
        <v>4.7704999999999997E-2</v>
      </c>
      <c r="AC41" s="33">
        <v>0</v>
      </c>
      <c r="AD41" s="31">
        <f t="shared" si="5"/>
        <v>0.34941450000000002</v>
      </c>
      <c r="AE41" s="32">
        <v>5.1512000000000002E-2</v>
      </c>
      <c r="AF41" s="32">
        <v>0.26409500000000002</v>
      </c>
      <c r="AG41" s="32">
        <v>0.39840799999999998</v>
      </c>
      <c r="AH41" s="33">
        <v>0.683643</v>
      </c>
      <c r="AI41" s="31">
        <f t="shared" si="6"/>
        <v>0</v>
      </c>
      <c r="AJ41" s="32">
        <v>0</v>
      </c>
      <c r="AK41" s="32">
        <v>0</v>
      </c>
      <c r="AL41" s="32">
        <v>0</v>
      </c>
      <c r="AM41" s="34">
        <v>0</v>
      </c>
    </row>
    <row r="42" spans="1:39" x14ac:dyDescent="0.3">
      <c r="A42" s="24" t="s">
        <v>142</v>
      </c>
      <c r="B42" s="25" t="s">
        <v>2</v>
      </c>
      <c r="C42" s="25" t="s">
        <v>3</v>
      </c>
      <c r="D42" s="25" t="s">
        <v>143</v>
      </c>
      <c r="E42" s="26" t="s">
        <v>146</v>
      </c>
      <c r="F42" s="27">
        <v>85</v>
      </c>
      <c r="G42" s="28">
        <f t="shared" si="0"/>
        <v>38.5</v>
      </c>
      <c r="H42" s="29">
        <v>34</v>
      </c>
      <c r="I42" s="29">
        <v>34</v>
      </c>
      <c r="J42" s="29">
        <v>41</v>
      </c>
      <c r="K42" s="30">
        <v>45</v>
      </c>
      <c r="L42" s="31">
        <f t="shared" si="1"/>
        <v>26.387247249999998</v>
      </c>
      <c r="M42" s="32">
        <v>27.996780000000001</v>
      </c>
      <c r="N42" s="32">
        <v>20.148212999999998</v>
      </c>
      <c r="O42" s="32">
        <v>30.138760999999999</v>
      </c>
      <c r="P42" s="33">
        <v>24.613699</v>
      </c>
      <c r="Q42" s="31">
        <f t="shared" si="2"/>
        <v>6.4091277499999997</v>
      </c>
      <c r="R42" s="32">
        <v>1.592484</v>
      </c>
      <c r="S42" s="32">
        <v>5.336786</v>
      </c>
      <c r="T42" s="32">
        <v>13.432727999999999</v>
      </c>
      <c r="U42" s="33">
        <v>5.2745129999999998</v>
      </c>
      <c r="V42" s="31">
        <f t="shared" si="3"/>
        <v>8.9357582499999992</v>
      </c>
      <c r="W42" s="32">
        <v>5.3760300000000001</v>
      </c>
      <c r="X42" s="32">
        <v>4.1626599999999998</v>
      </c>
      <c r="Y42" s="32">
        <v>9.4378600000000006</v>
      </c>
      <c r="Z42" s="33">
        <v>16.766483000000001</v>
      </c>
      <c r="AA42" s="31">
        <f t="shared" si="4"/>
        <v>1.3257680000000001</v>
      </c>
      <c r="AB42" s="32">
        <v>1.759247</v>
      </c>
      <c r="AC42" s="33">
        <v>0.89228899999999989</v>
      </c>
      <c r="AD42" s="31">
        <f t="shared" si="5"/>
        <v>1.8915932500000001</v>
      </c>
      <c r="AE42" s="32">
        <v>0.7690189999999999</v>
      </c>
      <c r="AF42" s="32">
        <v>1.4564779999999999</v>
      </c>
      <c r="AG42" s="32">
        <v>2.9681730000000002</v>
      </c>
      <c r="AH42" s="33">
        <v>2.372703</v>
      </c>
      <c r="AI42" s="31">
        <f t="shared" si="6"/>
        <v>7.8249999999999984</v>
      </c>
      <c r="AJ42" s="32">
        <v>18.5</v>
      </c>
      <c r="AK42" s="32">
        <v>8.2999999999999989</v>
      </c>
      <c r="AL42" s="32">
        <v>4.2999999999999972</v>
      </c>
      <c r="AM42" s="34">
        <v>0.20000000000000059</v>
      </c>
    </row>
    <row r="43" spans="1:39" x14ac:dyDescent="0.3">
      <c r="A43" s="24" t="s">
        <v>142</v>
      </c>
      <c r="B43" s="25" t="s">
        <v>2</v>
      </c>
      <c r="C43" s="25" t="s">
        <v>3</v>
      </c>
      <c r="D43" s="25" t="s">
        <v>143</v>
      </c>
      <c r="E43" s="26" t="s">
        <v>147</v>
      </c>
      <c r="F43" s="27">
        <v>2</v>
      </c>
      <c r="G43" s="28">
        <f t="shared" si="0"/>
        <v>0</v>
      </c>
      <c r="H43" s="29">
        <v>0</v>
      </c>
      <c r="I43" s="29">
        <v>0</v>
      </c>
      <c r="J43" s="29">
        <v>0</v>
      </c>
      <c r="K43" s="30">
        <v>0</v>
      </c>
      <c r="L43" s="31">
        <f t="shared" si="1"/>
        <v>0</v>
      </c>
      <c r="M43" s="32">
        <v>0</v>
      </c>
      <c r="N43" s="32">
        <v>0</v>
      </c>
      <c r="O43" s="32">
        <v>0</v>
      </c>
      <c r="P43" s="33">
        <v>0</v>
      </c>
      <c r="Q43" s="31">
        <f t="shared" si="2"/>
        <v>0</v>
      </c>
      <c r="R43" s="32">
        <v>0</v>
      </c>
      <c r="S43" s="32">
        <v>0</v>
      </c>
      <c r="T43" s="32">
        <v>0</v>
      </c>
      <c r="U43" s="33">
        <v>0</v>
      </c>
      <c r="V43" s="31">
        <f t="shared" si="3"/>
        <v>0</v>
      </c>
      <c r="W43" s="32">
        <v>0</v>
      </c>
      <c r="X43" s="32">
        <v>0</v>
      </c>
      <c r="Y43" s="32">
        <v>0</v>
      </c>
      <c r="Z43" s="33">
        <v>0</v>
      </c>
      <c r="AA43" s="31">
        <f t="shared" si="4"/>
        <v>0</v>
      </c>
      <c r="AB43" s="32">
        <v>0</v>
      </c>
      <c r="AC43" s="33">
        <v>0</v>
      </c>
      <c r="AD43" s="31">
        <f t="shared" si="5"/>
        <v>0</v>
      </c>
      <c r="AE43" s="32">
        <v>0</v>
      </c>
      <c r="AF43" s="32">
        <v>0</v>
      </c>
      <c r="AG43" s="32">
        <v>0</v>
      </c>
      <c r="AH43" s="33">
        <v>0</v>
      </c>
      <c r="AI43" s="31">
        <f t="shared" si="6"/>
        <v>0</v>
      </c>
      <c r="AJ43" s="32">
        <v>0</v>
      </c>
      <c r="AK43" s="32">
        <v>0</v>
      </c>
      <c r="AL43" s="32">
        <v>0</v>
      </c>
      <c r="AM43" s="34">
        <v>0</v>
      </c>
    </row>
    <row r="44" spans="1:39" x14ac:dyDescent="0.3">
      <c r="A44" s="24" t="s">
        <v>142</v>
      </c>
      <c r="B44" s="25" t="s">
        <v>2</v>
      </c>
      <c r="C44" s="25" t="s">
        <v>3</v>
      </c>
      <c r="D44" s="25" t="s">
        <v>143</v>
      </c>
      <c r="E44" s="26" t="s">
        <v>148</v>
      </c>
      <c r="F44" s="27">
        <v>60</v>
      </c>
      <c r="G44" s="28">
        <f t="shared" si="0"/>
        <v>37.25</v>
      </c>
      <c r="H44" s="29">
        <v>25</v>
      </c>
      <c r="I44" s="29">
        <v>36</v>
      </c>
      <c r="J44" s="29">
        <v>41</v>
      </c>
      <c r="K44" s="30">
        <v>47</v>
      </c>
      <c r="L44" s="31">
        <f t="shared" si="1"/>
        <v>24.873464249999998</v>
      </c>
      <c r="M44" s="32">
        <v>18.414328000000001</v>
      </c>
      <c r="N44" s="32">
        <v>23.108440999999999</v>
      </c>
      <c r="O44" s="32">
        <v>19.928923000000001</v>
      </c>
      <c r="P44" s="33">
        <v>36.079886999999999</v>
      </c>
      <c r="Q44" s="31">
        <f t="shared" si="2"/>
        <v>5.3359239999999994</v>
      </c>
      <c r="R44" s="32">
        <v>10.84174</v>
      </c>
      <c r="S44" s="32">
        <v>1.501641</v>
      </c>
      <c r="T44" s="32">
        <v>4.639634</v>
      </c>
      <c r="U44" s="33">
        <v>4.3606809999999996</v>
      </c>
      <c r="V44" s="31">
        <f t="shared" si="3"/>
        <v>16.008285000000001</v>
      </c>
      <c r="W44" s="32">
        <v>4.9451300000000007</v>
      </c>
      <c r="X44" s="32">
        <v>20.278919999999999</v>
      </c>
      <c r="Y44" s="32">
        <v>11.96007</v>
      </c>
      <c r="Z44" s="33">
        <v>26.849019999999999</v>
      </c>
      <c r="AA44" s="31">
        <f t="shared" si="4"/>
        <v>0.98113899999999998</v>
      </c>
      <c r="AB44" s="32">
        <v>1.146922</v>
      </c>
      <c r="AC44" s="33">
        <v>0.81535599999999997</v>
      </c>
      <c r="AD44" s="31">
        <f t="shared" si="5"/>
        <v>2.2960037499999997</v>
      </c>
      <c r="AE44" s="32">
        <v>0.47208600000000001</v>
      </c>
      <c r="AF44" s="32">
        <v>0.51252399999999998</v>
      </c>
      <c r="AG44" s="32">
        <v>3.3292190000000002</v>
      </c>
      <c r="AH44" s="33">
        <v>4.8701859999999986</v>
      </c>
      <c r="AI44" s="31">
        <f t="shared" si="6"/>
        <v>0.25211250000000024</v>
      </c>
      <c r="AJ44" s="32">
        <v>1.008449999999997</v>
      </c>
      <c r="AK44" s="32">
        <v>3.9968028886505643E-15</v>
      </c>
      <c r="AL44" s="32">
        <v>0</v>
      </c>
      <c r="AM44" s="34">
        <v>0</v>
      </c>
    </row>
    <row r="45" spans="1:39" x14ac:dyDescent="0.3">
      <c r="A45" s="24" t="s">
        <v>142</v>
      </c>
      <c r="B45" s="25" t="s">
        <v>2</v>
      </c>
      <c r="C45" s="25" t="s">
        <v>3</v>
      </c>
      <c r="D45" s="25" t="s">
        <v>143</v>
      </c>
      <c r="E45" s="26" t="s">
        <v>149</v>
      </c>
      <c r="F45" s="27">
        <v>105</v>
      </c>
      <c r="G45" s="28">
        <f t="shared" si="0"/>
        <v>80.75</v>
      </c>
      <c r="H45" s="29">
        <v>80</v>
      </c>
      <c r="I45" s="29">
        <v>72</v>
      </c>
      <c r="J45" s="29">
        <v>90</v>
      </c>
      <c r="K45" s="30">
        <v>81</v>
      </c>
      <c r="L45" s="31">
        <f t="shared" si="1"/>
        <v>35.24862925</v>
      </c>
      <c r="M45" s="32">
        <v>28.409193999999999</v>
      </c>
      <c r="N45" s="32">
        <v>30.601855999999991</v>
      </c>
      <c r="O45" s="32">
        <v>44.353570000000012</v>
      </c>
      <c r="P45" s="33">
        <v>27.15642999999999</v>
      </c>
      <c r="Q45" s="31">
        <f t="shared" si="2"/>
        <v>9.2093987500000001</v>
      </c>
      <c r="R45" s="32">
        <v>8.2106889999999986</v>
      </c>
      <c r="S45" s="32">
        <v>9.680908999999998</v>
      </c>
      <c r="T45" s="32">
        <v>14.751481999999999</v>
      </c>
      <c r="U45" s="33">
        <v>4.194515</v>
      </c>
      <c r="V45" s="31">
        <f t="shared" si="3"/>
        <v>14.003674</v>
      </c>
      <c r="W45" s="32">
        <v>10.6295</v>
      </c>
      <c r="X45" s="32">
        <v>9.812932</v>
      </c>
      <c r="Y45" s="32">
        <v>24.342853999999999</v>
      </c>
      <c r="Z45" s="33">
        <v>11.22941</v>
      </c>
      <c r="AA45" s="31">
        <f t="shared" si="4"/>
        <v>5.2367335000000006</v>
      </c>
      <c r="AB45" s="32">
        <v>6.5757620000000001</v>
      </c>
      <c r="AC45" s="33">
        <v>3.8977050000000011</v>
      </c>
      <c r="AD45" s="31">
        <f t="shared" si="5"/>
        <v>4.6030829999999998</v>
      </c>
      <c r="AE45" s="32">
        <v>1.6836930000000001</v>
      </c>
      <c r="AF45" s="32">
        <v>3.1620499999999998</v>
      </c>
      <c r="AG45" s="32">
        <v>4.151084</v>
      </c>
      <c r="AH45" s="33">
        <v>9.4155049999999996</v>
      </c>
      <c r="AI45" s="31">
        <f t="shared" si="6"/>
        <v>2.1957400000000016</v>
      </c>
      <c r="AJ45" s="32">
        <v>1.3095500000000011</v>
      </c>
      <c r="AK45" s="32">
        <v>4.0482599999999982</v>
      </c>
      <c r="AL45" s="32">
        <v>1.10815000000001</v>
      </c>
      <c r="AM45" s="34">
        <v>2.3169999999999971</v>
      </c>
    </row>
    <row r="46" spans="1:39" x14ac:dyDescent="0.3">
      <c r="A46" s="24" t="s">
        <v>142</v>
      </c>
      <c r="B46" s="25" t="s">
        <v>2</v>
      </c>
      <c r="C46" s="25" t="s">
        <v>3</v>
      </c>
      <c r="D46" s="25" t="s">
        <v>143</v>
      </c>
      <c r="E46" s="26" t="s">
        <v>150</v>
      </c>
      <c r="F46" s="27">
        <v>40</v>
      </c>
      <c r="G46" s="28">
        <f t="shared" si="0"/>
        <v>14.75</v>
      </c>
      <c r="H46" s="29">
        <v>18</v>
      </c>
      <c r="I46" s="29">
        <v>17</v>
      </c>
      <c r="J46" s="29">
        <v>12</v>
      </c>
      <c r="K46" s="30">
        <v>12</v>
      </c>
      <c r="L46" s="31">
        <f t="shared" si="1"/>
        <v>5.6269340000000003</v>
      </c>
      <c r="M46" s="32">
        <v>5.2281510000000004</v>
      </c>
      <c r="N46" s="32">
        <v>6.8761640000000002</v>
      </c>
      <c r="O46" s="32">
        <v>3.417897</v>
      </c>
      <c r="P46" s="33">
        <v>3.822257</v>
      </c>
      <c r="Q46" s="31">
        <f t="shared" si="2"/>
        <v>1.7706517500000003</v>
      </c>
      <c r="R46" s="32">
        <v>2.1364619999999999</v>
      </c>
      <c r="S46" s="32">
        <v>1.10972</v>
      </c>
      <c r="T46" s="32">
        <v>1.8215650000000001</v>
      </c>
      <c r="U46" s="33">
        <v>2.0148600000000001</v>
      </c>
      <c r="V46" s="31">
        <f t="shared" si="3"/>
        <v>1.3586900000000002</v>
      </c>
      <c r="W46" s="32">
        <v>0</v>
      </c>
      <c r="X46" s="32">
        <v>3.4411399999999999</v>
      </c>
      <c r="Y46" s="32">
        <v>0.99231999999999998</v>
      </c>
      <c r="Z46" s="33">
        <v>1.0013000000000001</v>
      </c>
      <c r="AA46" s="31">
        <f t="shared" si="4"/>
        <v>1.5816334999999999</v>
      </c>
      <c r="AB46" s="32">
        <v>2.3369759999999999</v>
      </c>
      <c r="AC46" s="33">
        <v>0.826291</v>
      </c>
      <c r="AD46" s="31">
        <f t="shared" si="5"/>
        <v>0.91595874999999993</v>
      </c>
      <c r="AE46" s="32">
        <v>0.75471299999999997</v>
      </c>
      <c r="AF46" s="32">
        <v>1.4990129999999999</v>
      </c>
      <c r="AG46" s="32">
        <v>0.60401199999999999</v>
      </c>
      <c r="AH46" s="33">
        <v>0.80609699999999995</v>
      </c>
      <c r="AI46" s="31">
        <f t="shared" si="6"/>
        <v>0</v>
      </c>
      <c r="AJ46" s="32">
        <v>0</v>
      </c>
      <c r="AK46" s="32">
        <v>0</v>
      </c>
      <c r="AL46" s="32">
        <v>0</v>
      </c>
      <c r="AM46" s="34">
        <v>0</v>
      </c>
    </row>
    <row r="47" spans="1:39" x14ac:dyDescent="0.3">
      <c r="A47" s="24" t="s">
        <v>142</v>
      </c>
      <c r="B47" s="25" t="s">
        <v>2</v>
      </c>
      <c r="C47" s="25" t="s">
        <v>3</v>
      </c>
      <c r="D47" s="25" t="s">
        <v>143</v>
      </c>
      <c r="E47" s="26" t="s">
        <v>151</v>
      </c>
      <c r="F47" s="27">
        <v>10</v>
      </c>
      <c r="G47" s="28">
        <f t="shared" si="0"/>
        <v>1</v>
      </c>
      <c r="H47" s="29">
        <v>2</v>
      </c>
      <c r="I47" s="29">
        <v>1</v>
      </c>
      <c r="J47" s="29">
        <v>0</v>
      </c>
      <c r="K47" s="30">
        <v>1</v>
      </c>
      <c r="L47" s="31">
        <f t="shared" si="1"/>
        <v>1.4153432500000001</v>
      </c>
      <c r="M47" s="32">
        <v>2.2664249999999999</v>
      </c>
      <c r="N47" s="32">
        <v>0.17788799999999999</v>
      </c>
      <c r="O47" s="32">
        <v>0</v>
      </c>
      <c r="P47" s="33">
        <v>2.9536750000000001</v>
      </c>
      <c r="Q47" s="31">
        <f t="shared" si="2"/>
        <v>1.23917875</v>
      </c>
      <c r="R47" s="32">
        <v>2.0030399999999999</v>
      </c>
      <c r="S47" s="32">
        <v>0</v>
      </c>
      <c r="T47" s="32">
        <v>0</v>
      </c>
      <c r="U47" s="33">
        <v>2.9536750000000001</v>
      </c>
      <c r="V47" s="31">
        <f t="shared" si="3"/>
        <v>0</v>
      </c>
      <c r="W47" s="32">
        <v>0</v>
      </c>
      <c r="X47" s="32">
        <v>0</v>
      </c>
      <c r="Y47" s="32">
        <v>0</v>
      </c>
      <c r="Z47" s="33">
        <v>0</v>
      </c>
      <c r="AA47" s="31">
        <f t="shared" si="4"/>
        <v>0.13169249999999999</v>
      </c>
      <c r="AB47" s="32">
        <v>0.26338499999999998</v>
      </c>
      <c r="AC47" s="33">
        <v>0</v>
      </c>
      <c r="AD47" s="31">
        <f t="shared" si="5"/>
        <v>4.4471999999999998E-2</v>
      </c>
      <c r="AE47" s="32">
        <v>0</v>
      </c>
      <c r="AF47" s="32">
        <v>0.17788799999999999</v>
      </c>
      <c r="AG47" s="32">
        <v>0</v>
      </c>
      <c r="AH47" s="33">
        <v>0</v>
      </c>
      <c r="AI47" s="31">
        <f t="shared" si="6"/>
        <v>0</v>
      </c>
      <c r="AJ47" s="32">
        <v>0</v>
      </c>
      <c r="AK47" s="32">
        <v>0</v>
      </c>
      <c r="AL47" s="32">
        <v>0</v>
      </c>
      <c r="AM47" s="34">
        <v>0</v>
      </c>
    </row>
    <row r="48" spans="1:39" x14ac:dyDescent="0.3">
      <c r="A48" s="24" t="s">
        <v>142</v>
      </c>
      <c r="B48" s="25" t="s">
        <v>2</v>
      </c>
      <c r="C48" s="25" t="s">
        <v>3</v>
      </c>
      <c r="D48" s="25" t="s">
        <v>143</v>
      </c>
      <c r="E48" s="26" t="s">
        <v>152</v>
      </c>
      <c r="F48" s="27">
        <v>1</v>
      </c>
      <c r="G48" s="28">
        <f t="shared" si="0"/>
        <v>0.5</v>
      </c>
      <c r="H48" s="29">
        <v>0</v>
      </c>
      <c r="I48" s="29">
        <v>0</v>
      </c>
      <c r="J48" s="29">
        <v>2</v>
      </c>
      <c r="K48" s="30">
        <v>0</v>
      </c>
      <c r="L48" s="31">
        <f t="shared" si="1"/>
        <v>0.1025025</v>
      </c>
      <c r="M48" s="32">
        <v>0</v>
      </c>
      <c r="N48" s="32">
        <v>0</v>
      </c>
      <c r="O48" s="32">
        <v>0.41000999999999999</v>
      </c>
      <c r="P48" s="33">
        <v>0</v>
      </c>
      <c r="Q48" s="31">
        <f t="shared" si="2"/>
        <v>8.9249999999999996E-2</v>
      </c>
      <c r="R48" s="32">
        <v>0</v>
      </c>
      <c r="S48" s="32">
        <v>0</v>
      </c>
      <c r="T48" s="32">
        <v>0.35699999999999998</v>
      </c>
      <c r="U48" s="33">
        <v>0</v>
      </c>
      <c r="V48" s="31">
        <f t="shared" si="3"/>
        <v>0</v>
      </c>
      <c r="W48" s="32">
        <v>0</v>
      </c>
      <c r="X48" s="32">
        <v>0</v>
      </c>
      <c r="Y48" s="32">
        <v>0</v>
      </c>
      <c r="Z48" s="33">
        <v>0</v>
      </c>
      <c r="AA48" s="31">
        <f t="shared" si="4"/>
        <v>0</v>
      </c>
      <c r="AB48" s="32">
        <v>0</v>
      </c>
      <c r="AC48" s="33">
        <v>0</v>
      </c>
      <c r="AD48" s="31">
        <f t="shared" si="5"/>
        <v>1.32525E-2</v>
      </c>
      <c r="AE48" s="32">
        <v>0</v>
      </c>
      <c r="AF48" s="32">
        <v>0</v>
      </c>
      <c r="AG48" s="32">
        <v>5.3010000000000002E-2</v>
      </c>
      <c r="AH48" s="33">
        <v>0</v>
      </c>
      <c r="AI48" s="31">
        <f t="shared" si="6"/>
        <v>0</v>
      </c>
      <c r="AJ48" s="32">
        <v>0</v>
      </c>
      <c r="AK48" s="32">
        <v>0</v>
      </c>
      <c r="AL48" s="32">
        <v>0</v>
      </c>
      <c r="AM48" s="34">
        <v>0</v>
      </c>
    </row>
    <row r="49" spans="1:39" x14ac:dyDescent="0.3">
      <c r="A49" s="24" t="s">
        <v>142</v>
      </c>
      <c r="B49" s="25" t="s">
        <v>0</v>
      </c>
      <c r="C49" s="25" t="s">
        <v>1</v>
      </c>
      <c r="D49" s="25" t="s">
        <v>110</v>
      </c>
      <c r="E49" s="26" t="s">
        <v>153</v>
      </c>
      <c r="F49" s="27">
        <v>7</v>
      </c>
      <c r="G49" s="28">
        <f t="shared" si="0"/>
        <v>8</v>
      </c>
      <c r="H49" s="29">
        <v>0</v>
      </c>
      <c r="I49" s="29">
        <v>1</v>
      </c>
      <c r="J49" s="29">
        <v>13</v>
      </c>
      <c r="K49" s="30">
        <v>18</v>
      </c>
      <c r="L49" s="31">
        <f t="shared" si="1"/>
        <v>1.7293314999999998</v>
      </c>
      <c r="M49" s="32">
        <v>0</v>
      </c>
      <c r="N49" s="32">
        <v>0.70550999999999997</v>
      </c>
      <c r="O49" s="32">
        <v>3.8196569999999999</v>
      </c>
      <c r="P49" s="33">
        <v>2.3921589999999999</v>
      </c>
      <c r="Q49" s="31">
        <f t="shared" si="2"/>
        <v>0</v>
      </c>
      <c r="R49" s="32">
        <v>0</v>
      </c>
      <c r="S49" s="32">
        <v>0</v>
      </c>
      <c r="T49" s="32">
        <v>0</v>
      </c>
      <c r="U49" s="33">
        <v>0</v>
      </c>
      <c r="V49" s="31">
        <f t="shared" si="3"/>
        <v>0.96191499999999996</v>
      </c>
      <c r="W49" s="32">
        <v>0</v>
      </c>
      <c r="X49" s="32">
        <v>0.70550999999999997</v>
      </c>
      <c r="Y49" s="32">
        <v>2.63775</v>
      </c>
      <c r="Z49" s="33">
        <v>0.50439999999999996</v>
      </c>
      <c r="AA49" s="31">
        <f t="shared" si="4"/>
        <v>0</v>
      </c>
      <c r="AB49" s="32">
        <v>0</v>
      </c>
      <c r="AC49" s="33">
        <v>0</v>
      </c>
      <c r="AD49" s="31">
        <f t="shared" si="5"/>
        <v>0.76741649999999995</v>
      </c>
      <c r="AE49" s="32">
        <v>0</v>
      </c>
      <c r="AF49" s="32">
        <v>0</v>
      </c>
      <c r="AG49" s="32">
        <v>1.181907</v>
      </c>
      <c r="AH49" s="33">
        <v>1.887759</v>
      </c>
      <c r="AI49" s="31">
        <f t="shared" si="6"/>
        <v>0</v>
      </c>
      <c r="AJ49" s="32">
        <v>0</v>
      </c>
      <c r="AK49" s="32">
        <v>0</v>
      </c>
      <c r="AL49" s="32">
        <v>0</v>
      </c>
      <c r="AM49" s="34">
        <v>0</v>
      </c>
    </row>
    <row r="50" spans="1:39" x14ac:dyDescent="0.3">
      <c r="A50" s="24" t="s">
        <v>142</v>
      </c>
      <c r="B50" s="25" t="s">
        <v>0</v>
      </c>
      <c r="C50" s="25" t="s">
        <v>1</v>
      </c>
      <c r="D50" s="25" t="s">
        <v>110</v>
      </c>
      <c r="E50" s="26" t="s">
        <v>154</v>
      </c>
      <c r="F50" s="27">
        <v>161</v>
      </c>
      <c r="G50" s="28">
        <f t="shared" si="0"/>
        <v>123.25</v>
      </c>
      <c r="H50" s="29">
        <v>111</v>
      </c>
      <c r="I50" s="29">
        <v>125</v>
      </c>
      <c r="J50" s="29">
        <v>135</v>
      </c>
      <c r="K50" s="30">
        <v>122</v>
      </c>
      <c r="L50" s="31">
        <f t="shared" si="1"/>
        <v>100.81880049999998</v>
      </c>
      <c r="M50" s="32">
        <v>92.740905999999995</v>
      </c>
      <c r="N50" s="32">
        <v>118.24195899999999</v>
      </c>
      <c r="O50" s="32">
        <v>96.680442999999983</v>
      </c>
      <c r="P50" s="33">
        <v>83.182371000000003</v>
      </c>
      <c r="Q50" s="31">
        <f t="shared" si="2"/>
        <v>73.404180749999995</v>
      </c>
      <c r="R50" s="32">
        <v>70.674538000000013</v>
      </c>
      <c r="S50" s="32">
        <v>103.48522199999999</v>
      </c>
      <c r="T50" s="32">
        <v>63.972014999999992</v>
      </c>
      <c r="U50" s="33">
        <v>55.484948000000003</v>
      </c>
      <c r="V50" s="31">
        <f t="shared" si="3"/>
        <v>12.77271275</v>
      </c>
      <c r="W50" s="32">
        <v>11.19604</v>
      </c>
      <c r="X50" s="32">
        <v>5.203951</v>
      </c>
      <c r="Y50" s="32">
        <v>18.01774</v>
      </c>
      <c r="Z50" s="33">
        <v>16.673120000000001</v>
      </c>
      <c r="AA50" s="31">
        <f t="shared" si="4"/>
        <v>6.2147615000000007</v>
      </c>
      <c r="AB50" s="32">
        <v>6.4900410000000006</v>
      </c>
      <c r="AC50" s="33">
        <v>5.9394820000000008</v>
      </c>
      <c r="AD50" s="31">
        <f t="shared" si="5"/>
        <v>6.6322829999999993</v>
      </c>
      <c r="AE50" s="32">
        <v>2.110287</v>
      </c>
      <c r="AF50" s="32">
        <v>2.6133039999999998</v>
      </c>
      <c r="AG50" s="32">
        <v>12.790687999999999</v>
      </c>
      <c r="AH50" s="33">
        <v>9.0148530000000004</v>
      </c>
      <c r="AI50" s="31">
        <f t="shared" si="6"/>
        <v>1.7948624999999949</v>
      </c>
      <c r="AJ50" s="32">
        <v>2.26999999999998</v>
      </c>
      <c r="AK50" s="32">
        <v>1.000000000000014</v>
      </c>
      <c r="AL50" s="32">
        <v>1.8999999999999859</v>
      </c>
      <c r="AM50" s="34">
        <v>2.0094499999999988</v>
      </c>
    </row>
    <row r="51" spans="1:39" x14ac:dyDescent="0.3">
      <c r="A51" s="24" t="s">
        <v>142</v>
      </c>
      <c r="B51" s="25" t="s">
        <v>33</v>
      </c>
      <c r="C51" s="25" t="s">
        <v>34</v>
      </c>
      <c r="D51" s="25" t="s">
        <v>110</v>
      </c>
      <c r="E51" s="26" t="s">
        <v>155</v>
      </c>
      <c r="F51" s="27">
        <v>79</v>
      </c>
      <c r="G51" s="28">
        <f t="shared" si="0"/>
        <v>42</v>
      </c>
      <c r="H51" s="29">
        <v>32</v>
      </c>
      <c r="I51" s="29">
        <v>46</v>
      </c>
      <c r="J51" s="29">
        <v>42</v>
      </c>
      <c r="K51" s="30">
        <v>48</v>
      </c>
      <c r="L51" s="31">
        <f t="shared" si="1"/>
        <v>33.941489249999997</v>
      </c>
      <c r="M51" s="32">
        <v>33.260978999999999</v>
      </c>
      <c r="N51" s="32">
        <v>37.592722999999992</v>
      </c>
      <c r="O51" s="32">
        <v>39.461552999999988</v>
      </c>
      <c r="P51" s="33">
        <v>23.024149000000001</v>
      </c>
      <c r="Q51" s="31">
        <f t="shared" si="2"/>
        <v>16.997271000000001</v>
      </c>
      <c r="R51" s="32">
        <v>22.224606999999999</v>
      </c>
      <c r="S51" s="32">
        <v>19.115517000000001</v>
      </c>
      <c r="T51" s="32">
        <v>19.132538</v>
      </c>
      <c r="U51" s="33">
        <v>7.5164220000000004</v>
      </c>
      <c r="V51" s="31">
        <f t="shared" si="3"/>
        <v>11.24697325</v>
      </c>
      <c r="W51" s="32">
        <v>7.1903860000000002</v>
      </c>
      <c r="X51" s="32">
        <v>12.416297</v>
      </c>
      <c r="Y51" s="32">
        <v>15.29735</v>
      </c>
      <c r="Z51" s="33">
        <v>10.08386</v>
      </c>
      <c r="AA51" s="31">
        <f t="shared" si="4"/>
        <v>1.2132765000000001</v>
      </c>
      <c r="AB51" s="32">
        <v>0.91081400000000001</v>
      </c>
      <c r="AC51" s="33">
        <v>1.5157389999999999</v>
      </c>
      <c r="AD51" s="31">
        <f t="shared" si="5"/>
        <v>1.4799910000000001</v>
      </c>
      <c r="AE51" s="32">
        <v>0.124032</v>
      </c>
      <c r="AF51" s="32">
        <v>0.71995000000000009</v>
      </c>
      <c r="AG51" s="32">
        <v>1.715905</v>
      </c>
      <c r="AH51" s="33">
        <v>3.360077</v>
      </c>
      <c r="AI51" s="31">
        <f t="shared" si="6"/>
        <v>3.0039774999999982</v>
      </c>
      <c r="AJ51" s="32">
        <v>2.81114</v>
      </c>
      <c r="AK51" s="32">
        <v>3.825219999999995</v>
      </c>
      <c r="AL51" s="32">
        <v>3.3157599999999978</v>
      </c>
      <c r="AM51" s="34">
        <v>2.0637900000000009</v>
      </c>
    </row>
    <row r="52" spans="1:39" x14ac:dyDescent="0.3">
      <c r="A52" s="24" t="s">
        <v>142</v>
      </c>
      <c r="B52" s="25" t="s">
        <v>33</v>
      </c>
      <c r="C52" s="25" t="s">
        <v>34</v>
      </c>
      <c r="D52" s="25" t="s">
        <v>110</v>
      </c>
      <c r="E52" s="26" t="s">
        <v>156</v>
      </c>
      <c r="F52" s="27">
        <v>3</v>
      </c>
      <c r="G52" s="28">
        <f t="shared" si="0"/>
        <v>0</v>
      </c>
      <c r="H52" s="29">
        <v>0</v>
      </c>
      <c r="I52" s="29">
        <v>0</v>
      </c>
      <c r="J52" s="29">
        <v>0</v>
      </c>
      <c r="K52" s="30">
        <v>0</v>
      </c>
      <c r="L52" s="31">
        <f t="shared" si="1"/>
        <v>0</v>
      </c>
      <c r="M52" s="32">
        <v>0</v>
      </c>
      <c r="N52" s="32">
        <v>0</v>
      </c>
      <c r="O52" s="32">
        <v>0</v>
      </c>
      <c r="P52" s="33">
        <v>0</v>
      </c>
      <c r="Q52" s="31">
        <f t="shared" si="2"/>
        <v>0</v>
      </c>
      <c r="R52" s="32">
        <v>0</v>
      </c>
      <c r="S52" s="32">
        <v>0</v>
      </c>
      <c r="T52" s="32">
        <v>0</v>
      </c>
      <c r="U52" s="33">
        <v>0</v>
      </c>
      <c r="V52" s="31">
        <f t="shared" si="3"/>
        <v>0</v>
      </c>
      <c r="W52" s="32">
        <v>0</v>
      </c>
      <c r="X52" s="32">
        <v>0</v>
      </c>
      <c r="Y52" s="32">
        <v>0</v>
      </c>
      <c r="Z52" s="33">
        <v>0</v>
      </c>
      <c r="AA52" s="31">
        <f t="shared" si="4"/>
        <v>0</v>
      </c>
      <c r="AB52" s="32">
        <v>0</v>
      </c>
      <c r="AC52" s="33">
        <v>0</v>
      </c>
      <c r="AD52" s="31">
        <f t="shared" si="5"/>
        <v>0</v>
      </c>
      <c r="AE52" s="32">
        <v>0</v>
      </c>
      <c r="AF52" s="32">
        <v>0</v>
      </c>
      <c r="AG52" s="32">
        <v>0</v>
      </c>
      <c r="AH52" s="33">
        <v>0</v>
      </c>
      <c r="AI52" s="31">
        <f t="shared" si="6"/>
        <v>0</v>
      </c>
      <c r="AJ52" s="32">
        <v>0</v>
      </c>
      <c r="AK52" s="32">
        <v>0</v>
      </c>
      <c r="AL52" s="32">
        <v>0</v>
      </c>
      <c r="AM52" s="34">
        <v>0</v>
      </c>
    </row>
    <row r="53" spans="1:39" x14ac:dyDescent="0.3">
      <c r="A53" s="24" t="s">
        <v>142</v>
      </c>
      <c r="B53" s="25" t="s">
        <v>33</v>
      </c>
      <c r="C53" s="25" t="s">
        <v>34</v>
      </c>
      <c r="D53" s="25" t="s">
        <v>110</v>
      </c>
      <c r="E53" s="26" t="s">
        <v>157</v>
      </c>
      <c r="F53" s="27">
        <v>16</v>
      </c>
      <c r="G53" s="28">
        <f t="shared" si="0"/>
        <v>3</v>
      </c>
      <c r="H53" s="29">
        <v>0</v>
      </c>
      <c r="I53" s="29">
        <v>2</v>
      </c>
      <c r="J53" s="29">
        <v>4</v>
      </c>
      <c r="K53" s="30">
        <v>6</v>
      </c>
      <c r="L53" s="31">
        <f t="shared" si="1"/>
        <v>1.3402669999999999</v>
      </c>
      <c r="M53" s="32">
        <v>0</v>
      </c>
      <c r="N53" s="32">
        <v>2.2156859999999998</v>
      </c>
      <c r="O53" s="32">
        <v>0.986178</v>
      </c>
      <c r="P53" s="33">
        <v>2.1592039999999999</v>
      </c>
      <c r="Q53" s="31">
        <f t="shared" si="2"/>
        <v>1.2037059999999999</v>
      </c>
      <c r="R53" s="32">
        <v>0</v>
      </c>
      <c r="S53" s="32">
        <v>2.2156859999999998</v>
      </c>
      <c r="T53" s="32">
        <v>0.701376</v>
      </c>
      <c r="U53" s="33">
        <v>1.8977619999999999</v>
      </c>
      <c r="V53" s="31">
        <f t="shared" si="3"/>
        <v>0</v>
      </c>
      <c r="W53" s="32">
        <v>0</v>
      </c>
      <c r="X53" s="32">
        <v>0</v>
      </c>
      <c r="Y53" s="32">
        <v>0</v>
      </c>
      <c r="Z53" s="33">
        <v>0</v>
      </c>
      <c r="AA53" s="31">
        <f t="shared" si="4"/>
        <v>0</v>
      </c>
      <c r="AB53" s="32">
        <v>0</v>
      </c>
      <c r="AC53" s="33">
        <v>0</v>
      </c>
      <c r="AD53" s="31">
        <f t="shared" si="5"/>
        <v>0.13656099999999999</v>
      </c>
      <c r="AE53" s="32">
        <v>0</v>
      </c>
      <c r="AF53" s="32">
        <v>0</v>
      </c>
      <c r="AG53" s="32">
        <v>0.284802</v>
      </c>
      <c r="AH53" s="33">
        <v>0.26144200000000001</v>
      </c>
      <c r="AI53" s="31">
        <f t="shared" si="6"/>
        <v>0</v>
      </c>
      <c r="AJ53" s="32">
        <v>0</v>
      </c>
      <c r="AK53" s="32">
        <v>0</v>
      </c>
      <c r="AL53" s="32">
        <v>0</v>
      </c>
      <c r="AM53" s="34">
        <v>0</v>
      </c>
    </row>
    <row r="54" spans="1:39" x14ac:dyDescent="0.3">
      <c r="A54" s="24" t="s">
        <v>142</v>
      </c>
      <c r="B54" s="25" t="s">
        <v>33</v>
      </c>
      <c r="C54" s="25" t="s">
        <v>34</v>
      </c>
      <c r="D54" s="25" t="s">
        <v>106</v>
      </c>
      <c r="E54" s="26" t="s">
        <v>158</v>
      </c>
      <c r="F54" s="27">
        <v>146</v>
      </c>
      <c r="G54" s="28">
        <f t="shared" si="0"/>
        <v>97</v>
      </c>
      <c r="H54" s="29">
        <v>93</v>
      </c>
      <c r="I54" s="29">
        <v>119</v>
      </c>
      <c r="J54" s="29">
        <v>78</v>
      </c>
      <c r="K54" s="30">
        <v>98</v>
      </c>
      <c r="L54" s="31">
        <f t="shared" si="1"/>
        <v>55.489814999999993</v>
      </c>
      <c r="M54" s="32">
        <v>40.475945000000003</v>
      </c>
      <c r="N54" s="32">
        <v>56.721887000000002</v>
      </c>
      <c r="O54" s="32">
        <v>41.194896999999997</v>
      </c>
      <c r="P54" s="33">
        <v>77.268495000000001</v>
      </c>
      <c r="Q54" s="31">
        <f t="shared" si="2"/>
        <v>17.163891</v>
      </c>
      <c r="R54" s="32">
        <v>12.949558</v>
      </c>
      <c r="S54" s="32">
        <v>15.332056</v>
      </c>
      <c r="T54" s="32">
        <v>9.8465679999999995</v>
      </c>
      <c r="U54" s="33">
        <v>30.527381999999999</v>
      </c>
      <c r="V54" s="31">
        <f t="shared" si="3"/>
        <v>30.372832750000001</v>
      </c>
      <c r="W54" s="32">
        <v>21.54438</v>
      </c>
      <c r="X54" s="32">
        <v>33.243229999999997</v>
      </c>
      <c r="Y54" s="32">
        <v>25.754989999999999</v>
      </c>
      <c r="Z54" s="33">
        <v>40.948731000000002</v>
      </c>
      <c r="AA54" s="31">
        <f t="shared" si="4"/>
        <v>3.1490180000000008</v>
      </c>
      <c r="AB54" s="32">
        <v>2.801143000000001</v>
      </c>
      <c r="AC54" s="33">
        <v>3.496893</v>
      </c>
      <c r="AD54" s="31">
        <f t="shared" si="5"/>
        <v>3.0267007499999998</v>
      </c>
      <c r="AE54" s="32">
        <v>1.978864</v>
      </c>
      <c r="AF54" s="32">
        <v>2.649708</v>
      </c>
      <c r="AG54" s="32">
        <v>3.0858490000000001</v>
      </c>
      <c r="AH54" s="33">
        <v>4.3923819999999996</v>
      </c>
      <c r="AI54" s="31">
        <f t="shared" si="6"/>
        <v>1.777372499999998</v>
      </c>
      <c r="AJ54" s="32">
        <v>1.201999999999998</v>
      </c>
      <c r="AK54" s="32">
        <v>1.9999999999999969</v>
      </c>
      <c r="AL54" s="32">
        <v>2.5074900000000002</v>
      </c>
      <c r="AM54" s="34">
        <v>1.399999999999997</v>
      </c>
    </row>
    <row r="55" spans="1:39" x14ac:dyDescent="0.3">
      <c r="A55" s="24" t="s">
        <v>142</v>
      </c>
      <c r="B55" s="25" t="s">
        <v>33</v>
      </c>
      <c r="C55" s="25" t="s">
        <v>34</v>
      </c>
      <c r="D55" s="25" t="s">
        <v>106</v>
      </c>
      <c r="E55" s="26" t="s">
        <v>159</v>
      </c>
      <c r="F55" s="27">
        <v>26</v>
      </c>
      <c r="G55" s="28">
        <f t="shared" si="0"/>
        <v>8</v>
      </c>
      <c r="H55" s="29">
        <v>9</v>
      </c>
      <c r="I55" s="29">
        <v>7</v>
      </c>
      <c r="J55" s="29">
        <v>7</v>
      </c>
      <c r="K55" s="30">
        <v>9</v>
      </c>
      <c r="L55" s="31">
        <f t="shared" si="1"/>
        <v>2.6752320000000003</v>
      </c>
      <c r="M55" s="32">
        <v>0.94537299999999991</v>
      </c>
      <c r="N55" s="32">
        <v>2.0894469999999998</v>
      </c>
      <c r="O55" s="32">
        <v>3.7817530000000001</v>
      </c>
      <c r="P55" s="33">
        <v>3.1093109999999999</v>
      </c>
      <c r="Q55" s="31">
        <f t="shared" si="2"/>
        <v>0.17760000000000001</v>
      </c>
      <c r="R55" s="32">
        <v>0</v>
      </c>
      <c r="S55" s="32">
        <v>0.71040000000000003</v>
      </c>
      <c r="T55" s="32">
        <v>0</v>
      </c>
      <c r="U55" s="33">
        <v>0</v>
      </c>
      <c r="V55" s="31">
        <f t="shared" si="3"/>
        <v>1.6766000000000001</v>
      </c>
      <c r="W55" s="32">
        <v>0</v>
      </c>
      <c r="X55" s="32">
        <v>1.0001800000000001</v>
      </c>
      <c r="Y55" s="32">
        <v>3.2625999999999999</v>
      </c>
      <c r="Z55" s="33">
        <v>2.4436200000000001</v>
      </c>
      <c r="AA55" s="31">
        <f t="shared" si="4"/>
        <v>0.38752200000000003</v>
      </c>
      <c r="AB55" s="32">
        <v>0.61895900000000004</v>
      </c>
      <c r="AC55" s="33">
        <v>0.156085</v>
      </c>
      <c r="AD55" s="31">
        <f t="shared" si="5"/>
        <v>0.43351000000000001</v>
      </c>
      <c r="AE55" s="32">
        <v>0.32641399999999998</v>
      </c>
      <c r="AF55" s="32">
        <v>0.22278200000000001</v>
      </c>
      <c r="AG55" s="32">
        <v>0.51915299999999998</v>
      </c>
      <c r="AH55" s="33">
        <v>0.66569100000000003</v>
      </c>
      <c r="AI55" s="31">
        <f t="shared" si="6"/>
        <v>6.9388939039072271E-17</v>
      </c>
      <c r="AJ55" s="32">
        <v>0</v>
      </c>
      <c r="AK55" s="32">
        <v>2.7755575615628909E-16</v>
      </c>
      <c r="AL55" s="32">
        <v>0</v>
      </c>
      <c r="AM55" s="34">
        <v>0</v>
      </c>
    </row>
    <row r="56" spans="1:39" x14ac:dyDescent="0.3">
      <c r="A56" s="24" t="s">
        <v>142</v>
      </c>
      <c r="B56" s="25" t="s">
        <v>33</v>
      </c>
      <c r="C56" s="25" t="s">
        <v>34</v>
      </c>
      <c r="D56" s="25" t="s">
        <v>106</v>
      </c>
      <c r="E56" s="26" t="s">
        <v>160</v>
      </c>
      <c r="F56" s="27">
        <v>37</v>
      </c>
      <c r="G56" s="28">
        <f t="shared" si="0"/>
        <v>6.5</v>
      </c>
      <c r="H56" s="29">
        <v>3</v>
      </c>
      <c r="I56" s="29">
        <v>6</v>
      </c>
      <c r="J56" s="29">
        <v>9</v>
      </c>
      <c r="K56" s="30">
        <v>8</v>
      </c>
      <c r="L56" s="31">
        <f t="shared" si="1"/>
        <v>3.6151420000000001</v>
      </c>
      <c r="M56" s="32">
        <v>1.9957670000000001</v>
      </c>
      <c r="N56" s="32">
        <v>3.9139719999999998</v>
      </c>
      <c r="O56" s="32">
        <v>4.0384009999999986</v>
      </c>
      <c r="P56" s="33">
        <v>3.8165689999999999</v>
      </c>
      <c r="Q56" s="31">
        <f t="shared" si="2"/>
        <v>1.493449</v>
      </c>
      <c r="R56" s="32">
        <v>1.04112</v>
      </c>
      <c r="S56" s="32">
        <v>3.4694600000000002</v>
      </c>
      <c r="T56" s="32">
        <v>0.9629350000000001</v>
      </c>
      <c r="U56" s="33">
        <v>0.50028099999999998</v>
      </c>
      <c r="V56" s="31">
        <f t="shared" si="3"/>
        <v>1.5664725000000002</v>
      </c>
      <c r="W56" s="32">
        <v>0.70330000000000004</v>
      </c>
      <c r="X56" s="32">
        <v>0</v>
      </c>
      <c r="Y56" s="32">
        <v>2.9895700000000001</v>
      </c>
      <c r="Z56" s="33">
        <v>2.5730200000000001</v>
      </c>
      <c r="AA56" s="31">
        <f t="shared" si="4"/>
        <v>0.3479295</v>
      </c>
      <c r="AB56" s="32">
        <v>0.25134699999999999</v>
      </c>
      <c r="AC56" s="33">
        <v>0.44451200000000002</v>
      </c>
      <c r="AD56" s="31">
        <f t="shared" si="5"/>
        <v>0.20729099999999998</v>
      </c>
      <c r="AE56" s="32">
        <v>0</v>
      </c>
      <c r="AF56" s="32">
        <v>0</v>
      </c>
      <c r="AG56" s="32">
        <v>8.5896E-2</v>
      </c>
      <c r="AH56" s="33">
        <v>0.74326799999999993</v>
      </c>
      <c r="AI56" s="31">
        <f t="shared" si="6"/>
        <v>0</v>
      </c>
      <c r="AJ56" s="32">
        <v>0</v>
      </c>
      <c r="AK56" s="32">
        <v>0</v>
      </c>
      <c r="AL56" s="32">
        <v>0</v>
      </c>
      <c r="AM56" s="34">
        <v>0</v>
      </c>
    </row>
    <row r="57" spans="1:39" x14ac:dyDescent="0.3">
      <c r="A57" s="24" t="s">
        <v>142</v>
      </c>
      <c r="B57" s="25" t="s">
        <v>4</v>
      </c>
      <c r="C57" s="25" t="s">
        <v>5</v>
      </c>
      <c r="D57" s="25" t="s">
        <v>110</v>
      </c>
      <c r="E57" s="26" t="s">
        <v>161</v>
      </c>
      <c r="F57" s="27">
        <v>41</v>
      </c>
      <c r="G57" s="28">
        <f t="shared" si="0"/>
        <v>47.75</v>
      </c>
      <c r="H57" s="29">
        <v>44</v>
      </c>
      <c r="I57" s="29">
        <v>50</v>
      </c>
      <c r="J57" s="29">
        <v>45</v>
      </c>
      <c r="K57" s="30">
        <v>52</v>
      </c>
      <c r="L57" s="31">
        <f t="shared" si="1"/>
        <v>32.110042750000005</v>
      </c>
      <c r="M57" s="32">
        <v>31.143972000000002</v>
      </c>
      <c r="N57" s="32">
        <v>35.905119999999997</v>
      </c>
      <c r="O57" s="32">
        <v>35.135553000000002</v>
      </c>
      <c r="P57" s="33">
        <v>22.939785000000001</v>
      </c>
      <c r="Q57" s="31">
        <f t="shared" si="2"/>
        <v>15.10238625</v>
      </c>
      <c r="R57" s="32">
        <v>7.5426370000000009</v>
      </c>
      <c r="S57" s="32">
        <v>19.240214000000002</v>
      </c>
      <c r="T57" s="32">
        <v>22.247126999999999</v>
      </c>
      <c r="U57" s="33">
        <v>11.379567</v>
      </c>
      <c r="V57" s="31">
        <f t="shared" si="3"/>
        <v>12.108699250000001</v>
      </c>
      <c r="W57" s="32">
        <v>20.161066000000002</v>
      </c>
      <c r="X57" s="32">
        <v>13.135180999999999</v>
      </c>
      <c r="Y57" s="32">
        <v>8.7297600000000006</v>
      </c>
      <c r="Z57" s="33">
        <v>6.4087899999999998</v>
      </c>
      <c r="AA57" s="31">
        <f t="shared" si="4"/>
        <v>1.6578705</v>
      </c>
      <c r="AB57" s="32">
        <v>2.0183529999999998</v>
      </c>
      <c r="AC57" s="33">
        <v>1.297388</v>
      </c>
      <c r="AD57" s="31">
        <f t="shared" si="5"/>
        <v>2.9410867500000002</v>
      </c>
      <c r="AE57" s="32">
        <v>0.721916</v>
      </c>
      <c r="AF57" s="32">
        <v>1.732337</v>
      </c>
      <c r="AG57" s="32">
        <v>4.1586660000000011</v>
      </c>
      <c r="AH57" s="33">
        <v>5.1514279999999992</v>
      </c>
      <c r="AI57" s="31">
        <f t="shared" si="6"/>
        <v>0.29999999999999943</v>
      </c>
      <c r="AJ57" s="32">
        <v>0.69999999999999685</v>
      </c>
      <c r="AK57" s="32">
        <v>0.50000000000000089</v>
      </c>
      <c r="AL57" s="32">
        <v>0</v>
      </c>
      <c r="AM57" s="34">
        <v>0</v>
      </c>
    </row>
    <row r="58" spans="1:39" x14ac:dyDescent="0.3">
      <c r="A58" s="24" t="s">
        <v>142</v>
      </c>
      <c r="B58" s="25" t="s">
        <v>4</v>
      </c>
      <c r="C58" s="25" t="s">
        <v>5</v>
      </c>
      <c r="D58" s="25" t="s">
        <v>110</v>
      </c>
      <c r="E58" s="26" t="s">
        <v>162</v>
      </c>
      <c r="F58" s="27">
        <v>28</v>
      </c>
      <c r="G58" s="28">
        <f t="shared" si="0"/>
        <v>72.25</v>
      </c>
      <c r="H58" s="29">
        <v>82</v>
      </c>
      <c r="I58" s="29">
        <v>64</v>
      </c>
      <c r="J58" s="29">
        <v>63</v>
      </c>
      <c r="K58" s="30">
        <v>80</v>
      </c>
      <c r="L58" s="31">
        <f t="shared" si="1"/>
        <v>32.284226499999995</v>
      </c>
      <c r="M58" s="32">
        <v>26.314052</v>
      </c>
      <c r="N58" s="32">
        <v>30.315863</v>
      </c>
      <c r="O58" s="32">
        <v>31.220206000000001</v>
      </c>
      <c r="P58" s="33">
        <v>30.412472000000001</v>
      </c>
      <c r="Q58" s="31">
        <f t="shared" si="2"/>
        <v>12.27706375</v>
      </c>
      <c r="R58" s="32">
        <v>12.391973999999999</v>
      </c>
      <c r="S58" s="32">
        <v>11.819955999999999</v>
      </c>
      <c r="T58" s="32">
        <v>8.8728280000000019</v>
      </c>
      <c r="U58" s="33">
        <v>16.023496999999999</v>
      </c>
      <c r="V58" s="31">
        <f t="shared" si="3"/>
        <v>8.93147175</v>
      </c>
      <c r="W58" s="32">
        <v>3.7885599999999999</v>
      </c>
      <c r="X58" s="32">
        <v>6.4706400000000004</v>
      </c>
      <c r="Y58" s="32">
        <v>17.799247000000001</v>
      </c>
      <c r="Z58" s="33">
        <v>7.66744</v>
      </c>
      <c r="AA58" s="31">
        <f t="shared" si="4"/>
        <v>5.4371565000000004</v>
      </c>
      <c r="AB58" s="32">
        <v>7.6564110000000003</v>
      </c>
      <c r="AC58" s="33">
        <v>3.217902</v>
      </c>
      <c r="AD58" s="31">
        <f t="shared" si="5"/>
        <v>3.1235344999999999</v>
      </c>
      <c r="AE58" s="32">
        <v>0.57710700000000004</v>
      </c>
      <c r="AF58" s="32">
        <v>1.7473650000000001</v>
      </c>
      <c r="AG58" s="32">
        <v>4.0481309999999997</v>
      </c>
      <c r="AH58" s="33">
        <v>6.1215350000000006</v>
      </c>
      <c r="AI58" s="31">
        <f t="shared" si="6"/>
        <v>2.5149999999999966</v>
      </c>
      <c r="AJ58" s="32">
        <v>1.899999999999995</v>
      </c>
      <c r="AK58" s="32">
        <v>7.0600000000000023</v>
      </c>
      <c r="AL58" s="32">
        <v>0.49999999999999473</v>
      </c>
      <c r="AM58" s="34">
        <v>0.59999999999999432</v>
      </c>
    </row>
    <row r="59" spans="1:39" x14ac:dyDescent="0.3">
      <c r="A59" s="24" t="s">
        <v>142</v>
      </c>
      <c r="B59" s="25" t="s">
        <v>4</v>
      </c>
      <c r="C59" s="25" t="s">
        <v>5</v>
      </c>
      <c r="D59" s="25" t="s">
        <v>106</v>
      </c>
      <c r="E59" s="26" t="s">
        <v>163</v>
      </c>
      <c r="F59" s="27">
        <v>1</v>
      </c>
      <c r="G59" s="28">
        <f t="shared" si="0"/>
        <v>0</v>
      </c>
      <c r="H59" s="29">
        <v>0</v>
      </c>
      <c r="I59" s="29">
        <v>0</v>
      </c>
      <c r="J59" s="29">
        <v>0</v>
      </c>
      <c r="K59" s="30">
        <v>0</v>
      </c>
      <c r="L59" s="31">
        <f t="shared" si="1"/>
        <v>0</v>
      </c>
      <c r="M59" s="32">
        <v>0</v>
      </c>
      <c r="N59" s="32">
        <v>0</v>
      </c>
      <c r="O59" s="32">
        <v>0</v>
      </c>
      <c r="P59" s="33">
        <v>0</v>
      </c>
      <c r="Q59" s="31">
        <f t="shared" si="2"/>
        <v>0</v>
      </c>
      <c r="R59" s="32">
        <v>0</v>
      </c>
      <c r="S59" s="32">
        <v>0</v>
      </c>
      <c r="T59" s="32">
        <v>0</v>
      </c>
      <c r="U59" s="33">
        <v>0</v>
      </c>
      <c r="V59" s="31">
        <f t="shared" si="3"/>
        <v>0</v>
      </c>
      <c r="W59" s="32">
        <v>0</v>
      </c>
      <c r="X59" s="32">
        <v>0</v>
      </c>
      <c r="Y59" s="32">
        <v>0</v>
      </c>
      <c r="Z59" s="33">
        <v>0</v>
      </c>
      <c r="AA59" s="31">
        <f t="shared" si="4"/>
        <v>0</v>
      </c>
      <c r="AB59" s="32">
        <v>0</v>
      </c>
      <c r="AC59" s="33">
        <v>0</v>
      </c>
      <c r="AD59" s="31">
        <f t="shared" si="5"/>
        <v>0</v>
      </c>
      <c r="AE59" s="32">
        <v>0</v>
      </c>
      <c r="AF59" s="32">
        <v>0</v>
      </c>
      <c r="AG59" s="32">
        <v>0</v>
      </c>
      <c r="AH59" s="33">
        <v>0</v>
      </c>
      <c r="AI59" s="31">
        <f t="shared" si="6"/>
        <v>0</v>
      </c>
      <c r="AJ59" s="32">
        <v>0</v>
      </c>
      <c r="AK59" s="32">
        <v>0</v>
      </c>
      <c r="AL59" s="32">
        <v>0</v>
      </c>
      <c r="AM59" s="34">
        <v>0</v>
      </c>
    </row>
    <row r="60" spans="1:39" x14ac:dyDescent="0.3">
      <c r="A60" s="24" t="s">
        <v>142</v>
      </c>
      <c r="B60" s="25" t="s">
        <v>4</v>
      </c>
      <c r="C60" s="25" t="s">
        <v>5</v>
      </c>
      <c r="D60" s="25" t="s">
        <v>106</v>
      </c>
      <c r="E60" s="26" t="s">
        <v>164</v>
      </c>
      <c r="F60" s="27">
        <v>28</v>
      </c>
      <c r="G60" s="28">
        <f t="shared" si="0"/>
        <v>27</v>
      </c>
      <c r="H60" s="29">
        <v>26</v>
      </c>
      <c r="I60" s="29">
        <v>28</v>
      </c>
      <c r="J60" s="29">
        <v>24</v>
      </c>
      <c r="K60" s="30">
        <v>30</v>
      </c>
      <c r="L60" s="31">
        <f t="shared" si="1"/>
        <v>11.22505825</v>
      </c>
      <c r="M60" s="32">
        <v>11.556474</v>
      </c>
      <c r="N60" s="32">
        <v>8.2288759999999996</v>
      </c>
      <c r="O60" s="32">
        <v>12.756790000000001</v>
      </c>
      <c r="P60" s="33">
        <v>9.6236819999999987</v>
      </c>
      <c r="Q60" s="31">
        <f t="shared" si="2"/>
        <v>3.19558725</v>
      </c>
      <c r="R60" s="32">
        <v>3.0948470000000001</v>
      </c>
      <c r="S60" s="32">
        <v>3.0303330000000002</v>
      </c>
      <c r="T60" s="32">
        <v>3.9889899999999998</v>
      </c>
      <c r="U60" s="33">
        <v>2.6681789999999999</v>
      </c>
      <c r="V60" s="31">
        <f t="shared" si="3"/>
        <v>5.5328080000000002</v>
      </c>
      <c r="W60" s="32">
        <v>6.8186820000000008</v>
      </c>
      <c r="X60" s="32">
        <v>3.4958399999999998</v>
      </c>
      <c r="Y60" s="32">
        <v>7.1231099999999996</v>
      </c>
      <c r="Z60" s="33">
        <v>4.6936</v>
      </c>
      <c r="AA60" s="31">
        <f t="shared" si="4"/>
        <v>1.3672054999999999</v>
      </c>
      <c r="AB60" s="32">
        <v>1.443152</v>
      </c>
      <c r="AC60" s="33">
        <v>1.2912589999999999</v>
      </c>
      <c r="AD60" s="31">
        <f t="shared" si="5"/>
        <v>1.0544575</v>
      </c>
      <c r="AE60" s="32">
        <v>0.199793</v>
      </c>
      <c r="AF60" s="32">
        <v>0.41144399999999998</v>
      </c>
      <c r="AG60" s="32">
        <v>1.3446899999999999</v>
      </c>
      <c r="AH60" s="33">
        <v>2.2619030000000002</v>
      </c>
      <c r="AI60" s="31">
        <f t="shared" si="6"/>
        <v>7.5000000000000427E-2</v>
      </c>
      <c r="AJ60" s="32">
        <v>9.9920072216264089E-16</v>
      </c>
      <c r="AK60" s="32">
        <v>0</v>
      </c>
      <c r="AL60" s="32">
        <v>0.30000000000000071</v>
      </c>
      <c r="AM60" s="34">
        <v>0</v>
      </c>
    </row>
    <row r="61" spans="1:39" x14ac:dyDescent="0.3">
      <c r="A61" s="24" t="s">
        <v>142</v>
      </c>
      <c r="B61" s="25" t="s">
        <v>4</v>
      </c>
      <c r="C61" s="25" t="s">
        <v>5</v>
      </c>
      <c r="D61" s="25" t="s">
        <v>106</v>
      </c>
      <c r="E61" s="26" t="s">
        <v>165</v>
      </c>
      <c r="F61" s="27">
        <v>39</v>
      </c>
      <c r="G61" s="28">
        <f t="shared" si="0"/>
        <v>12.5</v>
      </c>
      <c r="H61" s="29">
        <v>7</v>
      </c>
      <c r="I61" s="29">
        <v>11</v>
      </c>
      <c r="J61" s="29">
        <v>16</v>
      </c>
      <c r="K61" s="30">
        <v>16</v>
      </c>
      <c r="L61" s="31">
        <f t="shared" si="1"/>
        <v>7.8204815000000014</v>
      </c>
      <c r="M61" s="32">
        <v>3.007142</v>
      </c>
      <c r="N61" s="32">
        <v>4.0958939999999986</v>
      </c>
      <c r="O61" s="32">
        <v>4.6359779999999997</v>
      </c>
      <c r="P61" s="33">
        <v>18.774269</v>
      </c>
      <c r="Q61" s="31">
        <f t="shared" si="2"/>
        <v>6.2393062500000003</v>
      </c>
      <c r="R61" s="32">
        <v>2.8528509999999998</v>
      </c>
      <c r="S61" s="32">
        <v>2.9115880000000001</v>
      </c>
      <c r="T61" s="32">
        <v>2.8896440000000001</v>
      </c>
      <c r="U61" s="33">
        <v>16.303142000000001</v>
      </c>
      <c r="V61" s="31">
        <f t="shared" si="3"/>
        <v>0.12766250000000001</v>
      </c>
      <c r="W61" s="32">
        <v>0</v>
      </c>
      <c r="X61" s="32">
        <v>0</v>
      </c>
      <c r="Y61" s="32">
        <v>0</v>
      </c>
      <c r="Z61" s="33">
        <v>0.51065000000000005</v>
      </c>
      <c r="AA61" s="31">
        <f t="shared" si="4"/>
        <v>0.38432150000000004</v>
      </c>
      <c r="AB61" s="32">
        <v>6.3018000000000005E-2</v>
      </c>
      <c r="AC61" s="33">
        <v>0.70562500000000006</v>
      </c>
      <c r="AD61" s="31">
        <f t="shared" si="5"/>
        <v>1.06919125</v>
      </c>
      <c r="AE61" s="32">
        <v>9.1272999999999993E-2</v>
      </c>
      <c r="AF61" s="32">
        <v>0.47868100000000002</v>
      </c>
      <c r="AG61" s="32">
        <v>1.7463340000000001</v>
      </c>
      <c r="AH61" s="33">
        <v>1.960477</v>
      </c>
      <c r="AI61" s="31">
        <f t="shared" si="6"/>
        <v>6.5572547391923298E-16</v>
      </c>
      <c r="AJ61" s="32">
        <v>1.8041124150158789E-16</v>
      </c>
      <c r="AK61" s="32">
        <v>0</v>
      </c>
      <c r="AL61" s="32">
        <v>0</v>
      </c>
      <c r="AM61" s="34">
        <v>2.442490654175344E-15</v>
      </c>
    </row>
    <row r="62" spans="1:39" x14ac:dyDescent="0.3">
      <c r="A62" s="24" t="s">
        <v>142</v>
      </c>
      <c r="B62" s="25" t="s">
        <v>4</v>
      </c>
      <c r="C62" s="25" t="s">
        <v>5</v>
      </c>
      <c r="D62" s="25" t="s">
        <v>106</v>
      </c>
      <c r="E62" s="26" t="s">
        <v>166</v>
      </c>
      <c r="F62" s="27">
        <v>6</v>
      </c>
      <c r="G62" s="28">
        <f t="shared" si="0"/>
        <v>1</v>
      </c>
      <c r="H62" s="29">
        <v>0</v>
      </c>
      <c r="I62" s="29">
        <v>2</v>
      </c>
      <c r="J62" s="29">
        <v>1</v>
      </c>
      <c r="K62" s="30">
        <v>1</v>
      </c>
      <c r="L62" s="31">
        <f t="shared" si="1"/>
        <v>0.4329865</v>
      </c>
      <c r="M62" s="32">
        <v>0</v>
      </c>
      <c r="N62" s="32">
        <v>0.61656</v>
      </c>
      <c r="O62" s="32">
        <v>1.01616</v>
      </c>
      <c r="P62" s="33">
        <v>9.9225999999999995E-2</v>
      </c>
      <c r="Q62" s="31">
        <f t="shared" si="2"/>
        <v>7.5840000000000005E-2</v>
      </c>
      <c r="R62" s="32">
        <v>0</v>
      </c>
      <c r="S62" s="32">
        <v>0.30336000000000002</v>
      </c>
      <c r="T62" s="32">
        <v>0</v>
      </c>
      <c r="U62" s="33">
        <v>0</v>
      </c>
      <c r="V62" s="31">
        <f t="shared" si="3"/>
        <v>0.33233999999999997</v>
      </c>
      <c r="W62" s="32">
        <v>0</v>
      </c>
      <c r="X62" s="32">
        <v>0.31319999999999998</v>
      </c>
      <c r="Y62" s="32">
        <v>1.01616</v>
      </c>
      <c r="Z62" s="33">
        <v>0</v>
      </c>
      <c r="AA62" s="31">
        <f t="shared" si="4"/>
        <v>0</v>
      </c>
      <c r="AB62" s="32">
        <v>0</v>
      </c>
      <c r="AC62" s="33">
        <v>0</v>
      </c>
      <c r="AD62" s="31">
        <f t="shared" si="5"/>
        <v>2.4806499999999999E-2</v>
      </c>
      <c r="AE62" s="32">
        <v>0</v>
      </c>
      <c r="AF62" s="32">
        <v>0</v>
      </c>
      <c r="AG62" s="32">
        <v>0</v>
      </c>
      <c r="AH62" s="33">
        <v>9.9225999999999995E-2</v>
      </c>
      <c r="AI62" s="31">
        <f t="shared" si="6"/>
        <v>0</v>
      </c>
      <c r="AJ62" s="32">
        <v>0</v>
      </c>
      <c r="AK62" s="32">
        <v>0</v>
      </c>
      <c r="AL62" s="32">
        <v>0</v>
      </c>
      <c r="AM62" s="34">
        <v>0</v>
      </c>
    </row>
    <row r="63" spans="1:39" x14ac:dyDescent="0.3">
      <c r="A63" s="24" t="s">
        <v>142</v>
      </c>
      <c r="B63" s="25" t="s">
        <v>4</v>
      </c>
      <c r="C63" s="25" t="s">
        <v>5</v>
      </c>
      <c r="D63" s="25" t="s">
        <v>106</v>
      </c>
      <c r="E63" s="26" t="s">
        <v>167</v>
      </c>
      <c r="F63" s="27">
        <v>18</v>
      </c>
      <c r="G63" s="28">
        <f t="shared" si="0"/>
        <v>3.5</v>
      </c>
      <c r="H63" s="29">
        <v>3</v>
      </c>
      <c r="I63" s="29">
        <v>4</v>
      </c>
      <c r="J63" s="29">
        <v>3</v>
      </c>
      <c r="K63" s="30">
        <v>4</v>
      </c>
      <c r="L63" s="31">
        <f t="shared" si="1"/>
        <v>0.99051050000000007</v>
      </c>
      <c r="M63" s="32">
        <v>0.17986199999999999</v>
      </c>
      <c r="N63" s="32">
        <v>3.2921680000000002</v>
      </c>
      <c r="O63" s="32">
        <v>0.18192700000000001</v>
      </c>
      <c r="P63" s="33">
        <v>0.22337199999999999</v>
      </c>
      <c r="Q63" s="31">
        <f t="shared" si="2"/>
        <v>0.41081624999999999</v>
      </c>
      <c r="R63" s="32">
        <v>0</v>
      </c>
      <c r="S63" s="32">
        <v>1.643265</v>
      </c>
      <c r="T63" s="32">
        <v>0</v>
      </c>
      <c r="U63" s="33">
        <v>0</v>
      </c>
      <c r="V63" s="31">
        <f t="shared" si="3"/>
        <v>0.40204000000000001</v>
      </c>
      <c r="W63" s="32">
        <v>0</v>
      </c>
      <c r="X63" s="32">
        <v>1.60816</v>
      </c>
      <c r="Y63" s="32">
        <v>0</v>
      </c>
      <c r="Z63" s="33">
        <v>0</v>
      </c>
      <c r="AA63" s="31">
        <f t="shared" si="4"/>
        <v>4.2356499999999998E-2</v>
      </c>
      <c r="AB63" s="32">
        <v>8.4712999999999997E-2</v>
      </c>
      <c r="AC63" s="33">
        <v>0</v>
      </c>
      <c r="AD63" s="31">
        <f t="shared" si="5"/>
        <v>0.13529774999999999</v>
      </c>
      <c r="AE63" s="32">
        <v>9.5148999999999997E-2</v>
      </c>
      <c r="AF63" s="32">
        <v>4.0743000000000001E-2</v>
      </c>
      <c r="AG63" s="32">
        <v>0.18192700000000001</v>
      </c>
      <c r="AH63" s="33">
        <v>0.22337199999999999</v>
      </c>
      <c r="AI63" s="31">
        <f t="shared" si="6"/>
        <v>4.8572257327350599E-17</v>
      </c>
      <c r="AJ63" s="32">
        <v>0</v>
      </c>
      <c r="AK63" s="32">
        <v>1.9428902930940239E-16</v>
      </c>
      <c r="AL63" s="32">
        <v>0</v>
      </c>
      <c r="AM63" s="34">
        <v>0</v>
      </c>
    </row>
    <row r="64" spans="1:39" x14ac:dyDescent="0.3">
      <c r="A64" s="24" t="s">
        <v>142</v>
      </c>
      <c r="B64" s="25" t="s">
        <v>168</v>
      </c>
      <c r="C64" s="25" t="s">
        <v>168</v>
      </c>
      <c r="D64" s="25" t="s">
        <v>106</v>
      </c>
      <c r="E64" s="26" t="s">
        <v>169</v>
      </c>
      <c r="F64" s="27">
        <v>158</v>
      </c>
      <c r="G64" s="28">
        <f t="shared" si="0"/>
        <v>142</v>
      </c>
      <c r="H64" s="29">
        <v>125</v>
      </c>
      <c r="I64" s="29">
        <v>155</v>
      </c>
      <c r="J64" s="29">
        <v>133</v>
      </c>
      <c r="K64" s="30">
        <v>155</v>
      </c>
      <c r="L64" s="31">
        <f t="shared" si="1"/>
        <v>83.149936499999995</v>
      </c>
      <c r="M64" s="32">
        <v>81.145678999999987</v>
      </c>
      <c r="N64" s="32">
        <v>96.868249999999989</v>
      </c>
      <c r="O64" s="32">
        <v>62.630105000000007</v>
      </c>
      <c r="P64" s="33">
        <v>82.155631999999983</v>
      </c>
      <c r="Q64" s="31">
        <f t="shared" si="2"/>
        <v>19.586593000000001</v>
      </c>
      <c r="R64" s="32">
        <v>26.709925999999999</v>
      </c>
      <c r="S64" s="32">
        <v>10.738692</v>
      </c>
      <c r="T64" s="32">
        <v>16.821173999999999</v>
      </c>
      <c r="U64" s="33">
        <v>24.07658</v>
      </c>
      <c r="V64" s="31">
        <f t="shared" si="3"/>
        <v>41.469236499999994</v>
      </c>
      <c r="W64" s="32">
        <v>36.519209999999987</v>
      </c>
      <c r="X64" s="32">
        <v>64.638435999999984</v>
      </c>
      <c r="Y64" s="32">
        <v>30.287130000000001</v>
      </c>
      <c r="Z64" s="33">
        <v>34.432169999999999</v>
      </c>
      <c r="AA64" s="31">
        <f t="shared" si="4"/>
        <v>4.9000400000000006</v>
      </c>
      <c r="AB64" s="32">
        <v>6.0516579999999998</v>
      </c>
      <c r="AC64" s="33">
        <v>3.748422000000001</v>
      </c>
      <c r="AD64" s="31">
        <f t="shared" si="5"/>
        <v>7.2866645000000005</v>
      </c>
      <c r="AE64" s="32">
        <v>2.2006450000000002</v>
      </c>
      <c r="AF64" s="32">
        <v>3.823640000000001</v>
      </c>
      <c r="AG64" s="32">
        <v>9.916221000000002</v>
      </c>
      <c r="AH64" s="33">
        <v>13.206151999999999</v>
      </c>
      <c r="AI64" s="31">
        <f t="shared" si="6"/>
        <v>9.9074024999999963</v>
      </c>
      <c r="AJ64" s="32">
        <v>9.6642399999999906</v>
      </c>
      <c r="AK64" s="32">
        <v>13.91906</v>
      </c>
      <c r="AL64" s="32">
        <v>5.6055800000000122</v>
      </c>
      <c r="AM64" s="34">
        <v>10.440729999999981</v>
      </c>
    </row>
    <row r="65" spans="1:39" x14ac:dyDescent="0.3">
      <c r="A65" s="24" t="s">
        <v>142</v>
      </c>
      <c r="B65" s="25" t="s">
        <v>170</v>
      </c>
      <c r="C65" s="25" t="s">
        <v>170</v>
      </c>
      <c r="D65" s="25" t="s">
        <v>110</v>
      </c>
      <c r="E65" s="26" t="s">
        <v>111</v>
      </c>
      <c r="F65" s="27">
        <v>2</v>
      </c>
      <c r="G65" s="28">
        <f t="shared" si="0"/>
        <v>0</v>
      </c>
      <c r="H65" s="29">
        <v>0</v>
      </c>
      <c r="I65" s="29">
        <v>0</v>
      </c>
      <c r="J65" s="29">
        <v>0</v>
      </c>
      <c r="K65" s="30">
        <v>0</v>
      </c>
      <c r="L65" s="31">
        <f t="shared" si="1"/>
        <v>0</v>
      </c>
      <c r="M65" s="32">
        <v>0</v>
      </c>
      <c r="N65" s="32">
        <v>0</v>
      </c>
      <c r="O65" s="32">
        <v>0</v>
      </c>
      <c r="P65" s="33">
        <v>0</v>
      </c>
      <c r="Q65" s="31">
        <f t="shared" si="2"/>
        <v>0</v>
      </c>
      <c r="R65" s="32">
        <v>0</v>
      </c>
      <c r="S65" s="32">
        <v>0</v>
      </c>
      <c r="T65" s="32">
        <v>0</v>
      </c>
      <c r="U65" s="33">
        <v>0</v>
      </c>
      <c r="V65" s="31">
        <f t="shared" si="3"/>
        <v>0</v>
      </c>
      <c r="W65" s="32">
        <v>0</v>
      </c>
      <c r="X65" s="32">
        <v>0</v>
      </c>
      <c r="Y65" s="32">
        <v>0</v>
      </c>
      <c r="Z65" s="33">
        <v>0</v>
      </c>
      <c r="AA65" s="31">
        <f t="shared" si="4"/>
        <v>0</v>
      </c>
      <c r="AB65" s="32">
        <v>0</v>
      </c>
      <c r="AC65" s="33">
        <v>0</v>
      </c>
      <c r="AD65" s="31">
        <f t="shared" si="5"/>
        <v>0</v>
      </c>
      <c r="AE65" s="32">
        <v>0</v>
      </c>
      <c r="AF65" s="32">
        <v>0</v>
      </c>
      <c r="AG65" s="32">
        <v>0</v>
      </c>
      <c r="AH65" s="33">
        <v>0</v>
      </c>
      <c r="AI65" s="31">
        <f t="shared" si="6"/>
        <v>0</v>
      </c>
      <c r="AJ65" s="32">
        <v>0</v>
      </c>
      <c r="AK65" s="32">
        <v>0</v>
      </c>
      <c r="AL65" s="32">
        <v>0</v>
      </c>
      <c r="AM65" s="34">
        <v>0</v>
      </c>
    </row>
    <row r="66" spans="1:39" x14ac:dyDescent="0.3">
      <c r="A66" s="24" t="s">
        <v>142</v>
      </c>
      <c r="B66" s="25" t="s">
        <v>170</v>
      </c>
      <c r="C66" s="25" t="s">
        <v>170</v>
      </c>
      <c r="D66" s="25" t="s">
        <v>110</v>
      </c>
      <c r="E66" s="26" t="s">
        <v>171</v>
      </c>
      <c r="F66" s="27">
        <v>79</v>
      </c>
      <c r="G66" s="28">
        <f t="shared" si="0"/>
        <v>65.25</v>
      </c>
      <c r="H66" s="29">
        <v>51</v>
      </c>
      <c r="I66" s="29">
        <v>81</v>
      </c>
      <c r="J66" s="29">
        <v>53</v>
      </c>
      <c r="K66" s="30">
        <v>76</v>
      </c>
      <c r="L66" s="31">
        <f t="shared" si="1"/>
        <v>52.206449750000004</v>
      </c>
      <c r="M66" s="32">
        <v>29.046870999999999</v>
      </c>
      <c r="N66" s="32">
        <v>63.047393000000007</v>
      </c>
      <c r="O66" s="32">
        <v>53.820407000000003</v>
      </c>
      <c r="P66" s="33">
        <v>56.374952999999998</v>
      </c>
      <c r="Q66" s="31">
        <f t="shared" si="2"/>
        <v>26.916581499999999</v>
      </c>
      <c r="R66" s="32">
        <v>22.174771</v>
      </c>
      <c r="S66" s="32">
        <v>32.513362000000001</v>
      </c>
      <c r="T66" s="32">
        <v>36.050482999999993</v>
      </c>
      <c r="U66" s="33">
        <v>16.927710000000001</v>
      </c>
      <c r="V66" s="31">
        <f t="shared" si="3"/>
        <v>18.205717499999999</v>
      </c>
      <c r="W66" s="32">
        <v>0.51570000000000005</v>
      </c>
      <c r="X66" s="32">
        <v>24.6341</v>
      </c>
      <c r="Y66" s="32">
        <v>13.992900000000001</v>
      </c>
      <c r="Z66" s="33">
        <v>33.680169999999997</v>
      </c>
      <c r="AA66" s="31">
        <f t="shared" si="4"/>
        <v>3.2680875</v>
      </c>
      <c r="AB66" s="32">
        <v>3.3213460000000001</v>
      </c>
      <c r="AC66" s="33">
        <v>3.2148289999999999</v>
      </c>
      <c r="AD66" s="31">
        <f t="shared" si="5"/>
        <v>2.3528007500000001</v>
      </c>
      <c r="AE66" s="32">
        <v>1.085054</v>
      </c>
      <c r="AF66" s="32">
        <v>1.782052</v>
      </c>
      <c r="AG66" s="32">
        <v>2.877024</v>
      </c>
      <c r="AH66" s="33">
        <v>3.6670730000000011</v>
      </c>
      <c r="AI66" s="31">
        <f t="shared" si="6"/>
        <v>1.4632625000000044</v>
      </c>
      <c r="AJ66" s="32">
        <v>1.9500000000000031</v>
      </c>
      <c r="AK66" s="32">
        <v>0.9030500000000059</v>
      </c>
      <c r="AL66" s="32">
        <v>0.9000000000000119</v>
      </c>
      <c r="AM66" s="34">
        <v>2.0999999999999961</v>
      </c>
    </row>
    <row r="67" spans="1:39" x14ac:dyDescent="0.3">
      <c r="A67" s="24" t="s">
        <v>142</v>
      </c>
      <c r="B67" s="25" t="s">
        <v>170</v>
      </c>
      <c r="C67" s="25" t="s">
        <v>170</v>
      </c>
      <c r="D67" s="25" t="s">
        <v>110</v>
      </c>
      <c r="E67" s="26" t="s">
        <v>172</v>
      </c>
      <c r="F67" s="27">
        <v>1</v>
      </c>
      <c r="G67" s="28">
        <f t="shared" si="0"/>
        <v>0.75</v>
      </c>
      <c r="H67" s="29">
        <v>1</v>
      </c>
      <c r="I67" s="29">
        <v>0</v>
      </c>
      <c r="J67" s="29">
        <v>1</v>
      </c>
      <c r="K67" s="30">
        <v>1</v>
      </c>
      <c r="L67" s="31">
        <f t="shared" si="1"/>
        <v>0.22241749999999999</v>
      </c>
      <c r="M67" s="32">
        <v>0.37980000000000003</v>
      </c>
      <c r="N67" s="32">
        <v>0</v>
      </c>
      <c r="O67" s="32">
        <v>0.30066999999999999</v>
      </c>
      <c r="P67" s="33">
        <v>0.2092</v>
      </c>
      <c r="Q67" s="31">
        <f t="shared" si="2"/>
        <v>0.22241749999999999</v>
      </c>
      <c r="R67" s="32">
        <v>0.37980000000000003</v>
      </c>
      <c r="S67" s="32">
        <v>0</v>
      </c>
      <c r="T67" s="32">
        <v>0.30066999999999999</v>
      </c>
      <c r="U67" s="33">
        <v>0.2092</v>
      </c>
      <c r="V67" s="31">
        <f t="shared" si="3"/>
        <v>0</v>
      </c>
      <c r="W67" s="32">
        <v>0</v>
      </c>
      <c r="X67" s="32">
        <v>0</v>
      </c>
      <c r="Y67" s="32">
        <v>0</v>
      </c>
      <c r="Z67" s="33">
        <v>0</v>
      </c>
      <c r="AA67" s="31">
        <f t="shared" si="4"/>
        <v>0</v>
      </c>
      <c r="AB67" s="32">
        <v>0</v>
      </c>
      <c r="AC67" s="33">
        <v>0</v>
      </c>
      <c r="AD67" s="31">
        <f t="shared" si="5"/>
        <v>0</v>
      </c>
      <c r="AE67" s="32">
        <v>0</v>
      </c>
      <c r="AF67" s="32">
        <v>0</v>
      </c>
      <c r="AG67" s="32">
        <v>0</v>
      </c>
      <c r="AH67" s="33">
        <v>0</v>
      </c>
      <c r="AI67" s="31">
        <f t="shared" si="6"/>
        <v>0</v>
      </c>
      <c r="AJ67" s="32">
        <v>0</v>
      </c>
      <c r="AK67" s="32">
        <v>0</v>
      </c>
      <c r="AL67" s="32">
        <v>0</v>
      </c>
      <c r="AM67" s="34">
        <v>0</v>
      </c>
    </row>
    <row r="68" spans="1:39" x14ac:dyDescent="0.3">
      <c r="A68" s="24" t="s">
        <v>142</v>
      </c>
      <c r="B68" s="25" t="s">
        <v>170</v>
      </c>
      <c r="C68" s="25" t="s">
        <v>170</v>
      </c>
      <c r="D68" s="25" t="s">
        <v>110</v>
      </c>
      <c r="E68" s="26" t="s">
        <v>135</v>
      </c>
      <c r="F68" s="27">
        <v>1</v>
      </c>
      <c r="G68" s="28">
        <f t="shared" si="0"/>
        <v>0</v>
      </c>
      <c r="H68" s="29">
        <v>0</v>
      </c>
      <c r="I68" s="29">
        <v>0</v>
      </c>
      <c r="J68" s="29">
        <v>0</v>
      </c>
      <c r="K68" s="30">
        <v>0</v>
      </c>
      <c r="L68" s="31">
        <f t="shared" si="1"/>
        <v>0</v>
      </c>
      <c r="M68" s="32">
        <v>0</v>
      </c>
      <c r="N68" s="32">
        <v>0</v>
      </c>
      <c r="O68" s="32">
        <v>0</v>
      </c>
      <c r="P68" s="33">
        <v>0</v>
      </c>
      <c r="Q68" s="31">
        <f t="shared" si="2"/>
        <v>0</v>
      </c>
      <c r="R68" s="32">
        <v>0</v>
      </c>
      <c r="S68" s="32">
        <v>0</v>
      </c>
      <c r="T68" s="32">
        <v>0</v>
      </c>
      <c r="U68" s="33">
        <v>0</v>
      </c>
      <c r="V68" s="31">
        <f t="shared" si="3"/>
        <v>0</v>
      </c>
      <c r="W68" s="32">
        <v>0</v>
      </c>
      <c r="X68" s="32">
        <v>0</v>
      </c>
      <c r="Y68" s="32">
        <v>0</v>
      </c>
      <c r="Z68" s="33">
        <v>0</v>
      </c>
      <c r="AA68" s="31">
        <f t="shared" si="4"/>
        <v>0</v>
      </c>
      <c r="AB68" s="32">
        <v>0</v>
      </c>
      <c r="AC68" s="33">
        <v>0</v>
      </c>
      <c r="AD68" s="31">
        <f t="shared" si="5"/>
        <v>0</v>
      </c>
      <c r="AE68" s="32">
        <v>0</v>
      </c>
      <c r="AF68" s="32">
        <v>0</v>
      </c>
      <c r="AG68" s="32">
        <v>0</v>
      </c>
      <c r="AH68" s="33">
        <v>0</v>
      </c>
      <c r="AI68" s="31">
        <f t="shared" si="6"/>
        <v>0</v>
      </c>
      <c r="AJ68" s="32">
        <v>0</v>
      </c>
      <c r="AK68" s="32">
        <v>0</v>
      </c>
      <c r="AL68" s="32">
        <v>0</v>
      </c>
      <c r="AM68" s="34">
        <v>0</v>
      </c>
    </row>
    <row r="69" spans="1:39" x14ac:dyDescent="0.3">
      <c r="A69" s="24" t="s">
        <v>142</v>
      </c>
      <c r="B69" s="25" t="s">
        <v>170</v>
      </c>
      <c r="C69" s="25" t="s">
        <v>170</v>
      </c>
      <c r="D69" s="25" t="s">
        <v>110</v>
      </c>
      <c r="E69" s="26" t="s">
        <v>136</v>
      </c>
      <c r="F69" s="27">
        <v>1</v>
      </c>
      <c r="G69" s="28">
        <f t="shared" si="0"/>
        <v>0.5</v>
      </c>
      <c r="H69" s="29">
        <v>2</v>
      </c>
      <c r="I69" s="29">
        <v>0</v>
      </c>
      <c r="J69" s="29">
        <v>0</v>
      </c>
      <c r="K69" s="30">
        <v>0</v>
      </c>
      <c r="L69" s="31">
        <f t="shared" si="1"/>
        <v>8.8897500000000004E-2</v>
      </c>
      <c r="M69" s="32">
        <v>0.35559000000000002</v>
      </c>
      <c r="N69" s="32">
        <v>0</v>
      </c>
      <c r="O69" s="32">
        <v>0</v>
      </c>
      <c r="P69" s="33">
        <v>0</v>
      </c>
      <c r="Q69" s="31">
        <f t="shared" si="2"/>
        <v>7.7200000000000005E-2</v>
      </c>
      <c r="R69" s="32">
        <v>0.30880000000000002</v>
      </c>
      <c r="S69" s="32">
        <v>0</v>
      </c>
      <c r="T69" s="32">
        <v>0</v>
      </c>
      <c r="U69" s="33">
        <v>0</v>
      </c>
      <c r="V69" s="31">
        <f t="shared" si="3"/>
        <v>0</v>
      </c>
      <c r="W69" s="32">
        <v>0</v>
      </c>
      <c r="X69" s="32">
        <v>0</v>
      </c>
      <c r="Y69" s="32">
        <v>0</v>
      </c>
      <c r="Z69" s="33">
        <v>0</v>
      </c>
      <c r="AA69" s="31">
        <f t="shared" si="4"/>
        <v>0</v>
      </c>
      <c r="AB69" s="32">
        <v>0</v>
      </c>
      <c r="AC69" s="33">
        <v>0</v>
      </c>
      <c r="AD69" s="31">
        <f t="shared" si="5"/>
        <v>1.16975E-2</v>
      </c>
      <c r="AE69" s="32">
        <v>4.6789999999999998E-2</v>
      </c>
      <c r="AF69" s="32">
        <v>0</v>
      </c>
      <c r="AG69" s="32">
        <v>0</v>
      </c>
      <c r="AH69" s="33">
        <v>0</v>
      </c>
      <c r="AI69" s="31">
        <f t="shared" si="6"/>
        <v>0</v>
      </c>
      <c r="AJ69" s="32">
        <v>0</v>
      </c>
      <c r="AK69" s="32">
        <v>0</v>
      </c>
      <c r="AL69" s="32">
        <v>0</v>
      </c>
      <c r="AM69" s="34">
        <v>0</v>
      </c>
    </row>
    <row r="70" spans="1:39" x14ac:dyDescent="0.3">
      <c r="A70" s="24" t="s">
        <v>142</v>
      </c>
      <c r="B70" s="25" t="s">
        <v>170</v>
      </c>
      <c r="C70" s="25" t="s">
        <v>170</v>
      </c>
      <c r="D70" s="25" t="s">
        <v>110</v>
      </c>
      <c r="E70" s="26" t="s">
        <v>112</v>
      </c>
      <c r="F70" s="27">
        <v>2</v>
      </c>
      <c r="G70" s="28">
        <f t="shared" si="0"/>
        <v>7.25</v>
      </c>
      <c r="H70" s="29">
        <v>10</v>
      </c>
      <c r="I70" s="29">
        <v>11</v>
      </c>
      <c r="J70" s="29">
        <v>5</v>
      </c>
      <c r="K70" s="30">
        <v>3</v>
      </c>
      <c r="L70" s="31">
        <f t="shared" si="1"/>
        <v>5.8729164999999997</v>
      </c>
      <c r="M70" s="32">
        <v>6.516343</v>
      </c>
      <c r="N70" s="32">
        <v>9.0503999999999998</v>
      </c>
      <c r="O70" s="32">
        <v>3.3601200000000002</v>
      </c>
      <c r="P70" s="33">
        <v>4.2576999999999998</v>
      </c>
      <c r="Q70" s="31">
        <f t="shared" si="2"/>
        <v>0.25195499999999998</v>
      </c>
      <c r="R70" s="32">
        <v>0</v>
      </c>
      <c r="S70" s="32">
        <v>1.0078199999999999</v>
      </c>
      <c r="T70" s="32">
        <v>0</v>
      </c>
      <c r="U70" s="33">
        <v>0</v>
      </c>
      <c r="V70" s="31">
        <f t="shared" si="3"/>
        <v>5.4674100000000001</v>
      </c>
      <c r="W70" s="32">
        <v>6.3585900000000004</v>
      </c>
      <c r="X70" s="32">
        <v>7.89323</v>
      </c>
      <c r="Y70" s="32">
        <v>3.3601200000000002</v>
      </c>
      <c r="Z70" s="33">
        <v>4.2576999999999998</v>
      </c>
      <c r="AA70" s="31">
        <f t="shared" si="4"/>
        <v>0.15355150000000001</v>
      </c>
      <c r="AB70" s="32">
        <v>0.157753</v>
      </c>
      <c r="AC70" s="33">
        <v>0.14935000000000001</v>
      </c>
      <c r="AD70" s="31">
        <f t="shared" si="5"/>
        <v>0</v>
      </c>
      <c r="AE70" s="32">
        <v>0</v>
      </c>
      <c r="AF70" s="32">
        <v>0</v>
      </c>
      <c r="AG70" s="32">
        <v>0</v>
      </c>
      <c r="AH70" s="33">
        <v>0</v>
      </c>
      <c r="AI70" s="31">
        <f t="shared" si="6"/>
        <v>0</v>
      </c>
      <c r="AJ70" s="32">
        <v>0</v>
      </c>
      <c r="AK70" s="32">
        <v>0</v>
      </c>
      <c r="AL70" s="32">
        <v>0</v>
      </c>
      <c r="AM70" s="34">
        <v>0</v>
      </c>
    </row>
    <row r="71" spans="1:39" x14ac:dyDescent="0.3">
      <c r="A71" s="24" t="s">
        <v>142</v>
      </c>
      <c r="B71" s="25" t="s">
        <v>170</v>
      </c>
      <c r="C71" s="25" t="s">
        <v>170</v>
      </c>
      <c r="D71" s="25" t="s">
        <v>110</v>
      </c>
      <c r="E71" s="26" t="s">
        <v>173</v>
      </c>
      <c r="F71" s="27">
        <v>1</v>
      </c>
      <c r="G71" s="28">
        <f t="shared" ref="G71:G134" si="7">SUM(H71:K71)/4</f>
        <v>1.25</v>
      </c>
      <c r="H71" s="29">
        <v>2</v>
      </c>
      <c r="I71" s="29">
        <v>2</v>
      </c>
      <c r="J71" s="29">
        <v>0</v>
      </c>
      <c r="K71" s="30">
        <v>1</v>
      </c>
      <c r="L71" s="31">
        <f t="shared" ref="L71:L134" si="8">Q71+V71+AA71+AD71+AI71</f>
        <v>0.80300900000000008</v>
      </c>
      <c r="M71" s="32">
        <v>1.7639260000000001</v>
      </c>
      <c r="N71" s="32">
        <v>0.49659999999999999</v>
      </c>
      <c r="O71" s="32">
        <v>0</v>
      </c>
      <c r="P71" s="33">
        <v>0.95150999999999997</v>
      </c>
      <c r="Q71" s="31">
        <f t="shared" ref="Q71:Q134" si="9">SUM(R71:U71)/4</f>
        <v>0.199379</v>
      </c>
      <c r="R71" s="32">
        <v>0.30091600000000002</v>
      </c>
      <c r="S71" s="32">
        <v>0.49659999999999999</v>
      </c>
      <c r="T71" s="32">
        <v>0</v>
      </c>
      <c r="U71" s="33">
        <v>0</v>
      </c>
      <c r="V71" s="31">
        <f t="shared" ref="V71:V134" si="10">SUM(W71:Z71)/4</f>
        <v>0.60363</v>
      </c>
      <c r="W71" s="32">
        <v>1.4630099999999999</v>
      </c>
      <c r="X71" s="32">
        <v>0</v>
      </c>
      <c r="Y71" s="32">
        <v>0</v>
      </c>
      <c r="Z71" s="33">
        <v>0.95150999999999997</v>
      </c>
      <c r="AA71" s="31">
        <f t="shared" ref="AA71:AA134" si="11">SUM(AB71:AC71)/2</f>
        <v>0</v>
      </c>
      <c r="AB71" s="32">
        <v>0</v>
      </c>
      <c r="AC71" s="33">
        <v>0</v>
      </c>
      <c r="AD71" s="31">
        <f t="shared" ref="AD71:AD134" si="12">SUM(AE71:AH71)/4</f>
        <v>0</v>
      </c>
      <c r="AE71" s="32">
        <v>0</v>
      </c>
      <c r="AF71" s="32">
        <v>0</v>
      </c>
      <c r="AG71" s="32">
        <v>0</v>
      </c>
      <c r="AH71" s="33">
        <v>0</v>
      </c>
      <c r="AI71" s="31">
        <f t="shared" ref="AI71:AI134" si="13">SUM(AJ71:AM71)/4</f>
        <v>5.5511151231257827E-17</v>
      </c>
      <c r="AJ71" s="32">
        <v>2.2204460492503131E-16</v>
      </c>
      <c r="AK71" s="32">
        <v>0</v>
      </c>
      <c r="AL71" s="32">
        <v>0</v>
      </c>
      <c r="AM71" s="34">
        <v>0</v>
      </c>
    </row>
    <row r="72" spans="1:39" x14ac:dyDescent="0.3">
      <c r="A72" s="24" t="s">
        <v>142</v>
      </c>
      <c r="B72" s="25" t="s">
        <v>170</v>
      </c>
      <c r="C72" s="25" t="s">
        <v>170</v>
      </c>
      <c r="D72" s="25" t="s">
        <v>110</v>
      </c>
      <c r="E72" s="26" t="s">
        <v>174</v>
      </c>
      <c r="F72" s="27">
        <v>1</v>
      </c>
      <c r="G72" s="28">
        <f t="shared" si="7"/>
        <v>0</v>
      </c>
      <c r="H72" s="29">
        <v>0</v>
      </c>
      <c r="I72" s="29">
        <v>0</v>
      </c>
      <c r="J72" s="29">
        <v>0</v>
      </c>
      <c r="K72" s="30">
        <v>0</v>
      </c>
      <c r="L72" s="31">
        <f t="shared" si="8"/>
        <v>0</v>
      </c>
      <c r="M72" s="32">
        <v>0</v>
      </c>
      <c r="N72" s="32">
        <v>0</v>
      </c>
      <c r="O72" s="32">
        <v>0</v>
      </c>
      <c r="P72" s="33">
        <v>0</v>
      </c>
      <c r="Q72" s="31">
        <f t="shared" si="9"/>
        <v>0</v>
      </c>
      <c r="R72" s="32">
        <v>0</v>
      </c>
      <c r="S72" s="32">
        <v>0</v>
      </c>
      <c r="T72" s="32">
        <v>0</v>
      </c>
      <c r="U72" s="33">
        <v>0</v>
      </c>
      <c r="V72" s="31">
        <f t="shared" si="10"/>
        <v>0</v>
      </c>
      <c r="W72" s="32">
        <v>0</v>
      </c>
      <c r="X72" s="32">
        <v>0</v>
      </c>
      <c r="Y72" s="32">
        <v>0</v>
      </c>
      <c r="Z72" s="33">
        <v>0</v>
      </c>
      <c r="AA72" s="31">
        <f t="shared" si="11"/>
        <v>0</v>
      </c>
      <c r="AB72" s="32">
        <v>0</v>
      </c>
      <c r="AC72" s="33">
        <v>0</v>
      </c>
      <c r="AD72" s="31">
        <f t="shared" si="12"/>
        <v>0</v>
      </c>
      <c r="AE72" s="32">
        <v>0</v>
      </c>
      <c r="AF72" s="32">
        <v>0</v>
      </c>
      <c r="AG72" s="32">
        <v>0</v>
      </c>
      <c r="AH72" s="33">
        <v>0</v>
      </c>
      <c r="AI72" s="31">
        <f t="shared" si="13"/>
        <v>0</v>
      </c>
      <c r="AJ72" s="32">
        <v>0</v>
      </c>
      <c r="AK72" s="32">
        <v>0</v>
      </c>
      <c r="AL72" s="32">
        <v>0</v>
      </c>
      <c r="AM72" s="34">
        <v>0</v>
      </c>
    </row>
    <row r="73" spans="1:39" x14ac:dyDescent="0.3">
      <c r="A73" s="24" t="s">
        <v>142</v>
      </c>
      <c r="B73" s="25" t="s">
        <v>170</v>
      </c>
      <c r="C73" s="25" t="s">
        <v>170</v>
      </c>
      <c r="D73" s="25" t="s">
        <v>110</v>
      </c>
      <c r="E73" s="26" t="s">
        <v>154</v>
      </c>
      <c r="F73" s="27">
        <v>52</v>
      </c>
      <c r="G73" s="28">
        <f t="shared" si="7"/>
        <v>137.75</v>
      </c>
      <c r="H73" s="29">
        <v>172</v>
      </c>
      <c r="I73" s="29">
        <v>249</v>
      </c>
      <c r="J73" s="29">
        <v>62</v>
      </c>
      <c r="K73" s="30">
        <v>68</v>
      </c>
      <c r="L73" s="31">
        <f t="shared" si="8"/>
        <v>34.131850750000005</v>
      </c>
      <c r="M73" s="32">
        <v>31.299858</v>
      </c>
      <c r="N73" s="32">
        <v>36.394202</v>
      </c>
      <c r="O73" s="32">
        <v>9.9506709999999998</v>
      </c>
      <c r="P73" s="33">
        <v>9.6083580000000026</v>
      </c>
      <c r="Q73" s="31">
        <f t="shared" si="9"/>
        <v>2.57784075</v>
      </c>
      <c r="R73" s="32">
        <v>2.5762149999999999</v>
      </c>
      <c r="S73" s="32">
        <v>5.3529630000000008</v>
      </c>
      <c r="T73" s="32">
        <v>1.5812139999999999</v>
      </c>
      <c r="U73" s="33">
        <v>0.8009710000000001</v>
      </c>
      <c r="V73" s="31">
        <f t="shared" si="10"/>
        <v>0.12249</v>
      </c>
      <c r="W73" s="32">
        <v>0.48996000000000001</v>
      </c>
      <c r="X73" s="32">
        <v>0</v>
      </c>
      <c r="Y73" s="32">
        <v>0</v>
      </c>
      <c r="Z73" s="33">
        <v>0</v>
      </c>
      <c r="AA73" s="31">
        <f t="shared" si="11"/>
        <v>24.637157000000006</v>
      </c>
      <c r="AB73" s="32">
        <v>26.599422000000001</v>
      </c>
      <c r="AC73" s="33">
        <v>22.67489200000001</v>
      </c>
      <c r="AD73" s="31">
        <f t="shared" si="12"/>
        <v>4.0943630000000004</v>
      </c>
      <c r="AE73" s="32">
        <v>1.634261</v>
      </c>
      <c r="AF73" s="32">
        <v>6.3663470000000002</v>
      </c>
      <c r="AG73" s="32">
        <v>3.9694570000000011</v>
      </c>
      <c r="AH73" s="33">
        <v>4.4073869999999999</v>
      </c>
      <c r="AI73" s="31">
        <f t="shared" si="13"/>
        <v>2.6999999999999984</v>
      </c>
      <c r="AJ73" s="32">
        <v>0</v>
      </c>
      <c r="AK73" s="32">
        <v>1.99999999999999</v>
      </c>
      <c r="AL73" s="32">
        <v>4.4000000000000004</v>
      </c>
      <c r="AM73" s="34">
        <v>4.4000000000000021</v>
      </c>
    </row>
    <row r="74" spans="1:39" x14ac:dyDescent="0.3">
      <c r="A74" s="24" t="s">
        <v>142</v>
      </c>
      <c r="B74" s="25" t="s">
        <v>170</v>
      </c>
      <c r="C74" s="25" t="s">
        <v>170</v>
      </c>
      <c r="D74" s="25" t="s">
        <v>106</v>
      </c>
      <c r="E74" s="26" t="s">
        <v>158</v>
      </c>
      <c r="F74" s="27">
        <v>2</v>
      </c>
      <c r="G74" s="28">
        <f t="shared" si="7"/>
        <v>2.5</v>
      </c>
      <c r="H74" s="29">
        <v>4</v>
      </c>
      <c r="I74" s="29">
        <v>4</v>
      </c>
      <c r="J74" s="29">
        <v>1</v>
      </c>
      <c r="K74" s="30">
        <v>1</v>
      </c>
      <c r="L74" s="31">
        <f t="shared" si="8"/>
        <v>1.6958485000000001</v>
      </c>
      <c r="M74" s="32">
        <v>2.9426549999999998</v>
      </c>
      <c r="N74" s="32">
        <v>2.6755300000000002</v>
      </c>
      <c r="O74" s="32">
        <v>0.10036200000000001</v>
      </c>
      <c r="P74" s="33">
        <v>4.3646999999999998E-2</v>
      </c>
      <c r="Q74" s="31">
        <f t="shared" si="9"/>
        <v>0</v>
      </c>
      <c r="R74" s="32">
        <v>0</v>
      </c>
      <c r="S74" s="32">
        <v>0</v>
      </c>
      <c r="T74" s="32">
        <v>0</v>
      </c>
      <c r="U74" s="33">
        <v>0</v>
      </c>
      <c r="V74" s="31">
        <f t="shared" si="10"/>
        <v>0.9958499999999999</v>
      </c>
      <c r="W74" s="32">
        <v>2.4938699999999998</v>
      </c>
      <c r="X74" s="32">
        <v>1.48953</v>
      </c>
      <c r="Y74" s="32">
        <v>0</v>
      </c>
      <c r="Z74" s="33">
        <v>0</v>
      </c>
      <c r="AA74" s="31">
        <f t="shared" si="11"/>
        <v>0.51060000000000005</v>
      </c>
      <c r="AB74" s="32">
        <v>0.247227</v>
      </c>
      <c r="AC74" s="33">
        <v>0.77397300000000002</v>
      </c>
      <c r="AD74" s="31">
        <f t="shared" si="12"/>
        <v>0.18939849999999997</v>
      </c>
      <c r="AE74" s="32">
        <v>0.20155799999999999</v>
      </c>
      <c r="AF74" s="32">
        <v>0.41202699999999998</v>
      </c>
      <c r="AG74" s="32">
        <v>0.10036200000000001</v>
      </c>
      <c r="AH74" s="33">
        <v>4.3646999999999998E-2</v>
      </c>
      <c r="AI74" s="31">
        <f t="shared" si="13"/>
        <v>0</v>
      </c>
      <c r="AJ74" s="32">
        <v>0</v>
      </c>
      <c r="AK74" s="32">
        <v>0</v>
      </c>
      <c r="AL74" s="32">
        <v>0</v>
      </c>
      <c r="AM74" s="34">
        <v>0</v>
      </c>
    </row>
    <row r="75" spans="1:39" x14ac:dyDescent="0.3">
      <c r="A75" s="24" t="s">
        <v>142</v>
      </c>
      <c r="B75" s="25" t="s">
        <v>170</v>
      </c>
      <c r="C75" s="25" t="s">
        <v>170</v>
      </c>
      <c r="D75" s="25" t="s">
        <v>106</v>
      </c>
      <c r="E75" s="26" t="s">
        <v>165</v>
      </c>
      <c r="F75" s="27">
        <v>1</v>
      </c>
      <c r="G75" s="28">
        <f t="shared" si="7"/>
        <v>0.25</v>
      </c>
      <c r="H75" s="29">
        <v>0</v>
      </c>
      <c r="I75" s="29">
        <v>0</v>
      </c>
      <c r="J75" s="29">
        <v>1</v>
      </c>
      <c r="K75" s="30">
        <v>0</v>
      </c>
      <c r="L75" s="31">
        <f t="shared" si="8"/>
        <v>3.3105000000000002E-2</v>
      </c>
      <c r="M75" s="32">
        <v>0</v>
      </c>
      <c r="N75" s="32">
        <v>0</v>
      </c>
      <c r="O75" s="32">
        <v>0.13242000000000001</v>
      </c>
      <c r="P75" s="33">
        <v>0</v>
      </c>
      <c r="Q75" s="31">
        <f t="shared" si="9"/>
        <v>0</v>
      </c>
      <c r="R75" s="32">
        <v>0</v>
      </c>
      <c r="S75" s="32">
        <v>0</v>
      </c>
      <c r="T75" s="32">
        <v>0</v>
      </c>
      <c r="U75" s="33">
        <v>0</v>
      </c>
      <c r="V75" s="31">
        <f t="shared" si="10"/>
        <v>0</v>
      </c>
      <c r="W75" s="32">
        <v>0</v>
      </c>
      <c r="X75" s="32">
        <v>0</v>
      </c>
      <c r="Y75" s="32">
        <v>0</v>
      </c>
      <c r="Z75" s="33">
        <v>0</v>
      </c>
      <c r="AA75" s="31">
        <f t="shared" si="11"/>
        <v>0</v>
      </c>
      <c r="AB75" s="32">
        <v>0</v>
      </c>
      <c r="AC75" s="33">
        <v>0</v>
      </c>
      <c r="AD75" s="31">
        <f t="shared" si="12"/>
        <v>3.3105000000000002E-2</v>
      </c>
      <c r="AE75" s="32">
        <v>0</v>
      </c>
      <c r="AF75" s="32">
        <v>0</v>
      </c>
      <c r="AG75" s="32">
        <v>0.13242000000000001</v>
      </c>
      <c r="AH75" s="33">
        <v>0</v>
      </c>
      <c r="AI75" s="31">
        <f t="shared" si="13"/>
        <v>0</v>
      </c>
      <c r="AJ75" s="32">
        <v>0</v>
      </c>
      <c r="AK75" s="32">
        <v>0</v>
      </c>
      <c r="AL75" s="32">
        <v>0</v>
      </c>
      <c r="AM75" s="34">
        <v>0</v>
      </c>
    </row>
    <row r="76" spans="1:39" x14ac:dyDescent="0.3">
      <c r="A76" s="24" t="s">
        <v>142</v>
      </c>
      <c r="B76" s="25" t="s">
        <v>170</v>
      </c>
      <c r="C76" s="25" t="s">
        <v>170</v>
      </c>
      <c r="D76" s="25" t="s">
        <v>106</v>
      </c>
      <c r="E76" s="26" t="s">
        <v>169</v>
      </c>
      <c r="F76" s="27">
        <v>1</v>
      </c>
      <c r="G76" s="28">
        <f t="shared" si="7"/>
        <v>0</v>
      </c>
      <c r="H76" s="29">
        <v>0</v>
      </c>
      <c r="I76" s="29">
        <v>0</v>
      </c>
      <c r="J76" s="29">
        <v>0</v>
      </c>
      <c r="K76" s="30">
        <v>0</v>
      </c>
      <c r="L76" s="31">
        <f t="shared" si="8"/>
        <v>0</v>
      </c>
      <c r="M76" s="32">
        <v>0</v>
      </c>
      <c r="N76" s="32">
        <v>0</v>
      </c>
      <c r="O76" s="32">
        <v>0</v>
      </c>
      <c r="P76" s="33">
        <v>0</v>
      </c>
      <c r="Q76" s="31">
        <f t="shared" si="9"/>
        <v>0</v>
      </c>
      <c r="R76" s="32">
        <v>0</v>
      </c>
      <c r="S76" s="32">
        <v>0</v>
      </c>
      <c r="T76" s="32">
        <v>0</v>
      </c>
      <c r="U76" s="33">
        <v>0</v>
      </c>
      <c r="V76" s="31">
        <f t="shared" si="10"/>
        <v>0</v>
      </c>
      <c r="W76" s="32">
        <v>0</v>
      </c>
      <c r="X76" s="32">
        <v>0</v>
      </c>
      <c r="Y76" s="32">
        <v>0</v>
      </c>
      <c r="Z76" s="33">
        <v>0</v>
      </c>
      <c r="AA76" s="31">
        <f t="shared" si="11"/>
        <v>0</v>
      </c>
      <c r="AB76" s="32">
        <v>0</v>
      </c>
      <c r="AC76" s="33">
        <v>0</v>
      </c>
      <c r="AD76" s="31">
        <f t="shared" si="12"/>
        <v>0</v>
      </c>
      <c r="AE76" s="32">
        <v>0</v>
      </c>
      <c r="AF76" s="32">
        <v>0</v>
      </c>
      <c r="AG76" s="32">
        <v>0</v>
      </c>
      <c r="AH76" s="33">
        <v>0</v>
      </c>
      <c r="AI76" s="31">
        <f t="shared" si="13"/>
        <v>0</v>
      </c>
      <c r="AJ76" s="32">
        <v>0</v>
      </c>
      <c r="AK76" s="32">
        <v>0</v>
      </c>
      <c r="AL76" s="32">
        <v>0</v>
      </c>
      <c r="AM76" s="34">
        <v>0</v>
      </c>
    </row>
    <row r="77" spans="1:39" x14ac:dyDescent="0.3">
      <c r="A77" s="24" t="s">
        <v>142</v>
      </c>
      <c r="B77" s="25" t="s">
        <v>170</v>
      </c>
      <c r="C77" s="25" t="s">
        <v>170</v>
      </c>
      <c r="D77" s="25" t="s">
        <v>106</v>
      </c>
      <c r="E77" s="26" t="s">
        <v>175</v>
      </c>
      <c r="F77" s="27">
        <v>2</v>
      </c>
      <c r="G77" s="28">
        <f t="shared" si="7"/>
        <v>1.75</v>
      </c>
      <c r="H77" s="29">
        <v>1</v>
      </c>
      <c r="I77" s="29">
        <v>1</v>
      </c>
      <c r="J77" s="29">
        <v>1</v>
      </c>
      <c r="K77" s="30">
        <v>4</v>
      </c>
      <c r="L77" s="31">
        <f t="shared" si="8"/>
        <v>0.30996899999999999</v>
      </c>
      <c r="M77" s="32">
        <v>0.10630000000000001</v>
      </c>
      <c r="N77" s="32">
        <v>0.40024599999999999</v>
      </c>
      <c r="O77" s="32">
        <v>0.34160000000000001</v>
      </c>
      <c r="P77" s="33">
        <v>0.39173000000000002</v>
      </c>
      <c r="Q77" s="31">
        <f t="shared" si="9"/>
        <v>0.15761149999999999</v>
      </c>
      <c r="R77" s="32">
        <v>0</v>
      </c>
      <c r="S77" s="32">
        <v>0.40024599999999999</v>
      </c>
      <c r="T77" s="32">
        <v>0.23019999999999999</v>
      </c>
      <c r="U77" s="33">
        <v>0</v>
      </c>
      <c r="V77" s="31">
        <f t="shared" si="10"/>
        <v>9.0834999999999999E-2</v>
      </c>
      <c r="W77" s="32">
        <v>0.10630000000000001</v>
      </c>
      <c r="X77" s="32">
        <v>0</v>
      </c>
      <c r="Y77" s="32">
        <v>0</v>
      </c>
      <c r="Z77" s="33">
        <v>0.25703999999999999</v>
      </c>
      <c r="AA77" s="31">
        <f t="shared" si="11"/>
        <v>0</v>
      </c>
      <c r="AB77" s="32">
        <v>0</v>
      </c>
      <c r="AC77" s="33">
        <v>0</v>
      </c>
      <c r="AD77" s="31">
        <f t="shared" si="12"/>
        <v>6.1522500000000001E-2</v>
      </c>
      <c r="AE77" s="32">
        <v>0</v>
      </c>
      <c r="AF77" s="32">
        <v>0</v>
      </c>
      <c r="AG77" s="32">
        <v>0.1114</v>
      </c>
      <c r="AH77" s="33">
        <v>0.13469</v>
      </c>
      <c r="AI77" s="31">
        <f t="shared" si="13"/>
        <v>0</v>
      </c>
      <c r="AJ77" s="32">
        <v>0</v>
      </c>
      <c r="AK77" s="32">
        <v>0</v>
      </c>
      <c r="AL77" s="32">
        <v>0</v>
      </c>
      <c r="AM77" s="34">
        <v>0</v>
      </c>
    </row>
    <row r="78" spans="1:39" x14ac:dyDescent="0.3">
      <c r="A78" s="24" t="s">
        <v>142</v>
      </c>
      <c r="B78" s="25" t="s">
        <v>170</v>
      </c>
      <c r="C78" s="25" t="s">
        <v>170</v>
      </c>
      <c r="D78" s="25" t="s">
        <v>106</v>
      </c>
      <c r="E78" s="26" t="s">
        <v>176</v>
      </c>
      <c r="F78" s="27">
        <v>1</v>
      </c>
      <c r="G78" s="28">
        <f t="shared" si="7"/>
        <v>0</v>
      </c>
      <c r="H78" s="29">
        <v>0</v>
      </c>
      <c r="I78" s="29">
        <v>0</v>
      </c>
      <c r="J78" s="29">
        <v>0</v>
      </c>
      <c r="K78" s="30">
        <v>0</v>
      </c>
      <c r="L78" s="31">
        <f t="shared" si="8"/>
        <v>0</v>
      </c>
      <c r="M78" s="32">
        <v>0</v>
      </c>
      <c r="N78" s="32">
        <v>0</v>
      </c>
      <c r="O78" s="32">
        <v>0</v>
      </c>
      <c r="P78" s="33">
        <v>0</v>
      </c>
      <c r="Q78" s="31">
        <f t="shared" si="9"/>
        <v>0</v>
      </c>
      <c r="R78" s="32">
        <v>0</v>
      </c>
      <c r="S78" s="32">
        <v>0</v>
      </c>
      <c r="T78" s="32">
        <v>0</v>
      </c>
      <c r="U78" s="33">
        <v>0</v>
      </c>
      <c r="V78" s="31">
        <f t="shared" si="10"/>
        <v>0</v>
      </c>
      <c r="W78" s="32">
        <v>0</v>
      </c>
      <c r="X78" s="32">
        <v>0</v>
      </c>
      <c r="Y78" s="32">
        <v>0</v>
      </c>
      <c r="Z78" s="33">
        <v>0</v>
      </c>
      <c r="AA78" s="31">
        <f t="shared" si="11"/>
        <v>0</v>
      </c>
      <c r="AB78" s="32">
        <v>0</v>
      </c>
      <c r="AC78" s="33">
        <v>0</v>
      </c>
      <c r="AD78" s="31">
        <f t="shared" si="12"/>
        <v>0</v>
      </c>
      <c r="AE78" s="32">
        <v>0</v>
      </c>
      <c r="AF78" s="32">
        <v>0</v>
      </c>
      <c r="AG78" s="32">
        <v>0</v>
      </c>
      <c r="AH78" s="33">
        <v>0</v>
      </c>
      <c r="AI78" s="31">
        <f t="shared" si="13"/>
        <v>0</v>
      </c>
      <c r="AJ78" s="32">
        <v>0</v>
      </c>
      <c r="AK78" s="32">
        <v>0</v>
      </c>
      <c r="AL78" s="32">
        <v>0</v>
      </c>
      <c r="AM78" s="34">
        <v>0</v>
      </c>
    </row>
    <row r="79" spans="1:39" x14ac:dyDescent="0.3">
      <c r="A79" s="24" t="s">
        <v>142</v>
      </c>
      <c r="B79" s="25" t="s">
        <v>170</v>
      </c>
      <c r="C79" s="25" t="s">
        <v>170</v>
      </c>
      <c r="D79" s="25" t="s">
        <v>106</v>
      </c>
      <c r="E79" s="26" t="s">
        <v>177</v>
      </c>
      <c r="F79" s="27">
        <v>1</v>
      </c>
      <c r="G79" s="28">
        <f t="shared" si="7"/>
        <v>7.25</v>
      </c>
      <c r="H79" s="29">
        <v>9</v>
      </c>
      <c r="I79" s="29">
        <v>10</v>
      </c>
      <c r="J79" s="29">
        <v>5</v>
      </c>
      <c r="K79" s="30">
        <v>5</v>
      </c>
      <c r="L79" s="31">
        <f t="shared" si="8"/>
        <v>1.7866919999999999</v>
      </c>
      <c r="M79" s="32">
        <v>3.0835590000000002</v>
      </c>
      <c r="N79" s="32">
        <v>2.5806719999999999</v>
      </c>
      <c r="O79" s="32">
        <v>0.74921300000000002</v>
      </c>
      <c r="P79" s="33">
        <v>0.612784</v>
      </c>
      <c r="Q79" s="31">
        <f t="shared" si="9"/>
        <v>0</v>
      </c>
      <c r="R79" s="32">
        <v>0</v>
      </c>
      <c r="S79" s="32">
        <v>0</v>
      </c>
      <c r="T79" s="32">
        <v>0</v>
      </c>
      <c r="U79" s="33">
        <v>0</v>
      </c>
      <c r="V79" s="31">
        <f t="shared" si="10"/>
        <v>1.149435</v>
      </c>
      <c r="W79" s="32">
        <v>2.5020799999999999</v>
      </c>
      <c r="X79" s="32">
        <v>1.97112</v>
      </c>
      <c r="Y79" s="32">
        <v>0.12454</v>
      </c>
      <c r="Z79" s="33">
        <v>0</v>
      </c>
      <c r="AA79" s="31">
        <f t="shared" si="11"/>
        <v>6.0269999999999997E-2</v>
      </c>
      <c r="AB79" s="32">
        <v>0.12053999999999999</v>
      </c>
      <c r="AC79" s="33">
        <v>0</v>
      </c>
      <c r="AD79" s="31">
        <f t="shared" si="12"/>
        <v>0.57698700000000003</v>
      </c>
      <c r="AE79" s="32">
        <v>0.46093899999999999</v>
      </c>
      <c r="AF79" s="32">
        <v>0.60955199999999998</v>
      </c>
      <c r="AG79" s="32">
        <v>0.62467300000000003</v>
      </c>
      <c r="AH79" s="33">
        <v>0.612784</v>
      </c>
      <c r="AI79" s="31">
        <f t="shared" si="13"/>
        <v>0</v>
      </c>
      <c r="AJ79" s="32">
        <v>0</v>
      </c>
      <c r="AK79" s="32">
        <v>0</v>
      </c>
      <c r="AL79" s="32">
        <v>0</v>
      </c>
      <c r="AM79" s="34">
        <v>0</v>
      </c>
    </row>
    <row r="80" spans="1:39" x14ac:dyDescent="0.3">
      <c r="A80" s="24" t="s">
        <v>142</v>
      </c>
      <c r="B80" s="25" t="s">
        <v>170</v>
      </c>
      <c r="C80" s="25" t="s">
        <v>170</v>
      </c>
      <c r="D80" s="25" t="s">
        <v>143</v>
      </c>
      <c r="E80" s="26" t="s">
        <v>146</v>
      </c>
      <c r="F80" s="27">
        <v>2</v>
      </c>
      <c r="G80" s="28">
        <f t="shared" si="7"/>
        <v>3.5</v>
      </c>
      <c r="H80" s="29">
        <v>6</v>
      </c>
      <c r="I80" s="29">
        <v>3</v>
      </c>
      <c r="J80" s="29">
        <v>2</v>
      </c>
      <c r="K80" s="30">
        <v>3</v>
      </c>
      <c r="L80" s="31">
        <f t="shared" si="8"/>
        <v>1.77242375</v>
      </c>
      <c r="M80" s="32">
        <v>1.7858270000000001</v>
      </c>
      <c r="N80" s="32">
        <v>3.3835060000000001</v>
      </c>
      <c r="O80" s="32">
        <v>0.50824899999999995</v>
      </c>
      <c r="P80" s="33">
        <v>1.3540989999999999</v>
      </c>
      <c r="Q80" s="31">
        <f t="shared" si="9"/>
        <v>1.47611925</v>
      </c>
      <c r="R80" s="32">
        <v>1.5901259999999999</v>
      </c>
      <c r="S80" s="32">
        <v>3.3139460000000001</v>
      </c>
      <c r="T80" s="32">
        <v>0</v>
      </c>
      <c r="U80" s="33">
        <v>1.000405</v>
      </c>
      <c r="V80" s="31">
        <f t="shared" si="10"/>
        <v>0</v>
      </c>
      <c r="W80" s="32">
        <v>0</v>
      </c>
      <c r="X80" s="32">
        <v>0</v>
      </c>
      <c r="Y80" s="32">
        <v>0</v>
      </c>
      <c r="Z80" s="33">
        <v>0</v>
      </c>
      <c r="AA80" s="31">
        <f t="shared" si="11"/>
        <v>2.9007000000000002E-2</v>
      </c>
      <c r="AB80" s="32">
        <v>5.8014000000000003E-2</v>
      </c>
      <c r="AC80" s="33">
        <v>0</v>
      </c>
      <c r="AD80" s="31">
        <f t="shared" si="12"/>
        <v>0.26729749999999997</v>
      </c>
      <c r="AE80" s="32">
        <v>0.137687</v>
      </c>
      <c r="AF80" s="32">
        <v>6.9559999999999997E-2</v>
      </c>
      <c r="AG80" s="32">
        <v>0.50824899999999995</v>
      </c>
      <c r="AH80" s="33">
        <v>0.35369400000000001</v>
      </c>
      <c r="AI80" s="31">
        <f t="shared" si="13"/>
        <v>0</v>
      </c>
      <c r="AJ80" s="32">
        <v>0</v>
      </c>
      <c r="AK80" s="32">
        <v>0</v>
      </c>
      <c r="AL80" s="32">
        <v>0</v>
      </c>
      <c r="AM80" s="34">
        <v>0</v>
      </c>
    </row>
    <row r="81" spans="1:39" x14ac:dyDescent="0.3">
      <c r="A81" s="24" t="s">
        <v>142</v>
      </c>
      <c r="B81" s="25" t="s">
        <v>170</v>
      </c>
      <c r="C81" s="25" t="s">
        <v>170</v>
      </c>
      <c r="D81" s="25" t="s">
        <v>178</v>
      </c>
      <c r="E81" s="26" t="s">
        <v>179</v>
      </c>
      <c r="F81" s="27">
        <v>1</v>
      </c>
      <c r="G81" s="28">
        <f t="shared" si="7"/>
        <v>0.25</v>
      </c>
      <c r="H81" s="29">
        <v>0</v>
      </c>
      <c r="I81" s="29">
        <v>0</v>
      </c>
      <c r="J81" s="29">
        <v>0</v>
      </c>
      <c r="K81" s="30">
        <v>1</v>
      </c>
      <c r="L81" s="31">
        <f t="shared" si="8"/>
        <v>2.711875E-2</v>
      </c>
      <c r="M81" s="32">
        <v>0</v>
      </c>
      <c r="N81" s="32">
        <v>0</v>
      </c>
      <c r="O81" s="32">
        <v>0</v>
      </c>
      <c r="P81" s="33">
        <v>0.108475</v>
      </c>
      <c r="Q81" s="31">
        <f t="shared" si="9"/>
        <v>0</v>
      </c>
      <c r="R81" s="32">
        <v>0</v>
      </c>
      <c r="S81" s="32">
        <v>0</v>
      </c>
      <c r="T81" s="32">
        <v>0</v>
      </c>
      <c r="U81" s="33">
        <v>0</v>
      </c>
      <c r="V81" s="31">
        <f t="shared" si="10"/>
        <v>0</v>
      </c>
      <c r="W81" s="32">
        <v>0</v>
      </c>
      <c r="X81" s="32">
        <v>0</v>
      </c>
      <c r="Y81" s="32">
        <v>0</v>
      </c>
      <c r="Z81" s="33">
        <v>0</v>
      </c>
      <c r="AA81" s="31">
        <f t="shared" si="11"/>
        <v>0</v>
      </c>
      <c r="AB81" s="32">
        <v>0</v>
      </c>
      <c r="AC81" s="33">
        <v>0</v>
      </c>
      <c r="AD81" s="31">
        <f t="shared" si="12"/>
        <v>2.711875E-2</v>
      </c>
      <c r="AE81" s="32">
        <v>0</v>
      </c>
      <c r="AF81" s="32">
        <v>0</v>
      </c>
      <c r="AG81" s="32">
        <v>0</v>
      </c>
      <c r="AH81" s="33">
        <v>0.108475</v>
      </c>
      <c r="AI81" s="31">
        <f t="shared" si="13"/>
        <v>0</v>
      </c>
      <c r="AJ81" s="32">
        <v>0</v>
      </c>
      <c r="AK81" s="32">
        <v>0</v>
      </c>
      <c r="AL81" s="32">
        <v>0</v>
      </c>
      <c r="AM81" s="34">
        <v>0</v>
      </c>
    </row>
    <row r="82" spans="1:39" x14ac:dyDescent="0.3">
      <c r="A82" s="24" t="s">
        <v>142</v>
      </c>
      <c r="B82" s="25" t="s">
        <v>170</v>
      </c>
      <c r="C82" s="25" t="s">
        <v>170</v>
      </c>
      <c r="D82" s="25" t="s">
        <v>178</v>
      </c>
      <c r="E82" s="26" t="s">
        <v>180</v>
      </c>
      <c r="F82" s="27">
        <v>2</v>
      </c>
      <c r="G82" s="28">
        <f t="shared" si="7"/>
        <v>24.5</v>
      </c>
      <c r="H82" s="29">
        <v>35</v>
      </c>
      <c r="I82" s="29">
        <v>37</v>
      </c>
      <c r="J82" s="29">
        <v>12</v>
      </c>
      <c r="K82" s="30">
        <v>14</v>
      </c>
      <c r="L82" s="31">
        <f t="shared" si="8"/>
        <v>3.5014747499999999</v>
      </c>
      <c r="M82" s="32">
        <v>2.88951</v>
      </c>
      <c r="N82" s="32">
        <v>3.158649</v>
      </c>
      <c r="O82" s="32">
        <v>1.4758519999999999</v>
      </c>
      <c r="P82" s="33">
        <v>1.0335829999999999</v>
      </c>
      <c r="Q82" s="31">
        <f t="shared" si="9"/>
        <v>0.187891</v>
      </c>
      <c r="R82" s="32">
        <v>0</v>
      </c>
      <c r="S82" s="32">
        <v>0</v>
      </c>
      <c r="T82" s="32">
        <v>0.75156400000000001</v>
      </c>
      <c r="U82" s="33">
        <v>0</v>
      </c>
      <c r="V82" s="31">
        <f t="shared" si="10"/>
        <v>0</v>
      </c>
      <c r="W82" s="32">
        <v>0</v>
      </c>
      <c r="X82" s="32">
        <v>0</v>
      </c>
      <c r="Y82" s="32">
        <v>0</v>
      </c>
      <c r="Z82" s="33">
        <v>0</v>
      </c>
      <c r="AA82" s="31">
        <f t="shared" si="11"/>
        <v>2.7241524999999998</v>
      </c>
      <c r="AB82" s="32">
        <v>2.6545100000000001</v>
      </c>
      <c r="AC82" s="33">
        <v>2.7937949999999998</v>
      </c>
      <c r="AD82" s="31">
        <f t="shared" si="12"/>
        <v>0.58943124999999996</v>
      </c>
      <c r="AE82" s="32">
        <v>0.23499999999999999</v>
      </c>
      <c r="AF82" s="32">
        <v>0.36485400000000001</v>
      </c>
      <c r="AG82" s="32">
        <v>0.72428799999999993</v>
      </c>
      <c r="AH82" s="33">
        <v>1.0335829999999999</v>
      </c>
      <c r="AI82" s="31">
        <f t="shared" si="13"/>
        <v>0</v>
      </c>
      <c r="AJ82" s="32">
        <v>0</v>
      </c>
      <c r="AK82" s="32">
        <v>0</v>
      </c>
      <c r="AL82" s="32">
        <v>0</v>
      </c>
      <c r="AM82" s="34">
        <v>0</v>
      </c>
    </row>
    <row r="83" spans="1:39" x14ac:dyDescent="0.3">
      <c r="A83" s="24" t="s">
        <v>142</v>
      </c>
      <c r="B83" s="25" t="s">
        <v>170</v>
      </c>
      <c r="C83" s="25" t="s">
        <v>170</v>
      </c>
      <c r="D83" s="25" t="s">
        <v>181</v>
      </c>
      <c r="E83" s="26" t="s">
        <v>182</v>
      </c>
      <c r="F83" s="27">
        <v>1</v>
      </c>
      <c r="G83" s="28">
        <f t="shared" si="7"/>
        <v>0.5</v>
      </c>
      <c r="H83" s="29">
        <v>0</v>
      </c>
      <c r="I83" s="29">
        <v>0</v>
      </c>
      <c r="J83" s="29">
        <v>0</v>
      </c>
      <c r="K83" s="30">
        <v>2</v>
      </c>
      <c r="L83" s="31">
        <f t="shared" si="8"/>
        <v>4.0017249999999997E-2</v>
      </c>
      <c r="M83" s="32">
        <v>0</v>
      </c>
      <c r="N83" s="32">
        <v>0</v>
      </c>
      <c r="O83" s="32">
        <v>0</v>
      </c>
      <c r="P83" s="33">
        <v>0.16006899999999999</v>
      </c>
      <c r="Q83" s="31">
        <f t="shared" si="9"/>
        <v>0</v>
      </c>
      <c r="R83" s="32">
        <v>0</v>
      </c>
      <c r="S83" s="32">
        <v>0</v>
      </c>
      <c r="T83" s="32">
        <v>0</v>
      </c>
      <c r="U83" s="33">
        <v>0</v>
      </c>
      <c r="V83" s="31">
        <f t="shared" si="10"/>
        <v>0</v>
      </c>
      <c r="W83" s="32">
        <v>0</v>
      </c>
      <c r="X83" s="32">
        <v>0</v>
      </c>
      <c r="Y83" s="32">
        <v>0</v>
      </c>
      <c r="Z83" s="33">
        <v>0</v>
      </c>
      <c r="AA83" s="31">
        <f t="shared" si="11"/>
        <v>0</v>
      </c>
      <c r="AB83" s="32">
        <v>0</v>
      </c>
      <c r="AC83" s="33">
        <v>0</v>
      </c>
      <c r="AD83" s="31">
        <f t="shared" si="12"/>
        <v>4.0017249999999997E-2</v>
      </c>
      <c r="AE83" s="32">
        <v>0</v>
      </c>
      <c r="AF83" s="32">
        <v>0</v>
      </c>
      <c r="AG83" s="32">
        <v>0</v>
      </c>
      <c r="AH83" s="33">
        <v>0.16006899999999999</v>
      </c>
      <c r="AI83" s="31">
        <f t="shared" si="13"/>
        <v>0</v>
      </c>
      <c r="AJ83" s="32">
        <v>0</v>
      </c>
      <c r="AK83" s="32">
        <v>0</v>
      </c>
      <c r="AL83" s="32">
        <v>0</v>
      </c>
      <c r="AM83" s="34">
        <v>0</v>
      </c>
    </row>
    <row r="84" spans="1:39" x14ac:dyDescent="0.3">
      <c r="A84" s="24" t="s">
        <v>183</v>
      </c>
      <c r="B84" s="25" t="s">
        <v>38</v>
      </c>
      <c r="C84" s="25" t="s">
        <v>39</v>
      </c>
      <c r="D84" s="25" t="s">
        <v>110</v>
      </c>
      <c r="E84" s="26" t="s">
        <v>173</v>
      </c>
      <c r="F84" s="27">
        <v>12</v>
      </c>
      <c r="G84" s="28">
        <f t="shared" si="7"/>
        <v>1.25</v>
      </c>
      <c r="H84" s="29">
        <v>2</v>
      </c>
      <c r="I84" s="29">
        <v>0</v>
      </c>
      <c r="J84" s="29">
        <v>2</v>
      </c>
      <c r="K84" s="30">
        <v>1</v>
      </c>
      <c r="L84" s="31">
        <f t="shared" si="8"/>
        <v>0.41754525000000003</v>
      </c>
      <c r="M84" s="32">
        <v>1.51736</v>
      </c>
      <c r="N84" s="32">
        <v>0</v>
      </c>
      <c r="O84" s="32">
        <v>0.11433400000000001</v>
      </c>
      <c r="P84" s="33">
        <v>3.8487E-2</v>
      </c>
      <c r="Q84" s="31">
        <f t="shared" si="9"/>
        <v>0</v>
      </c>
      <c r="R84" s="32">
        <v>0</v>
      </c>
      <c r="S84" s="32">
        <v>0</v>
      </c>
      <c r="T84" s="32">
        <v>0</v>
      </c>
      <c r="U84" s="33">
        <v>0</v>
      </c>
      <c r="V84" s="31">
        <f t="shared" si="10"/>
        <v>0.37934000000000001</v>
      </c>
      <c r="W84" s="32">
        <v>1.51736</v>
      </c>
      <c r="X84" s="32">
        <v>0</v>
      </c>
      <c r="Y84" s="32">
        <v>0</v>
      </c>
      <c r="Z84" s="33">
        <v>0</v>
      </c>
      <c r="AA84" s="31">
        <f t="shared" si="11"/>
        <v>0</v>
      </c>
      <c r="AB84" s="32">
        <v>0</v>
      </c>
      <c r="AC84" s="33">
        <v>0</v>
      </c>
      <c r="AD84" s="31">
        <f t="shared" si="12"/>
        <v>3.8205250000000003E-2</v>
      </c>
      <c r="AE84" s="32">
        <v>0</v>
      </c>
      <c r="AF84" s="32">
        <v>0</v>
      </c>
      <c r="AG84" s="32">
        <v>0.11433400000000001</v>
      </c>
      <c r="AH84" s="33">
        <v>3.8487E-2</v>
      </c>
      <c r="AI84" s="31">
        <f t="shared" si="13"/>
        <v>0</v>
      </c>
      <c r="AJ84" s="32">
        <v>0</v>
      </c>
      <c r="AK84" s="32">
        <v>0</v>
      </c>
      <c r="AL84" s="32">
        <v>0</v>
      </c>
      <c r="AM84" s="34">
        <v>0</v>
      </c>
    </row>
    <row r="85" spans="1:39" x14ac:dyDescent="0.3">
      <c r="A85" s="24" t="s">
        <v>183</v>
      </c>
      <c r="B85" s="25" t="s">
        <v>38</v>
      </c>
      <c r="C85" s="25" t="s">
        <v>39</v>
      </c>
      <c r="D85" s="25" t="s">
        <v>110</v>
      </c>
      <c r="E85" s="26" t="s">
        <v>184</v>
      </c>
      <c r="F85" s="27">
        <v>41</v>
      </c>
      <c r="G85" s="28">
        <f t="shared" si="7"/>
        <v>133.5</v>
      </c>
      <c r="H85" s="29">
        <v>156</v>
      </c>
      <c r="I85" s="29">
        <v>129</v>
      </c>
      <c r="J85" s="29">
        <v>133</v>
      </c>
      <c r="K85" s="30">
        <v>116</v>
      </c>
      <c r="L85" s="31">
        <f t="shared" si="8"/>
        <v>90.321627250000006</v>
      </c>
      <c r="M85" s="32">
        <v>70.937476000000004</v>
      </c>
      <c r="N85" s="32">
        <v>90.718908000000013</v>
      </c>
      <c r="O85" s="32">
        <v>111.82640600000001</v>
      </c>
      <c r="P85" s="33">
        <v>68.774738999999997</v>
      </c>
      <c r="Q85" s="31">
        <f t="shared" si="9"/>
        <v>15.722525750000001</v>
      </c>
      <c r="R85" s="32">
        <v>19.253958999999998</v>
      </c>
      <c r="S85" s="32">
        <v>17.238206999999999</v>
      </c>
      <c r="T85" s="32">
        <v>20.49737</v>
      </c>
      <c r="U85" s="33">
        <v>5.9005669999999997</v>
      </c>
      <c r="V85" s="31">
        <f t="shared" si="10"/>
        <v>45.463976500000001</v>
      </c>
      <c r="W85" s="32">
        <v>29.802809</v>
      </c>
      <c r="X85" s="32">
        <v>50.777069999999988</v>
      </c>
      <c r="Y85" s="32">
        <v>60.676051000000001</v>
      </c>
      <c r="Z85" s="33">
        <v>40.599976000000012</v>
      </c>
      <c r="AA85" s="31">
        <f t="shared" si="11"/>
        <v>9.5144900000000003</v>
      </c>
      <c r="AB85" s="32">
        <v>12.551828</v>
      </c>
      <c r="AC85" s="33">
        <v>6.4771520000000002</v>
      </c>
      <c r="AD85" s="31">
        <f t="shared" si="12"/>
        <v>7.8953349999999993</v>
      </c>
      <c r="AE85" s="32">
        <v>2.6288800000000001</v>
      </c>
      <c r="AF85" s="32">
        <v>3.1050789999999999</v>
      </c>
      <c r="AG85" s="32">
        <v>12.973185000000001</v>
      </c>
      <c r="AH85" s="33">
        <v>12.874196</v>
      </c>
      <c r="AI85" s="31">
        <f t="shared" si="13"/>
        <v>11.725300000000001</v>
      </c>
      <c r="AJ85" s="32">
        <v>6.6999999999999993</v>
      </c>
      <c r="AK85" s="32">
        <v>13.121400000000021</v>
      </c>
      <c r="AL85" s="32">
        <v>17.679800000000011</v>
      </c>
      <c r="AM85" s="34">
        <v>9.3999999999999808</v>
      </c>
    </row>
    <row r="86" spans="1:39" x14ac:dyDescent="0.3">
      <c r="A86" s="24" t="s">
        <v>183</v>
      </c>
      <c r="B86" s="25" t="s">
        <v>35</v>
      </c>
      <c r="C86" s="25" t="s">
        <v>36</v>
      </c>
      <c r="D86" s="25" t="s">
        <v>110</v>
      </c>
      <c r="E86" s="26" t="s">
        <v>185</v>
      </c>
      <c r="F86" s="27">
        <v>64</v>
      </c>
      <c r="G86" s="28">
        <f t="shared" si="7"/>
        <v>156</v>
      </c>
      <c r="H86" s="29">
        <v>176</v>
      </c>
      <c r="I86" s="29">
        <v>159</v>
      </c>
      <c r="J86" s="29">
        <v>149</v>
      </c>
      <c r="K86" s="30">
        <v>140</v>
      </c>
      <c r="L86" s="31">
        <f t="shared" si="8"/>
        <v>126.63355449999999</v>
      </c>
      <c r="M86" s="32">
        <v>119.19853500000001</v>
      </c>
      <c r="N86" s="32">
        <v>139.77499399999999</v>
      </c>
      <c r="O86" s="32">
        <v>126.66151000000001</v>
      </c>
      <c r="P86" s="33">
        <v>104.235153</v>
      </c>
      <c r="Q86" s="31">
        <f t="shared" si="9"/>
        <v>59.359619250000002</v>
      </c>
      <c r="R86" s="32">
        <v>59.873925000000007</v>
      </c>
      <c r="S86" s="32">
        <v>81.257825999999994</v>
      </c>
      <c r="T86" s="32">
        <v>52.683709999999998</v>
      </c>
      <c r="U86" s="33">
        <v>43.623016</v>
      </c>
      <c r="V86" s="31">
        <f t="shared" si="10"/>
        <v>37.167682249999999</v>
      </c>
      <c r="W86" s="32">
        <v>24.613250000000001</v>
      </c>
      <c r="X86" s="32">
        <v>33.105699999999999</v>
      </c>
      <c r="Y86" s="32">
        <v>50.455950000000001</v>
      </c>
      <c r="Z86" s="33">
        <v>40.495829000000001</v>
      </c>
      <c r="AA86" s="31">
        <f t="shared" si="11"/>
        <v>8.3320129999999999</v>
      </c>
      <c r="AB86" s="32">
        <v>9.7993970000000008</v>
      </c>
      <c r="AC86" s="33">
        <v>6.8646289999999999</v>
      </c>
      <c r="AD86" s="31">
        <f t="shared" si="12"/>
        <v>7.0536050000000001</v>
      </c>
      <c r="AE86" s="32">
        <v>4.747363</v>
      </c>
      <c r="AF86" s="32">
        <v>5.2898490000000002</v>
      </c>
      <c r="AG86" s="32">
        <v>7.7490600000000001</v>
      </c>
      <c r="AH86" s="33">
        <v>10.428148</v>
      </c>
      <c r="AI86" s="31">
        <f t="shared" si="13"/>
        <v>14.720634999999982</v>
      </c>
      <c r="AJ86" s="32">
        <v>20.164599999999989</v>
      </c>
      <c r="AK86" s="32">
        <v>13.25698999999997</v>
      </c>
      <c r="AL86" s="32">
        <v>15.77278999999997</v>
      </c>
      <c r="AM86" s="34">
        <v>9.6881599999999963</v>
      </c>
    </row>
    <row r="87" spans="1:39" x14ac:dyDescent="0.3">
      <c r="A87" s="24" t="s">
        <v>183</v>
      </c>
      <c r="B87" s="25" t="s">
        <v>35</v>
      </c>
      <c r="C87" s="25" t="s">
        <v>36</v>
      </c>
      <c r="D87" s="25" t="s">
        <v>106</v>
      </c>
      <c r="E87" s="26" t="s">
        <v>186</v>
      </c>
      <c r="F87" s="27">
        <v>9</v>
      </c>
      <c r="G87" s="28">
        <f t="shared" si="7"/>
        <v>4</v>
      </c>
      <c r="H87" s="29">
        <v>3</v>
      </c>
      <c r="I87" s="29">
        <v>4</v>
      </c>
      <c r="J87" s="29">
        <v>5</v>
      </c>
      <c r="K87" s="30">
        <v>4</v>
      </c>
      <c r="L87" s="31">
        <f t="shared" si="8"/>
        <v>2.4457800000000001</v>
      </c>
      <c r="M87" s="32">
        <v>2.4600399999999998</v>
      </c>
      <c r="N87" s="32">
        <v>2.4210799999999999</v>
      </c>
      <c r="O87" s="32">
        <v>2.7618</v>
      </c>
      <c r="P87" s="33">
        <v>2.1402000000000001</v>
      </c>
      <c r="Q87" s="31">
        <f t="shared" si="9"/>
        <v>2.1957800000000001</v>
      </c>
      <c r="R87" s="32">
        <v>2.4600399999999998</v>
      </c>
      <c r="S87" s="32">
        <v>2.4210799999999999</v>
      </c>
      <c r="T87" s="32">
        <v>2.7618</v>
      </c>
      <c r="U87" s="33">
        <v>1.1402000000000001</v>
      </c>
      <c r="V87" s="31">
        <f t="shared" si="10"/>
        <v>0</v>
      </c>
      <c r="W87" s="32">
        <v>0</v>
      </c>
      <c r="X87" s="32">
        <v>0</v>
      </c>
      <c r="Y87" s="32">
        <v>0</v>
      </c>
      <c r="Z87" s="33">
        <v>0</v>
      </c>
      <c r="AA87" s="31">
        <f t="shared" si="11"/>
        <v>0</v>
      </c>
      <c r="AB87" s="32">
        <v>0</v>
      </c>
      <c r="AC87" s="33">
        <v>0</v>
      </c>
      <c r="AD87" s="31">
        <f t="shared" si="12"/>
        <v>0</v>
      </c>
      <c r="AE87" s="32">
        <v>0</v>
      </c>
      <c r="AF87" s="32">
        <v>0</v>
      </c>
      <c r="AG87" s="32">
        <v>0</v>
      </c>
      <c r="AH87" s="33">
        <v>0</v>
      </c>
      <c r="AI87" s="31">
        <f t="shared" si="13"/>
        <v>0.25</v>
      </c>
      <c r="AJ87" s="32">
        <v>0</v>
      </c>
      <c r="AK87" s="32">
        <v>0</v>
      </c>
      <c r="AL87" s="32">
        <v>0</v>
      </c>
      <c r="AM87" s="34">
        <v>1</v>
      </c>
    </row>
    <row r="88" spans="1:39" x14ac:dyDescent="0.3">
      <c r="A88" s="24" t="s">
        <v>183</v>
      </c>
      <c r="B88" s="25" t="s">
        <v>35</v>
      </c>
      <c r="C88" s="25" t="s">
        <v>36</v>
      </c>
      <c r="D88" s="25" t="s">
        <v>106</v>
      </c>
      <c r="E88" s="26" t="s">
        <v>187</v>
      </c>
      <c r="F88" s="27">
        <v>24</v>
      </c>
      <c r="G88" s="28">
        <f t="shared" si="7"/>
        <v>5.5</v>
      </c>
      <c r="H88" s="29">
        <v>6</v>
      </c>
      <c r="I88" s="29">
        <v>7</v>
      </c>
      <c r="J88" s="29">
        <v>4</v>
      </c>
      <c r="K88" s="30">
        <v>5</v>
      </c>
      <c r="L88" s="31">
        <f t="shared" si="8"/>
        <v>2.4551077500000003</v>
      </c>
      <c r="M88" s="32">
        <v>2.7148099999999999</v>
      </c>
      <c r="N88" s="32">
        <v>4.8299789999999998</v>
      </c>
      <c r="O88" s="32">
        <v>1.3325929999999999</v>
      </c>
      <c r="P88" s="33">
        <v>0.56346600000000002</v>
      </c>
      <c r="Q88" s="31">
        <f t="shared" si="9"/>
        <v>0.92410649999999994</v>
      </c>
      <c r="R88" s="32">
        <v>2.2256339999999999</v>
      </c>
      <c r="S88" s="32">
        <v>1.201392</v>
      </c>
      <c r="T88" s="32">
        <v>0</v>
      </c>
      <c r="U88" s="33">
        <v>0.26939999999999997</v>
      </c>
      <c r="V88" s="31">
        <f t="shared" si="10"/>
        <v>1.2027399999999999</v>
      </c>
      <c r="W88" s="32">
        <v>0.42292000000000002</v>
      </c>
      <c r="X88" s="32">
        <v>3.2420900000000001</v>
      </c>
      <c r="Y88" s="32">
        <v>1.14595</v>
      </c>
      <c r="Z88" s="33">
        <v>0</v>
      </c>
      <c r="AA88" s="31">
        <f t="shared" si="11"/>
        <v>0.1897915</v>
      </c>
      <c r="AB88" s="32">
        <v>6.6255999999999995E-2</v>
      </c>
      <c r="AC88" s="33">
        <v>0.31332700000000002</v>
      </c>
      <c r="AD88" s="31">
        <f t="shared" si="12"/>
        <v>0.13846975</v>
      </c>
      <c r="AE88" s="32">
        <v>0</v>
      </c>
      <c r="AF88" s="32">
        <v>7.3169999999999999E-2</v>
      </c>
      <c r="AG88" s="32">
        <v>0.186643</v>
      </c>
      <c r="AH88" s="33">
        <v>0.29406599999999999</v>
      </c>
      <c r="AI88" s="31">
        <f t="shared" si="13"/>
        <v>1.0408340855860843E-17</v>
      </c>
      <c r="AJ88" s="32">
        <v>4.163336342344337E-17</v>
      </c>
      <c r="AK88" s="32">
        <v>0</v>
      </c>
      <c r="AL88" s="32">
        <v>0</v>
      </c>
      <c r="AM88" s="34">
        <v>0</v>
      </c>
    </row>
    <row r="89" spans="1:39" x14ac:dyDescent="0.3">
      <c r="A89" s="24" t="s">
        <v>183</v>
      </c>
      <c r="B89" s="25" t="s">
        <v>35</v>
      </c>
      <c r="C89" s="25" t="s">
        <v>36</v>
      </c>
      <c r="D89" s="25" t="s">
        <v>106</v>
      </c>
      <c r="E89" s="26" t="s">
        <v>188</v>
      </c>
      <c r="F89" s="27">
        <v>5</v>
      </c>
      <c r="G89" s="28">
        <f t="shared" si="7"/>
        <v>0</v>
      </c>
      <c r="H89" s="29">
        <v>0</v>
      </c>
      <c r="I89" s="29">
        <v>0</v>
      </c>
      <c r="J89" s="29">
        <v>0</v>
      </c>
      <c r="K89" s="30">
        <v>0</v>
      </c>
      <c r="L89" s="31">
        <f t="shared" si="8"/>
        <v>0</v>
      </c>
      <c r="M89" s="32">
        <v>0</v>
      </c>
      <c r="N89" s="32">
        <v>0</v>
      </c>
      <c r="O89" s="32">
        <v>0</v>
      </c>
      <c r="P89" s="33">
        <v>0</v>
      </c>
      <c r="Q89" s="31">
        <f t="shared" si="9"/>
        <v>0</v>
      </c>
      <c r="R89" s="32">
        <v>0</v>
      </c>
      <c r="S89" s="32">
        <v>0</v>
      </c>
      <c r="T89" s="32">
        <v>0</v>
      </c>
      <c r="U89" s="33">
        <v>0</v>
      </c>
      <c r="V89" s="31">
        <f t="shared" si="10"/>
        <v>0</v>
      </c>
      <c r="W89" s="32">
        <v>0</v>
      </c>
      <c r="X89" s="32">
        <v>0</v>
      </c>
      <c r="Y89" s="32">
        <v>0</v>
      </c>
      <c r="Z89" s="33">
        <v>0</v>
      </c>
      <c r="AA89" s="31">
        <f t="shared" si="11"/>
        <v>0</v>
      </c>
      <c r="AB89" s="32">
        <v>0</v>
      </c>
      <c r="AC89" s="33">
        <v>0</v>
      </c>
      <c r="AD89" s="31">
        <f t="shared" si="12"/>
        <v>0</v>
      </c>
      <c r="AE89" s="32">
        <v>0</v>
      </c>
      <c r="AF89" s="32">
        <v>0</v>
      </c>
      <c r="AG89" s="32">
        <v>0</v>
      </c>
      <c r="AH89" s="33">
        <v>0</v>
      </c>
      <c r="AI89" s="31">
        <f t="shared" si="13"/>
        <v>0</v>
      </c>
      <c r="AJ89" s="32">
        <v>0</v>
      </c>
      <c r="AK89" s="32">
        <v>0</v>
      </c>
      <c r="AL89" s="32">
        <v>0</v>
      </c>
      <c r="AM89" s="34">
        <v>0</v>
      </c>
    </row>
    <row r="90" spans="1:39" x14ac:dyDescent="0.3">
      <c r="A90" s="24" t="s">
        <v>183</v>
      </c>
      <c r="B90" s="25" t="s">
        <v>9</v>
      </c>
      <c r="C90" s="25" t="s">
        <v>10</v>
      </c>
      <c r="D90" s="25" t="s">
        <v>110</v>
      </c>
      <c r="E90" s="26" t="s">
        <v>174</v>
      </c>
      <c r="F90" s="27">
        <v>89</v>
      </c>
      <c r="G90" s="28">
        <f t="shared" si="7"/>
        <v>185.5</v>
      </c>
      <c r="H90" s="29">
        <v>183</v>
      </c>
      <c r="I90" s="29">
        <v>218</v>
      </c>
      <c r="J90" s="29">
        <v>162</v>
      </c>
      <c r="K90" s="30">
        <v>179</v>
      </c>
      <c r="L90" s="31">
        <f t="shared" si="8"/>
        <v>84.643559499999995</v>
      </c>
      <c r="M90" s="32">
        <v>84.522800999999987</v>
      </c>
      <c r="N90" s="32">
        <v>93.385704999999987</v>
      </c>
      <c r="O90" s="32">
        <v>82.947233000000011</v>
      </c>
      <c r="P90" s="33">
        <v>63.960973999999993</v>
      </c>
      <c r="Q90" s="31">
        <f t="shared" si="9"/>
        <v>24.21660825</v>
      </c>
      <c r="R90" s="32">
        <v>21.629532000000001</v>
      </c>
      <c r="S90" s="32">
        <v>27.749907</v>
      </c>
      <c r="T90" s="32">
        <v>29.908577000000001</v>
      </c>
      <c r="U90" s="33">
        <v>17.578417000000002</v>
      </c>
      <c r="V90" s="31">
        <f t="shared" si="10"/>
        <v>27.235631250000004</v>
      </c>
      <c r="W90" s="32">
        <v>20.070204</v>
      </c>
      <c r="X90" s="32">
        <v>40.394912000000012</v>
      </c>
      <c r="Y90" s="32">
        <v>26.776419000000001</v>
      </c>
      <c r="Z90" s="33">
        <v>21.700990000000001</v>
      </c>
      <c r="AA90" s="31">
        <f t="shared" si="11"/>
        <v>6.8787625000000006</v>
      </c>
      <c r="AB90" s="32">
        <v>8.3851380000000013</v>
      </c>
      <c r="AC90" s="33">
        <v>5.3723869999999998</v>
      </c>
      <c r="AD90" s="31">
        <f t="shared" si="12"/>
        <v>6.9884825000000008</v>
      </c>
      <c r="AE90" s="32">
        <v>4.1116270000000004</v>
      </c>
      <c r="AF90" s="32">
        <v>6.2384990000000018</v>
      </c>
      <c r="AG90" s="32">
        <v>7.3122369999999997</v>
      </c>
      <c r="AH90" s="33">
        <v>10.291567000000001</v>
      </c>
      <c r="AI90" s="31">
        <f t="shared" si="13"/>
        <v>19.324074999999997</v>
      </c>
      <c r="AJ90" s="32">
        <v>30.326299999999989</v>
      </c>
      <c r="AK90" s="32">
        <v>13.62999999999999</v>
      </c>
      <c r="AL90" s="32">
        <v>18.950000000000021</v>
      </c>
      <c r="AM90" s="34">
        <v>14.38999999999999</v>
      </c>
    </row>
    <row r="91" spans="1:39" x14ac:dyDescent="0.3">
      <c r="A91" s="24" t="s">
        <v>183</v>
      </c>
      <c r="B91" s="25" t="s">
        <v>9</v>
      </c>
      <c r="C91" s="25" t="s">
        <v>10</v>
      </c>
      <c r="D91" s="25" t="s">
        <v>106</v>
      </c>
      <c r="E91" s="26" t="s">
        <v>189</v>
      </c>
      <c r="F91" s="27">
        <v>10</v>
      </c>
      <c r="G91" s="28">
        <f t="shared" si="7"/>
        <v>1</v>
      </c>
      <c r="H91" s="29">
        <v>0</v>
      </c>
      <c r="I91" s="29">
        <v>0</v>
      </c>
      <c r="J91" s="29">
        <v>0</v>
      </c>
      <c r="K91" s="30">
        <v>4</v>
      </c>
      <c r="L91" s="31">
        <f t="shared" si="8"/>
        <v>0.81564100000000006</v>
      </c>
      <c r="M91" s="32">
        <v>0</v>
      </c>
      <c r="N91" s="32">
        <v>0</v>
      </c>
      <c r="O91" s="32">
        <v>0</v>
      </c>
      <c r="P91" s="33">
        <v>3.2625639999999998</v>
      </c>
      <c r="Q91" s="31">
        <f t="shared" si="9"/>
        <v>0</v>
      </c>
      <c r="R91" s="32">
        <v>0</v>
      </c>
      <c r="S91" s="32">
        <v>0</v>
      </c>
      <c r="T91" s="32">
        <v>0</v>
      </c>
      <c r="U91" s="33">
        <v>0</v>
      </c>
      <c r="V91" s="31">
        <f t="shared" si="10"/>
        <v>0</v>
      </c>
      <c r="W91" s="32">
        <v>0</v>
      </c>
      <c r="X91" s="32">
        <v>0</v>
      </c>
      <c r="Y91" s="32">
        <v>0</v>
      </c>
      <c r="Z91" s="33">
        <v>0</v>
      </c>
      <c r="AA91" s="31">
        <f t="shared" si="11"/>
        <v>0</v>
      </c>
      <c r="AB91" s="32">
        <v>0</v>
      </c>
      <c r="AC91" s="33">
        <v>0</v>
      </c>
      <c r="AD91" s="31">
        <f t="shared" si="12"/>
        <v>6.5641000000000005E-2</v>
      </c>
      <c r="AE91" s="32">
        <v>0</v>
      </c>
      <c r="AF91" s="32">
        <v>0</v>
      </c>
      <c r="AG91" s="32">
        <v>0</v>
      </c>
      <c r="AH91" s="33">
        <v>0.26256400000000002</v>
      </c>
      <c r="AI91" s="31">
        <f t="shared" si="13"/>
        <v>0.75</v>
      </c>
      <c r="AJ91" s="32">
        <v>0</v>
      </c>
      <c r="AK91" s="32">
        <v>0</v>
      </c>
      <c r="AL91" s="32">
        <v>0</v>
      </c>
      <c r="AM91" s="34">
        <v>3</v>
      </c>
    </row>
    <row r="92" spans="1:39" x14ac:dyDescent="0.3">
      <c r="A92" s="24" t="s">
        <v>183</v>
      </c>
      <c r="B92" s="25" t="s">
        <v>9</v>
      </c>
      <c r="C92" s="25" t="s">
        <v>10</v>
      </c>
      <c r="D92" s="25" t="s">
        <v>106</v>
      </c>
      <c r="E92" s="26" t="s">
        <v>190</v>
      </c>
      <c r="F92" s="27">
        <v>12</v>
      </c>
      <c r="G92" s="28">
        <f t="shared" si="7"/>
        <v>3.5</v>
      </c>
      <c r="H92" s="29">
        <v>4</v>
      </c>
      <c r="I92" s="29">
        <v>6</v>
      </c>
      <c r="J92" s="29">
        <v>1</v>
      </c>
      <c r="K92" s="30">
        <v>3</v>
      </c>
      <c r="L92" s="31">
        <f t="shared" si="8"/>
        <v>1.5065592500000002</v>
      </c>
      <c r="M92" s="32">
        <v>1.865011</v>
      </c>
      <c r="N92" s="32">
        <v>2.8295680000000001</v>
      </c>
      <c r="O92" s="32">
        <v>0.13997399999999999</v>
      </c>
      <c r="P92" s="33">
        <v>1.141316</v>
      </c>
      <c r="Q92" s="31">
        <f t="shared" si="9"/>
        <v>1.21376675</v>
      </c>
      <c r="R92" s="32">
        <v>1.502893</v>
      </c>
      <c r="S92" s="32">
        <v>2.3261280000000002</v>
      </c>
      <c r="T92" s="32">
        <v>0</v>
      </c>
      <c r="U92" s="33">
        <v>1.026046</v>
      </c>
      <c r="V92" s="31">
        <f t="shared" si="10"/>
        <v>0.20379750000000002</v>
      </c>
      <c r="W92" s="32">
        <v>0.31175000000000003</v>
      </c>
      <c r="X92" s="32">
        <v>0.50344</v>
      </c>
      <c r="Y92" s="32">
        <v>0</v>
      </c>
      <c r="Z92" s="33">
        <v>0</v>
      </c>
      <c r="AA92" s="31">
        <f t="shared" si="11"/>
        <v>2.5184000000000002E-2</v>
      </c>
      <c r="AB92" s="32">
        <v>5.0368000000000003E-2</v>
      </c>
      <c r="AC92" s="33">
        <v>0</v>
      </c>
      <c r="AD92" s="31">
        <f t="shared" si="12"/>
        <v>6.3810999999999993E-2</v>
      </c>
      <c r="AE92" s="32">
        <v>0</v>
      </c>
      <c r="AF92" s="32">
        <v>0</v>
      </c>
      <c r="AG92" s="32">
        <v>0.13997399999999999</v>
      </c>
      <c r="AH92" s="33">
        <v>0.11527</v>
      </c>
      <c r="AI92" s="31">
        <f t="shared" si="13"/>
        <v>8.3266726846886753E-17</v>
      </c>
      <c r="AJ92" s="32">
        <v>0</v>
      </c>
      <c r="AK92" s="32">
        <v>3.3306690738754701E-16</v>
      </c>
      <c r="AL92" s="32">
        <v>0</v>
      </c>
      <c r="AM92" s="34">
        <v>0</v>
      </c>
    </row>
    <row r="93" spans="1:39" x14ac:dyDescent="0.3">
      <c r="A93" s="24" t="s">
        <v>183</v>
      </c>
      <c r="B93" s="25" t="s">
        <v>9</v>
      </c>
      <c r="C93" s="25" t="s">
        <v>10</v>
      </c>
      <c r="D93" s="25" t="s">
        <v>106</v>
      </c>
      <c r="E93" s="26" t="s">
        <v>191</v>
      </c>
      <c r="F93" s="27">
        <v>8</v>
      </c>
      <c r="G93" s="28">
        <f t="shared" si="7"/>
        <v>3.75</v>
      </c>
      <c r="H93" s="29">
        <v>8</v>
      </c>
      <c r="I93" s="29">
        <v>4</v>
      </c>
      <c r="J93" s="29">
        <v>1</v>
      </c>
      <c r="K93" s="30">
        <v>2</v>
      </c>
      <c r="L93" s="31">
        <f t="shared" si="8"/>
        <v>1.8158732500000001</v>
      </c>
      <c r="M93" s="32">
        <v>4.9882229999999996</v>
      </c>
      <c r="N93" s="32">
        <v>1.03447</v>
      </c>
      <c r="O93" s="32">
        <v>0.30935000000000001</v>
      </c>
      <c r="P93" s="33">
        <v>0.93145</v>
      </c>
      <c r="Q93" s="31">
        <f t="shared" si="9"/>
        <v>0.73200200000000004</v>
      </c>
      <c r="R93" s="32">
        <v>1.807928</v>
      </c>
      <c r="S93" s="32">
        <v>0.30602000000000001</v>
      </c>
      <c r="T93" s="32">
        <v>0.30935000000000001</v>
      </c>
      <c r="U93" s="33">
        <v>0.50470999999999999</v>
      </c>
      <c r="V93" s="31">
        <f t="shared" si="10"/>
        <v>0.94567625</v>
      </c>
      <c r="W93" s="32">
        <v>3.1802950000000001</v>
      </c>
      <c r="X93" s="32">
        <v>0.60241</v>
      </c>
      <c r="Y93" s="32">
        <v>0</v>
      </c>
      <c r="Z93" s="33">
        <v>0</v>
      </c>
      <c r="AA93" s="31">
        <f t="shared" si="11"/>
        <v>0</v>
      </c>
      <c r="AB93" s="32">
        <v>0</v>
      </c>
      <c r="AC93" s="33">
        <v>0</v>
      </c>
      <c r="AD93" s="31">
        <f t="shared" si="12"/>
        <v>0.13819500000000001</v>
      </c>
      <c r="AE93" s="32">
        <v>0</v>
      </c>
      <c r="AF93" s="32">
        <v>0.12604000000000001</v>
      </c>
      <c r="AG93" s="32">
        <v>0</v>
      </c>
      <c r="AH93" s="33">
        <v>0.42674000000000001</v>
      </c>
      <c r="AI93" s="31">
        <f t="shared" si="13"/>
        <v>0</v>
      </c>
      <c r="AJ93" s="32">
        <v>0</v>
      </c>
      <c r="AK93" s="32">
        <v>0</v>
      </c>
      <c r="AL93" s="32">
        <v>0</v>
      </c>
      <c r="AM93" s="34">
        <v>0</v>
      </c>
    </row>
    <row r="94" spans="1:39" x14ac:dyDescent="0.3">
      <c r="A94" s="24" t="s">
        <v>183</v>
      </c>
      <c r="B94" s="25" t="s">
        <v>31</v>
      </c>
      <c r="C94" s="25" t="s">
        <v>32</v>
      </c>
      <c r="D94" s="25" t="s">
        <v>106</v>
      </c>
      <c r="E94" s="26" t="s">
        <v>175</v>
      </c>
      <c r="F94" s="27">
        <v>143</v>
      </c>
      <c r="G94" s="28">
        <f t="shared" si="7"/>
        <v>123.5</v>
      </c>
      <c r="H94" s="29">
        <v>81</v>
      </c>
      <c r="I94" s="29">
        <v>149</v>
      </c>
      <c r="J94" s="29">
        <v>133</v>
      </c>
      <c r="K94" s="30">
        <v>131</v>
      </c>
      <c r="L94" s="31">
        <f t="shared" si="8"/>
        <v>88.747218250000003</v>
      </c>
      <c r="M94" s="32">
        <v>51.047607999999997</v>
      </c>
      <c r="N94" s="32">
        <v>103.81398299999999</v>
      </c>
      <c r="O94" s="32">
        <v>100.344678</v>
      </c>
      <c r="P94" s="33">
        <v>91.486334999999997</v>
      </c>
      <c r="Q94" s="31">
        <f t="shared" si="9"/>
        <v>19.5809885</v>
      </c>
      <c r="R94" s="32">
        <v>14.373760000000001</v>
      </c>
      <c r="S94" s="32">
        <v>18.213857999999998</v>
      </c>
      <c r="T94" s="32">
        <v>27.438267</v>
      </c>
      <c r="U94" s="33">
        <v>18.298069000000002</v>
      </c>
      <c r="V94" s="31">
        <f t="shared" si="10"/>
        <v>49.078548000000012</v>
      </c>
      <c r="W94" s="32">
        <v>17.849229999999999</v>
      </c>
      <c r="X94" s="32">
        <v>68.604791000000006</v>
      </c>
      <c r="Y94" s="32">
        <v>55.276380000000003</v>
      </c>
      <c r="Z94" s="33">
        <v>54.583791000000012</v>
      </c>
      <c r="AA94" s="31">
        <f t="shared" si="11"/>
        <v>4.1481345000000003</v>
      </c>
      <c r="AB94" s="32">
        <v>4.9781789999999999</v>
      </c>
      <c r="AC94" s="33">
        <v>3.3180900000000002</v>
      </c>
      <c r="AD94" s="31">
        <f t="shared" si="12"/>
        <v>4.04318475</v>
      </c>
      <c r="AE94" s="32">
        <v>1.1757789999999999</v>
      </c>
      <c r="AF94" s="32">
        <v>1.941014</v>
      </c>
      <c r="AG94" s="32">
        <v>5.2366609999999998</v>
      </c>
      <c r="AH94" s="33">
        <v>7.8192849999999998</v>
      </c>
      <c r="AI94" s="31">
        <f t="shared" si="13"/>
        <v>11.896362499999992</v>
      </c>
      <c r="AJ94" s="32">
        <v>12.670659999999989</v>
      </c>
      <c r="AK94" s="32">
        <v>11.736229999999971</v>
      </c>
      <c r="AL94" s="32">
        <v>12.39337000000002</v>
      </c>
      <c r="AM94" s="34">
        <v>10.785189999999989</v>
      </c>
    </row>
    <row r="95" spans="1:39" x14ac:dyDescent="0.3">
      <c r="A95" s="24" t="s">
        <v>183</v>
      </c>
      <c r="B95" s="25" t="s">
        <v>31</v>
      </c>
      <c r="C95" s="25" t="s">
        <v>32</v>
      </c>
      <c r="D95" s="25" t="s">
        <v>106</v>
      </c>
      <c r="E95" s="26" t="s">
        <v>192</v>
      </c>
      <c r="F95" s="27">
        <v>7</v>
      </c>
      <c r="G95" s="28">
        <f t="shared" si="7"/>
        <v>3.75</v>
      </c>
      <c r="H95" s="29">
        <v>3</v>
      </c>
      <c r="I95" s="29">
        <v>1</v>
      </c>
      <c r="J95" s="29">
        <v>5</v>
      </c>
      <c r="K95" s="30">
        <v>6</v>
      </c>
      <c r="L95" s="31">
        <f t="shared" si="8"/>
        <v>1.6715250000000001</v>
      </c>
      <c r="M95" s="32">
        <v>0.58579300000000001</v>
      </c>
      <c r="N95" s="32">
        <v>0.303587</v>
      </c>
      <c r="O95" s="32">
        <v>2.6288079999999998</v>
      </c>
      <c r="P95" s="33">
        <v>3.1679119999999998</v>
      </c>
      <c r="Q95" s="31">
        <f t="shared" si="9"/>
        <v>1.1871100000000001</v>
      </c>
      <c r="R95" s="32">
        <v>0.39219999999999999</v>
      </c>
      <c r="S95" s="32">
        <v>0</v>
      </c>
      <c r="T95" s="32">
        <v>1.827045</v>
      </c>
      <c r="U95" s="33">
        <v>2.5291950000000001</v>
      </c>
      <c r="V95" s="31">
        <f t="shared" si="10"/>
        <v>0.33262749999999996</v>
      </c>
      <c r="W95" s="32">
        <v>0</v>
      </c>
      <c r="X95" s="32">
        <v>0</v>
      </c>
      <c r="Y95" s="32">
        <v>0.72300299999999995</v>
      </c>
      <c r="Z95" s="33">
        <v>0.60750700000000002</v>
      </c>
      <c r="AA95" s="31">
        <f t="shared" si="11"/>
        <v>0</v>
      </c>
      <c r="AB95" s="32">
        <v>0</v>
      </c>
      <c r="AC95" s="33">
        <v>0</v>
      </c>
      <c r="AD95" s="31">
        <f t="shared" si="12"/>
        <v>0.15178749999999996</v>
      </c>
      <c r="AE95" s="32">
        <v>0.19359299999999999</v>
      </c>
      <c r="AF95" s="32">
        <v>0.303587</v>
      </c>
      <c r="AG95" s="32">
        <v>7.8759999999999997E-2</v>
      </c>
      <c r="AH95" s="33">
        <v>3.1210000000000002E-2</v>
      </c>
      <c r="AI95" s="31">
        <f t="shared" si="13"/>
        <v>4.5102810375396972E-17</v>
      </c>
      <c r="AJ95" s="32">
        <v>0</v>
      </c>
      <c r="AK95" s="32">
        <v>0</v>
      </c>
      <c r="AL95" s="32">
        <v>0</v>
      </c>
      <c r="AM95" s="34">
        <v>1.8041124150158789E-16</v>
      </c>
    </row>
    <row r="96" spans="1:39" x14ac:dyDescent="0.3">
      <c r="A96" s="24" t="s">
        <v>183</v>
      </c>
      <c r="B96" s="25" t="s">
        <v>31</v>
      </c>
      <c r="C96" s="25" t="s">
        <v>32</v>
      </c>
      <c r="D96" s="25" t="s">
        <v>106</v>
      </c>
      <c r="E96" s="26" t="s">
        <v>193</v>
      </c>
      <c r="F96" s="27">
        <v>14</v>
      </c>
      <c r="G96" s="28">
        <f t="shared" si="7"/>
        <v>0.5</v>
      </c>
      <c r="H96" s="29">
        <v>1</v>
      </c>
      <c r="I96" s="29">
        <v>0</v>
      </c>
      <c r="J96" s="29">
        <v>0</v>
      </c>
      <c r="K96" s="30">
        <v>1</v>
      </c>
      <c r="L96" s="31">
        <f t="shared" si="8"/>
        <v>4.4867749999999998E-2</v>
      </c>
      <c r="M96" s="32">
        <v>6.1463999999999998E-2</v>
      </c>
      <c r="N96" s="32">
        <v>0</v>
      </c>
      <c r="O96" s="32">
        <v>0</v>
      </c>
      <c r="P96" s="33">
        <v>5.6543000000000003E-2</v>
      </c>
      <c r="Q96" s="31">
        <f t="shared" si="9"/>
        <v>0</v>
      </c>
      <c r="R96" s="32">
        <v>0</v>
      </c>
      <c r="S96" s="32">
        <v>0</v>
      </c>
      <c r="T96" s="32">
        <v>0</v>
      </c>
      <c r="U96" s="33">
        <v>0</v>
      </c>
      <c r="V96" s="31">
        <f t="shared" si="10"/>
        <v>0</v>
      </c>
      <c r="W96" s="32">
        <v>0</v>
      </c>
      <c r="X96" s="32">
        <v>0</v>
      </c>
      <c r="Y96" s="32">
        <v>0</v>
      </c>
      <c r="Z96" s="33">
        <v>0</v>
      </c>
      <c r="AA96" s="31">
        <f t="shared" si="11"/>
        <v>3.0731999999999999E-2</v>
      </c>
      <c r="AB96" s="32">
        <v>6.1463999999999998E-2</v>
      </c>
      <c r="AC96" s="33">
        <v>0</v>
      </c>
      <c r="AD96" s="31">
        <f t="shared" si="12"/>
        <v>1.4135750000000001E-2</v>
      </c>
      <c r="AE96" s="32">
        <v>0</v>
      </c>
      <c r="AF96" s="32">
        <v>0</v>
      </c>
      <c r="AG96" s="32">
        <v>0</v>
      </c>
      <c r="AH96" s="33">
        <v>5.6543000000000003E-2</v>
      </c>
      <c r="AI96" s="31">
        <f t="shared" si="13"/>
        <v>0</v>
      </c>
      <c r="AJ96" s="32">
        <v>0</v>
      </c>
      <c r="AK96" s="32">
        <v>0</v>
      </c>
      <c r="AL96" s="32">
        <v>0</v>
      </c>
      <c r="AM96" s="34">
        <v>0</v>
      </c>
    </row>
    <row r="97" spans="1:39" x14ac:dyDescent="0.3">
      <c r="A97" s="24" t="s">
        <v>183</v>
      </c>
      <c r="B97" s="25" t="s">
        <v>31</v>
      </c>
      <c r="C97" s="25" t="s">
        <v>32</v>
      </c>
      <c r="D97" s="25" t="s">
        <v>106</v>
      </c>
      <c r="E97" s="26" t="s">
        <v>176</v>
      </c>
      <c r="F97" s="27">
        <v>43</v>
      </c>
      <c r="G97" s="28">
        <f t="shared" si="7"/>
        <v>12.5</v>
      </c>
      <c r="H97" s="29">
        <v>11</v>
      </c>
      <c r="I97" s="29">
        <v>9</v>
      </c>
      <c r="J97" s="29">
        <v>11</v>
      </c>
      <c r="K97" s="30">
        <v>19</v>
      </c>
      <c r="L97" s="31">
        <f t="shared" si="8"/>
        <v>7.9545619999999992</v>
      </c>
      <c r="M97" s="32">
        <v>3.7479939999999989</v>
      </c>
      <c r="N97" s="32">
        <v>5.3276269999999997</v>
      </c>
      <c r="O97" s="32">
        <v>8.1511309999999995</v>
      </c>
      <c r="P97" s="33">
        <v>12.927406</v>
      </c>
      <c r="Q97" s="31">
        <f t="shared" si="9"/>
        <v>5.5985434999999999</v>
      </c>
      <c r="R97" s="32">
        <v>1.507692</v>
      </c>
      <c r="S97" s="32">
        <v>4.227379</v>
      </c>
      <c r="T97" s="32">
        <v>7.342363999999999</v>
      </c>
      <c r="U97" s="33">
        <v>9.3167390000000001</v>
      </c>
      <c r="V97" s="31">
        <f t="shared" si="10"/>
        <v>0.72337499999999999</v>
      </c>
      <c r="W97" s="32">
        <v>0.30840000000000001</v>
      </c>
      <c r="X97" s="32">
        <v>0.24739</v>
      </c>
      <c r="Y97" s="32">
        <v>0</v>
      </c>
      <c r="Z97" s="33">
        <v>2.33771</v>
      </c>
      <c r="AA97" s="31">
        <f t="shared" si="11"/>
        <v>0.83204500000000003</v>
      </c>
      <c r="AB97" s="32">
        <v>1.4559070000000001</v>
      </c>
      <c r="AC97" s="33">
        <v>0.20818300000000001</v>
      </c>
      <c r="AD97" s="31">
        <f t="shared" si="12"/>
        <v>0.72316849999999999</v>
      </c>
      <c r="AE97" s="32">
        <v>0.16627500000000001</v>
      </c>
      <c r="AF97" s="32">
        <v>0.64467500000000011</v>
      </c>
      <c r="AG97" s="32">
        <v>0.80876700000000001</v>
      </c>
      <c r="AH97" s="33">
        <v>1.2729569999999999</v>
      </c>
      <c r="AI97" s="31">
        <f t="shared" si="13"/>
        <v>7.7429999999999818E-2</v>
      </c>
      <c r="AJ97" s="32">
        <v>0.30971999999999927</v>
      </c>
      <c r="AK97" s="32">
        <v>0</v>
      </c>
      <c r="AL97" s="32">
        <v>0</v>
      </c>
      <c r="AM97" s="34">
        <v>0</v>
      </c>
    </row>
    <row r="98" spans="1:39" x14ac:dyDescent="0.3">
      <c r="A98" s="24" t="s">
        <v>183</v>
      </c>
      <c r="B98" s="25" t="s">
        <v>31</v>
      </c>
      <c r="C98" s="25" t="s">
        <v>32</v>
      </c>
      <c r="D98" s="25" t="s">
        <v>106</v>
      </c>
      <c r="E98" s="26" t="s">
        <v>194</v>
      </c>
      <c r="F98" s="27">
        <v>39</v>
      </c>
      <c r="G98" s="28">
        <f t="shared" si="7"/>
        <v>10.5</v>
      </c>
      <c r="H98" s="29">
        <v>5</v>
      </c>
      <c r="I98" s="29">
        <v>9</v>
      </c>
      <c r="J98" s="29">
        <v>7</v>
      </c>
      <c r="K98" s="30">
        <v>21</v>
      </c>
      <c r="L98" s="31">
        <f t="shared" si="8"/>
        <v>5.7380719999999998</v>
      </c>
      <c r="M98" s="32">
        <v>2.0613290000000002</v>
      </c>
      <c r="N98" s="32">
        <v>2.7946460000000002</v>
      </c>
      <c r="O98" s="32">
        <v>7.1773669999999994</v>
      </c>
      <c r="P98" s="33">
        <v>9.5993780000000015</v>
      </c>
      <c r="Q98" s="31">
        <f t="shared" si="9"/>
        <v>2.234648</v>
      </c>
      <c r="R98" s="32">
        <v>1.8188219999999999</v>
      </c>
      <c r="S98" s="32">
        <v>1.6024369999999999</v>
      </c>
      <c r="T98" s="32">
        <v>2.0050810000000001</v>
      </c>
      <c r="U98" s="33">
        <v>3.5122520000000002</v>
      </c>
      <c r="V98" s="31">
        <f t="shared" si="10"/>
        <v>2.4651695</v>
      </c>
      <c r="W98" s="32">
        <v>0</v>
      </c>
      <c r="X98" s="32">
        <v>0</v>
      </c>
      <c r="Y98" s="32">
        <v>4.6467179999999999</v>
      </c>
      <c r="Z98" s="33">
        <v>5.2139600000000002</v>
      </c>
      <c r="AA98" s="31">
        <f t="shared" si="11"/>
        <v>0.65978400000000004</v>
      </c>
      <c r="AB98" s="32">
        <v>0.242507</v>
      </c>
      <c r="AC98" s="33">
        <v>1.077061</v>
      </c>
      <c r="AD98" s="31">
        <f t="shared" si="12"/>
        <v>0.37847050000000004</v>
      </c>
      <c r="AE98" s="32">
        <v>0</v>
      </c>
      <c r="AF98" s="32">
        <v>0.115148</v>
      </c>
      <c r="AG98" s="32">
        <v>0.52556800000000004</v>
      </c>
      <c r="AH98" s="33">
        <v>0.873166</v>
      </c>
      <c r="AI98" s="31">
        <f t="shared" si="13"/>
        <v>3.05311331771918E-16</v>
      </c>
      <c r="AJ98" s="32">
        <v>0</v>
      </c>
      <c r="AK98" s="32">
        <v>0</v>
      </c>
      <c r="AL98" s="32">
        <v>0</v>
      </c>
      <c r="AM98" s="34">
        <v>1.221245327087672E-15</v>
      </c>
    </row>
    <row r="99" spans="1:39" x14ac:dyDescent="0.3">
      <c r="A99" s="24" t="s">
        <v>183</v>
      </c>
      <c r="B99" s="25" t="s">
        <v>31</v>
      </c>
      <c r="C99" s="25" t="s">
        <v>32</v>
      </c>
      <c r="D99" s="25" t="s">
        <v>106</v>
      </c>
      <c r="E99" s="26" t="s">
        <v>177</v>
      </c>
      <c r="F99" s="27">
        <v>33</v>
      </c>
      <c r="G99" s="28">
        <f t="shared" si="7"/>
        <v>39</v>
      </c>
      <c r="H99" s="29">
        <v>43</v>
      </c>
      <c r="I99" s="29">
        <v>37</v>
      </c>
      <c r="J99" s="29">
        <v>32</v>
      </c>
      <c r="K99" s="30">
        <v>44</v>
      </c>
      <c r="L99" s="31">
        <f t="shared" si="8"/>
        <v>14.502775999999999</v>
      </c>
      <c r="M99" s="32">
        <v>14.053615000000001</v>
      </c>
      <c r="N99" s="32">
        <v>11.880912</v>
      </c>
      <c r="O99" s="32">
        <v>10.270063</v>
      </c>
      <c r="P99" s="33">
        <v>15.409844</v>
      </c>
      <c r="Q99" s="31">
        <f t="shared" si="9"/>
        <v>1.691754</v>
      </c>
      <c r="R99" s="32">
        <v>2.69841</v>
      </c>
      <c r="S99" s="32">
        <v>0.59199999999999997</v>
      </c>
      <c r="T99" s="32">
        <v>1.847145</v>
      </c>
      <c r="U99" s="33">
        <v>1.629461</v>
      </c>
      <c r="V99" s="31">
        <f t="shared" si="10"/>
        <v>2.9422999999999999</v>
      </c>
      <c r="W99" s="32">
        <v>4.1920299999999999</v>
      </c>
      <c r="X99" s="32">
        <v>5.0316599999999996</v>
      </c>
      <c r="Y99" s="32">
        <v>2.1345100000000001</v>
      </c>
      <c r="Z99" s="33">
        <v>0.41099999999999998</v>
      </c>
      <c r="AA99" s="31">
        <f t="shared" si="11"/>
        <v>3.1983350000000002</v>
      </c>
      <c r="AB99" s="32">
        <v>3.4288780000000001</v>
      </c>
      <c r="AC99" s="33">
        <v>2.9677920000000002</v>
      </c>
      <c r="AD99" s="31">
        <f t="shared" si="12"/>
        <v>3.1453870000000004</v>
      </c>
      <c r="AE99" s="32">
        <v>1.8342970000000001</v>
      </c>
      <c r="AF99" s="32">
        <v>0.98946000000000001</v>
      </c>
      <c r="AG99" s="32">
        <v>4.7884080000000004</v>
      </c>
      <c r="AH99" s="33">
        <v>4.9693830000000014</v>
      </c>
      <c r="AI99" s="31">
        <f t="shared" si="13"/>
        <v>3.5249999999999986</v>
      </c>
      <c r="AJ99" s="32">
        <v>1.8999999999999979</v>
      </c>
      <c r="AK99" s="32">
        <v>2.2999999999999972</v>
      </c>
      <c r="AL99" s="32">
        <v>1.5</v>
      </c>
      <c r="AM99" s="34">
        <v>8.4</v>
      </c>
    </row>
    <row r="100" spans="1:39" x14ac:dyDescent="0.3">
      <c r="A100" s="24" t="s">
        <v>183</v>
      </c>
      <c r="B100" s="25" t="s">
        <v>40</v>
      </c>
      <c r="C100" s="25" t="s">
        <v>40</v>
      </c>
      <c r="D100" s="25" t="s">
        <v>110</v>
      </c>
      <c r="E100" s="26" t="s">
        <v>195</v>
      </c>
      <c r="F100" s="27">
        <v>45</v>
      </c>
      <c r="G100" s="28">
        <f t="shared" si="7"/>
        <v>11</v>
      </c>
      <c r="H100" s="29">
        <v>14</v>
      </c>
      <c r="I100" s="29">
        <v>10</v>
      </c>
      <c r="J100" s="29">
        <v>11</v>
      </c>
      <c r="K100" s="30">
        <v>9</v>
      </c>
      <c r="L100" s="31">
        <f t="shared" si="8"/>
        <v>5.32643925</v>
      </c>
      <c r="M100" s="32">
        <v>4.4280989999999996</v>
      </c>
      <c r="N100" s="32">
        <v>4.3573490000000001</v>
      </c>
      <c r="O100" s="32">
        <v>5.7519899999999993</v>
      </c>
      <c r="P100" s="33">
        <v>6.4401809999999999</v>
      </c>
      <c r="Q100" s="31">
        <f t="shared" si="9"/>
        <v>2.5259217500000002</v>
      </c>
      <c r="R100" s="32">
        <v>0.50246999999999997</v>
      </c>
      <c r="S100" s="32">
        <v>0</v>
      </c>
      <c r="T100" s="32">
        <v>3.9972020000000001</v>
      </c>
      <c r="U100" s="33">
        <v>5.6040150000000004</v>
      </c>
      <c r="V100" s="31">
        <f t="shared" si="10"/>
        <v>2.2078699999999998</v>
      </c>
      <c r="W100" s="32">
        <v>3.2349299999999999</v>
      </c>
      <c r="X100" s="32">
        <v>3.8813900000000001</v>
      </c>
      <c r="Y100" s="32">
        <v>1.46492</v>
      </c>
      <c r="Z100" s="33">
        <v>0.25024000000000002</v>
      </c>
      <c r="AA100" s="31">
        <f t="shared" si="11"/>
        <v>0.16406900000000002</v>
      </c>
      <c r="AB100" s="32">
        <v>0.19181500000000001</v>
      </c>
      <c r="AC100" s="33">
        <v>0.136323</v>
      </c>
      <c r="AD100" s="31">
        <f t="shared" si="12"/>
        <v>0.42857849999999997</v>
      </c>
      <c r="AE100" s="32">
        <v>0.49888399999999999</v>
      </c>
      <c r="AF100" s="32">
        <v>0.33963599999999999</v>
      </c>
      <c r="AG100" s="32">
        <v>0.28986800000000001</v>
      </c>
      <c r="AH100" s="33">
        <v>0.58592600000000006</v>
      </c>
      <c r="AI100" s="31">
        <f t="shared" si="13"/>
        <v>0</v>
      </c>
      <c r="AJ100" s="32">
        <v>0</v>
      </c>
      <c r="AK100" s="32">
        <v>0</v>
      </c>
      <c r="AL100" s="32">
        <v>0</v>
      </c>
      <c r="AM100" s="34">
        <v>0</v>
      </c>
    </row>
    <row r="101" spans="1:39" x14ac:dyDescent="0.3">
      <c r="A101" s="24" t="s">
        <v>183</v>
      </c>
      <c r="B101" s="25" t="s">
        <v>40</v>
      </c>
      <c r="C101" s="25" t="s">
        <v>40</v>
      </c>
      <c r="D101" s="25" t="s">
        <v>110</v>
      </c>
      <c r="E101" s="26" t="s">
        <v>196</v>
      </c>
      <c r="F101" s="27">
        <v>101</v>
      </c>
      <c r="G101" s="28">
        <f t="shared" si="7"/>
        <v>114.75</v>
      </c>
      <c r="H101" s="29">
        <v>124</v>
      </c>
      <c r="I101" s="29">
        <v>119</v>
      </c>
      <c r="J101" s="29">
        <v>119</v>
      </c>
      <c r="K101" s="30">
        <v>97</v>
      </c>
      <c r="L101" s="31">
        <f t="shared" si="8"/>
        <v>61.648815499999998</v>
      </c>
      <c r="M101" s="32">
        <v>77.892187000000007</v>
      </c>
      <c r="N101" s="32">
        <v>53.636249000000007</v>
      </c>
      <c r="O101" s="32">
        <v>59.203815999999982</v>
      </c>
      <c r="P101" s="33">
        <v>41.568925999999998</v>
      </c>
      <c r="Q101" s="31">
        <f t="shared" si="9"/>
        <v>21.305007</v>
      </c>
      <c r="R101" s="32">
        <v>32.143780999999997</v>
      </c>
      <c r="S101" s="32">
        <v>13.563807000000001</v>
      </c>
      <c r="T101" s="32">
        <v>27.291907999999999</v>
      </c>
      <c r="U101" s="33">
        <v>12.220532</v>
      </c>
      <c r="V101" s="31">
        <f t="shared" si="10"/>
        <v>22.089057499999999</v>
      </c>
      <c r="W101" s="32">
        <v>28.932814</v>
      </c>
      <c r="X101" s="32">
        <v>25.818187999999999</v>
      </c>
      <c r="Y101" s="32">
        <v>17.236618</v>
      </c>
      <c r="Z101" s="33">
        <v>16.36861</v>
      </c>
      <c r="AA101" s="31">
        <f t="shared" si="11"/>
        <v>7.1470420000000008</v>
      </c>
      <c r="AB101" s="32">
        <v>7.5496180000000006</v>
      </c>
      <c r="AC101" s="33">
        <v>6.7444660000000001</v>
      </c>
      <c r="AD101" s="31">
        <f t="shared" si="12"/>
        <v>6.7563265000000001</v>
      </c>
      <c r="AE101" s="32">
        <v>2.865974</v>
      </c>
      <c r="AF101" s="32">
        <v>3.2597879999999999</v>
      </c>
      <c r="AG101" s="32">
        <v>9.7697600000000016</v>
      </c>
      <c r="AH101" s="33">
        <v>11.129784000000001</v>
      </c>
      <c r="AI101" s="31">
        <f t="shared" si="13"/>
        <v>4.3513825000000006</v>
      </c>
      <c r="AJ101" s="32">
        <v>6.3999999999999977</v>
      </c>
      <c r="AK101" s="32">
        <v>4.2500000000000178</v>
      </c>
      <c r="AL101" s="32">
        <v>4.9055299999999882</v>
      </c>
      <c r="AM101" s="34">
        <v>1.8499999999999981</v>
      </c>
    </row>
    <row r="102" spans="1:39" x14ac:dyDescent="0.3">
      <c r="A102" s="24" t="s">
        <v>183</v>
      </c>
      <c r="B102" s="25" t="s">
        <v>40</v>
      </c>
      <c r="C102" s="25" t="s">
        <v>40</v>
      </c>
      <c r="D102" s="25" t="s">
        <v>110</v>
      </c>
      <c r="E102" s="26" t="s">
        <v>197</v>
      </c>
      <c r="F102" s="27">
        <v>23</v>
      </c>
      <c r="G102" s="28">
        <f t="shared" si="7"/>
        <v>4.25</v>
      </c>
      <c r="H102" s="29">
        <v>2</v>
      </c>
      <c r="I102" s="29">
        <v>1</v>
      </c>
      <c r="J102" s="29">
        <v>7</v>
      </c>
      <c r="K102" s="30">
        <v>7</v>
      </c>
      <c r="L102" s="31">
        <f t="shared" si="8"/>
        <v>1.4377365</v>
      </c>
      <c r="M102" s="32">
        <v>1.244122</v>
      </c>
      <c r="N102" s="32">
        <v>0.496</v>
      </c>
      <c r="O102" s="32">
        <v>2.1147680000000002</v>
      </c>
      <c r="P102" s="33">
        <v>1.785069</v>
      </c>
      <c r="Q102" s="31">
        <f t="shared" si="9"/>
        <v>0.65034800000000004</v>
      </c>
      <c r="R102" s="32">
        <v>1.000075</v>
      </c>
      <c r="S102" s="32">
        <v>0.29599999999999999</v>
      </c>
      <c r="T102" s="32">
        <v>0.80497700000000005</v>
      </c>
      <c r="U102" s="33">
        <v>0.50034000000000001</v>
      </c>
      <c r="V102" s="31">
        <f t="shared" si="10"/>
        <v>0</v>
      </c>
      <c r="W102" s="32">
        <v>0</v>
      </c>
      <c r="X102" s="32">
        <v>0</v>
      </c>
      <c r="Y102" s="32">
        <v>0</v>
      </c>
      <c r="Z102" s="33">
        <v>0</v>
      </c>
      <c r="AA102" s="31">
        <f t="shared" si="11"/>
        <v>5.5493500000000001E-2</v>
      </c>
      <c r="AB102" s="32">
        <v>0.110987</v>
      </c>
      <c r="AC102" s="33">
        <v>0</v>
      </c>
      <c r="AD102" s="31">
        <f t="shared" si="12"/>
        <v>0.68189499999999992</v>
      </c>
      <c r="AE102" s="32">
        <v>0.13306000000000001</v>
      </c>
      <c r="AF102" s="32">
        <v>0</v>
      </c>
      <c r="AG102" s="32">
        <v>1.3097909999999999</v>
      </c>
      <c r="AH102" s="33">
        <v>1.284729</v>
      </c>
      <c r="AI102" s="31">
        <f t="shared" si="13"/>
        <v>0.05</v>
      </c>
      <c r="AJ102" s="32">
        <v>0</v>
      </c>
      <c r="AK102" s="32">
        <v>0.2</v>
      </c>
      <c r="AL102" s="32">
        <v>0</v>
      </c>
      <c r="AM102" s="34">
        <v>0</v>
      </c>
    </row>
    <row r="103" spans="1:39" x14ac:dyDescent="0.3">
      <c r="A103" s="24" t="s">
        <v>183</v>
      </c>
      <c r="B103" s="25" t="s">
        <v>198</v>
      </c>
      <c r="C103" s="25" t="s">
        <v>198</v>
      </c>
      <c r="D103" s="25" t="s">
        <v>110</v>
      </c>
      <c r="E103" s="26" t="s">
        <v>199</v>
      </c>
      <c r="F103" s="27">
        <v>20</v>
      </c>
      <c r="G103" s="28">
        <f t="shared" si="7"/>
        <v>13.5</v>
      </c>
      <c r="H103" s="29">
        <v>17</v>
      </c>
      <c r="I103" s="29">
        <v>14</v>
      </c>
      <c r="J103" s="29">
        <v>12</v>
      </c>
      <c r="K103" s="30">
        <v>11</v>
      </c>
      <c r="L103" s="31">
        <f t="shared" si="8"/>
        <v>13.979334250000001</v>
      </c>
      <c r="M103" s="32">
        <v>11.041994000000001</v>
      </c>
      <c r="N103" s="32">
        <v>6.0257050000000003</v>
      </c>
      <c r="O103" s="32">
        <v>13.893532</v>
      </c>
      <c r="P103" s="33">
        <v>23.556916999999999</v>
      </c>
      <c r="Q103" s="31">
        <f t="shared" si="9"/>
        <v>2.7692759999999996</v>
      </c>
      <c r="R103" s="32">
        <v>7.4566800000000004</v>
      </c>
      <c r="S103" s="32">
        <v>1.307545</v>
      </c>
      <c r="T103" s="32">
        <v>1.9445190000000001</v>
      </c>
      <c r="U103" s="33">
        <v>0.36836000000000002</v>
      </c>
      <c r="V103" s="31">
        <f t="shared" si="10"/>
        <v>7.2932600000000001</v>
      </c>
      <c r="W103" s="32">
        <v>2.2270599999999998</v>
      </c>
      <c r="X103" s="32">
        <v>1.83748</v>
      </c>
      <c r="Y103" s="32">
        <v>8.47058</v>
      </c>
      <c r="Z103" s="33">
        <v>16.637920000000001</v>
      </c>
      <c r="AA103" s="31">
        <f t="shared" si="11"/>
        <v>0.69959450000000001</v>
      </c>
      <c r="AB103" s="32">
        <v>0.67990400000000006</v>
      </c>
      <c r="AC103" s="33">
        <v>0.71928499999999995</v>
      </c>
      <c r="AD103" s="31">
        <f t="shared" si="12"/>
        <v>2.9672037500000004</v>
      </c>
      <c r="AE103" s="32">
        <v>0.17835000000000001</v>
      </c>
      <c r="AF103" s="32">
        <v>2.1613950000000002</v>
      </c>
      <c r="AG103" s="32">
        <v>3.1784330000000001</v>
      </c>
      <c r="AH103" s="33">
        <v>6.3506369999999999</v>
      </c>
      <c r="AI103" s="31">
        <f t="shared" si="13"/>
        <v>0.25000000000000011</v>
      </c>
      <c r="AJ103" s="32">
        <v>0.50000000000000133</v>
      </c>
      <c r="AK103" s="32">
        <v>0</v>
      </c>
      <c r="AL103" s="32">
        <v>0.30000000000000071</v>
      </c>
      <c r="AM103" s="34">
        <v>0.1999999999999984</v>
      </c>
    </row>
    <row r="104" spans="1:39" x14ac:dyDescent="0.3">
      <c r="A104" s="24" t="s">
        <v>183</v>
      </c>
      <c r="B104" s="25" t="s">
        <v>198</v>
      </c>
      <c r="C104" s="25" t="s">
        <v>198</v>
      </c>
      <c r="D104" s="25" t="s">
        <v>110</v>
      </c>
      <c r="E104" s="26" t="s">
        <v>172</v>
      </c>
      <c r="F104" s="27">
        <v>80</v>
      </c>
      <c r="G104" s="28">
        <f t="shared" si="7"/>
        <v>46</v>
      </c>
      <c r="H104" s="29">
        <v>40</v>
      </c>
      <c r="I104" s="29">
        <v>51</v>
      </c>
      <c r="J104" s="29">
        <v>44</v>
      </c>
      <c r="K104" s="30">
        <v>49</v>
      </c>
      <c r="L104" s="31">
        <f t="shared" si="8"/>
        <v>29.467605500000001</v>
      </c>
      <c r="M104" s="32">
        <v>30.450064999999999</v>
      </c>
      <c r="N104" s="32">
        <v>27.991288000000001</v>
      </c>
      <c r="O104" s="32">
        <v>26.751215999999999</v>
      </c>
      <c r="P104" s="33">
        <v>30.025185</v>
      </c>
      <c r="Q104" s="31">
        <f t="shared" si="9"/>
        <v>14.694691500000003</v>
      </c>
      <c r="R104" s="32">
        <v>16.888611999999998</v>
      </c>
      <c r="S104" s="32">
        <v>11.569609</v>
      </c>
      <c r="T104" s="32">
        <v>13.732931000000001</v>
      </c>
      <c r="U104" s="33">
        <v>16.587614000000009</v>
      </c>
      <c r="V104" s="31">
        <f t="shared" si="10"/>
        <v>9.7435749999999999</v>
      </c>
      <c r="W104" s="32">
        <v>9.4661899999999992</v>
      </c>
      <c r="X104" s="32">
        <v>12.43811</v>
      </c>
      <c r="Y104" s="32">
        <v>8.7892599999999987</v>
      </c>
      <c r="Z104" s="33">
        <v>8.2807399999999998</v>
      </c>
      <c r="AA104" s="31">
        <f t="shared" si="11"/>
        <v>1.3263340000000001</v>
      </c>
      <c r="AB104" s="32">
        <v>1.4120740000000001</v>
      </c>
      <c r="AC104" s="33">
        <v>1.240594</v>
      </c>
      <c r="AD104" s="31">
        <f t="shared" si="12"/>
        <v>3.19686</v>
      </c>
      <c r="AE104" s="32">
        <v>1.471209</v>
      </c>
      <c r="AF104" s="32">
        <v>2.4303750000000002</v>
      </c>
      <c r="AG104" s="32">
        <v>4.0290249999999999</v>
      </c>
      <c r="AH104" s="33">
        <v>4.8568310000000006</v>
      </c>
      <c r="AI104" s="31">
        <f t="shared" si="13"/>
        <v>0.5061449999999964</v>
      </c>
      <c r="AJ104" s="32">
        <v>1.2119799999999969</v>
      </c>
      <c r="AK104" s="32">
        <v>0.31259999999999583</v>
      </c>
      <c r="AL104" s="32">
        <v>0.20000000000000201</v>
      </c>
      <c r="AM104" s="34">
        <v>0.29999999999999089</v>
      </c>
    </row>
    <row r="105" spans="1:39" x14ac:dyDescent="0.3">
      <c r="A105" s="24" t="s">
        <v>183</v>
      </c>
      <c r="B105" s="25" t="s">
        <v>198</v>
      </c>
      <c r="C105" s="25" t="s">
        <v>198</v>
      </c>
      <c r="D105" s="25" t="s">
        <v>110</v>
      </c>
      <c r="E105" s="26" t="s">
        <v>200</v>
      </c>
      <c r="F105" s="27">
        <v>31</v>
      </c>
      <c r="G105" s="28">
        <f t="shared" si="7"/>
        <v>21.5</v>
      </c>
      <c r="H105" s="29">
        <v>18</v>
      </c>
      <c r="I105" s="29">
        <v>19</v>
      </c>
      <c r="J105" s="29">
        <v>27</v>
      </c>
      <c r="K105" s="30">
        <v>22</v>
      </c>
      <c r="L105" s="31">
        <f t="shared" si="8"/>
        <v>10.364036500000001</v>
      </c>
      <c r="M105" s="32">
        <v>5.674086</v>
      </c>
      <c r="N105" s="32">
        <v>3.9748950000000001</v>
      </c>
      <c r="O105" s="32">
        <v>15.976902000000001</v>
      </c>
      <c r="P105" s="33">
        <v>13.301943</v>
      </c>
      <c r="Q105" s="31">
        <f t="shared" si="9"/>
        <v>3.8596802500000003</v>
      </c>
      <c r="R105" s="32">
        <v>2.6549260000000001</v>
      </c>
      <c r="S105" s="32">
        <v>0.27060000000000001</v>
      </c>
      <c r="T105" s="32">
        <v>5.8813849999999999</v>
      </c>
      <c r="U105" s="33">
        <v>6.6318100000000006</v>
      </c>
      <c r="V105" s="31">
        <f t="shared" si="10"/>
        <v>4.3661624999999997</v>
      </c>
      <c r="W105" s="32">
        <v>1.4259999999999999</v>
      </c>
      <c r="X105" s="32">
        <v>2.0039099999999999</v>
      </c>
      <c r="Y105" s="32">
        <v>8.6329199999999986</v>
      </c>
      <c r="Z105" s="33">
        <v>5.4018199999999998</v>
      </c>
      <c r="AA105" s="31">
        <f t="shared" si="11"/>
        <v>1.26416</v>
      </c>
      <c r="AB105" s="32">
        <v>1.1596740000000001</v>
      </c>
      <c r="AC105" s="33">
        <v>1.368646</v>
      </c>
      <c r="AD105" s="31">
        <f t="shared" si="12"/>
        <v>0.87403374999999994</v>
      </c>
      <c r="AE105" s="32">
        <v>0.43348599999999998</v>
      </c>
      <c r="AF105" s="32">
        <v>0.33173900000000001</v>
      </c>
      <c r="AG105" s="32">
        <v>1.4625969999999999</v>
      </c>
      <c r="AH105" s="33">
        <v>1.268313</v>
      </c>
      <c r="AI105" s="31">
        <f t="shared" si="13"/>
        <v>0</v>
      </c>
      <c r="AJ105" s="32">
        <v>0</v>
      </c>
      <c r="AK105" s="32">
        <v>0</v>
      </c>
      <c r="AL105" s="32">
        <v>0</v>
      </c>
      <c r="AM105" s="34">
        <v>0</v>
      </c>
    </row>
    <row r="106" spans="1:39" x14ac:dyDescent="0.3">
      <c r="A106" s="24" t="s">
        <v>183</v>
      </c>
      <c r="B106" s="25" t="s">
        <v>198</v>
      </c>
      <c r="C106" s="25" t="s">
        <v>198</v>
      </c>
      <c r="D106" s="25" t="s">
        <v>110</v>
      </c>
      <c r="E106" s="26" t="s">
        <v>201</v>
      </c>
      <c r="F106" s="27">
        <v>17</v>
      </c>
      <c r="G106" s="28">
        <f t="shared" si="7"/>
        <v>17.75</v>
      </c>
      <c r="H106" s="29">
        <v>24</v>
      </c>
      <c r="I106" s="29">
        <v>21</v>
      </c>
      <c r="J106" s="29">
        <v>13</v>
      </c>
      <c r="K106" s="30">
        <v>13</v>
      </c>
      <c r="L106" s="31">
        <f t="shared" si="8"/>
        <v>20.226480250000002</v>
      </c>
      <c r="M106" s="32">
        <v>23.912168999999999</v>
      </c>
      <c r="N106" s="32">
        <v>25.684493</v>
      </c>
      <c r="O106" s="32">
        <v>17.573808</v>
      </c>
      <c r="P106" s="33">
        <v>12.944003</v>
      </c>
      <c r="Q106" s="31">
        <f t="shared" si="9"/>
        <v>15.225646000000001</v>
      </c>
      <c r="R106" s="32">
        <v>16.220123999999998</v>
      </c>
      <c r="S106" s="32">
        <v>22.055316999999999</v>
      </c>
      <c r="T106" s="32">
        <v>13.28228</v>
      </c>
      <c r="U106" s="33">
        <v>9.3448630000000001</v>
      </c>
      <c r="V106" s="31">
        <f t="shared" si="10"/>
        <v>2.8357725</v>
      </c>
      <c r="W106" s="32">
        <v>5.6367500000000001</v>
      </c>
      <c r="X106" s="32">
        <v>1.8630100000000001</v>
      </c>
      <c r="Y106" s="32">
        <v>2.24058</v>
      </c>
      <c r="Z106" s="33">
        <v>1.6027499999999999</v>
      </c>
      <c r="AA106" s="31">
        <f t="shared" si="11"/>
        <v>0.39572400000000002</v>
      </c>
      <c r="AB106" s="32">
        <v>0.33563300000000001</v>
      </c>
      <c r="AC106" s="33">
        <v>0.45581500000000003</v>
      </c>
      <c r="AD106" s="31">
        <f t="shared" si="12"/>
        <v>0.66933774999999995</v>
      </c>
      <c r="AE106" s="32">
        <v>0.71966200000000002</v>
      </c>
      <c r="AF106" s="32">
        <v>0.71035099999999995</v>
      </c>
      <c r="AG106" s="32">
        <v>0.85094800000000004</v>
      </c>
      <c r="AH106" s="33">
        <v>0.39639000000000002</v>
      </c>
      <c r="AI106" s="31">
        <f t="shared" si="13"/>
        <v>1.0999999999999992</v>
      </c>
      <c r="AJ106" s="32">
        <v>1</v>
      </c>
      <c r="AK106" s="32">
        <v>0.59999999999999742</v>
      </c>
      <c r="AL106" s="32">
        <v>1.2</v>
      </c>
      <c r="AM106" s="34">
        <v>1.6</v>
      </c>
    </row>
    <row r="107" spans="1:39" x14ac:dyDescent="0.3">
      <c r="A107" s="24" t="s">
        <v>202</v>
      </c>
      <c r="B107" s="25" t="s">
        <v>13</v>
      </c>
      <c r="C107" s="25" t="s">
        <v>14</v>
      </c>
      <c r="D107" s="25" t="s">
        <v>203</v>
      </c>
      <c r="E107" s="26" t="s">
        <v>204</v>
      </c>
      <c r="F107" s="27">
        <v>20</v>
      </c>
      <c r="G107" s="28">
        <f t="shared" si="7"/>
        <v>8.5</v>
      </c>
      <c r="H107" s="29">
        <v>7</v>
      </c>
      <c r="I107" s="29">
        <v>8</v>
      </c>
      <c r="J107" s="29">
        <v>11</v>
      </c>
      <c r="K107" s="30">
        <v>8</v>
      </c>
      <c r="L107" s="31">
        <f t="shared" si="8"/>
        <v>4.9630490000000007</v>
      </c>
      <c r="M107" s="32">
        <v>4.8047969999999998</v>
      </c>
      <c r="N107" s="32">
        <v>6.2928829999999998</v>
      </c>
      <c r="O107" s="32">
        <v>6.1804199999999998</v>
      </c>
      <c r="P107" s="33">
        <v>2.5740959999999999</v>
      </c>
      <c r="Q107" s="31">
        <f t="shared" si="9"/>
        <v>3.8126902500000002</v>
      </c>
      <c r="R107" s="32">
        <v>4.5979999999999999</v>
      </c>
      <c r="S107" s="32">
        <v>5.9021499999999998</v>
      </c>
      <c r="T107" s="32">
        <v>2.378206</v>
      </c>
      <c r="U107" s="33">
        <v>2.3724050000000001</v>
      </c>
      <c r="V107" s="31">
        <f t="shared" si="10"/>
        <v>0.90420500000000004</v>
      </c>
      <c r="W107" s="32">
        <v>0</v>
      </c>
      <c r="X107" s="32">
        <v>0</v>
      </c>
      <c r="Y107" s="32">
        <v>3.6168200000000001</v>
      </c>
      <c r="Z107" s="33">
        <v>0</v>
      </c>
      <c r="AA107" s="31">
        <f t="shared" si="11"/>
        <v>0</v>
      </c>
      <c r="AB107" s="32">
        <v>0</v>
      </c>
      <c r="AC107" s="33">
        <v>0</v>
      </c>
      <c r="AD107" s="31">
        <f t="shared" si="12"/>
        <v>0.24615375</v>
      </c>
      <c r="AE107" s="32">
        <v>0.20679700000000001</v>
      </c>
      <c r="AF107" s="32">
        <v>0.390733</v>
      </c>
      <c r="AG107" s="32">
        <v>0.185394</v>
      </c>
      <c r="AH107" s="33">
        <v>0.20169100000000001</v>
      </c>
      <c r="AI107" s="31">
        <f t="shared" si="13"/>
        <v>0</v>
      </c>
      <c r="AJ107" s="32">
        <v>0</v>
      </c>
      <c r="AK107" s="32">
        <v>0</v>
      </c>
      <c r="AL107" s="32">
        <v>0</v>
      </c>
      <c r="AM107" s="34">
        <v>0</v>
      </c>
    </row>
    <row r="108" spans="1:39" x14ac:dyDescent="0.3">
      <c r="A108" s="24" t="s">
        <v>202</v>
      </c>
      <c r="B108" s="25" t="s">
        <v>13</v>
      </c>
      <c r="C108" s="25" t="s">
        <v>14</v>
      </c>
      <c r="D108" s="25" t="s">
        <v>203</v>
      </c>
      <c r="E108" s="26" t="s">
        <v>205</v>
      </c>
      <c r="F108" s="27">
        <v>52</v>
      </c>
      <c r="G108" s="28">
        <f t="shared" si="7"/>
        <v>47.75</v>
      </c>
      <c r="H108" s="29">
        <v>56</v>
      </c>
      <c r="I108" s="29">
        <v>58</v>
      </c>
      <c r="J108" s="29">
        <v>37</v>
      </c>
      <c r="K108" s="30">
        <v>40</v>
      </c>
      <c r="L108" s="31">
        <f t="shared" si="8"/>
        <v>34.387798250000003</v>
      </c>
      <c r="M108" s="32">
        <v>31.957934999999999</v>
      </c>
      <c r="N108" s="32">
        <v>43.540377999999997</v>
      </c>
      <c r="O108" s="32">
        <v>32.576098000000002</v>
      </c>
      <c r="P108" s="33">
        <v>20.851171000000001</v>
      </c>
      <c r="Q108" s="31">
        <f t="shared" si="9"/>
        <v>5.7805012500000004</v>
      </c>
      <c r="R108" s="32">
        <v>5.3921260000000002</v>
      </c>
      <c r="S108" s="32">
        <v>5.6742059999999999</v>
      </c>
      <c r="T108" s="32">
        <v>6.6591889999999996</v>
      </c>
      <c r="U108" s="33">
        <v>5.3964839999999992</v>
      </c>
      <c r="V108" s="31">
        <f t="shared" si="10"/>
        <v>13.2333265</v>
      </c>
      <c r="W108" s="32">
        <v>13.217549999999999</v>
      </c>
      <c r="X108" s="32">
        <v>18.215336000000001</v>
      </c>
      <c r="Y108" s="32">
        <v>10.901160000000001</v>
      </c>
      <c r="Z108" s="33">
        <v>10.599259999999999</v>
      </c>
      <c r="AA108" s="31">
        <f t="shared" si="11"/>
        <v>4.3128054999999996</v>
      </c>
      <c r="AB108" s="32">
        <v>5.6794029999999989</v>
      </c>
      <c r="AC108" s="33">
        <v>2.9462079999999999</v>
      </c>
      <c r="AD108" s="31">
        <f t="shared" si="12"/>
        <v>1.5872875</v>
      </c>
      <c r="AE108" s="32">
        <v>0.46885599999999988</v>
      </c>
      <c r="AF108" s="32">
        <v>1.5546279999999999</v>
      </c>
      <c r="AG108" s="32">
        <v>2.0857489999999999</v>
      </c>
      <c r="AH108" s="33">
        <v>2.2399170000000002</v>
      </c>
      <c r="AI108" s="31">
        <f t="shared" si="13"/>
        <v>9.4738775000000004</v>
      </c>
      <c r="AJ108" s="32">
        <v>7.1999999999999984</v>
      </c>
      <c r="AK108" s="32">
        <v>15.15</v>
      </c>
      <c r="AL108" s="32">
        <v>12.93</v>
      </c>
      <c r="AM108" s="34">
        <v>2.6155100000000022</v>
      </c>
    </row>
    <row r="109" spans="1:39" x14ac:dyDescent="0.3">
      <c r="A109" s="24" t="s">
        <v>202</v>
      </c>
      <c r="B109" s="25" t="s">
        <v>13</v>
      </c>
      <c r="C109" s="25" t="s">
        <v>14</v>
      </c>
      <c r="D109" s="25" t="s">
        <v>203</v>
      </c>
      <c r="E109" s="26" t="s">
        <v>206</v>
      </c>
      <c r="F109" s="27">
        <v>6</v>
      </c>
      <c r="G109" s="28">
        <f t="shared" si="7"/>
        <v>2</v>
      </c>
      <c r="H109" s="29">
        <v>2</v>
      </c>
      <c r="I109" s="29">
        <v>3</v>
      </c>
      <c r="J109" s="29">
        <v>2</v>
      </c>
      <c r="K109" s="30">
        <v>1</v>
      </c>
      <c r="L109" s="31">
        <f t="shared" si="8"/>
        <v>2.4327590000000003</v>
      </c>
      <c r="M109" s="32">
        <v>5.2326100000000002</v>
      </c>
      <c r="N109" s="32">
        <v>2.046713</v>
      </c>
      <c r="O109" s="32">
        <v>1.3950400000000001</v>
      </c>
      <c r="P109" s="33">
        <v>1.0102500000000001</v>
      </c>
      <c r="Q109" s="31">
        <f t="shared" si="9"/>
        <v>1.0524675000000001</v>
      </c>
      <c r="R109" s="32">
        <v>1.8147200000000001</v>
      </c>
      <c r="S109" s="32">
        <v>1.0001100000000001</v>
      </c>
      <c r="T109" s="32">
        <v>1.3950400000000001</v>
      </c>
      <c r="U109" s="33">
        <v>0</v>
      </c>
      <c r="V109" s="31">
        <f t="shared" si="10"/>
        <v>1.3570800000000001</v>
      </c>
      <c r="W109" s="32">
        <v>3.4178899999999999</v>
      </c>
      <c r="X109" s="32">
        <v>1.0001800000000001</v>
      </c>
      <c r="Y109" s="32">
        <v>0</v>
      </c>
      <c r="Z109" s="33">
        <v>1.0102500000000001</v>
      </c>
      <c r="AA109" s="31">
        <f t="shared" si="11"/>
        <v>2.3211499999999999E-2</v>
      </c>
      <c r="AB109" s="32">
        <v>0</v>
      </c>
      <c r="AC109" s="33">
        <v>4.6422999999999999E-2</v>
      </c>
      <c r="AD109" s="31">
        <f t="shared" si="12"/>
        <v>0</v>
      </c>
      <c r="AE109" s="32">
        <v>0</v>
      </c>
      <c r="AF109" s="32">
        <v>0</v>
      </c>
      <c r="AG109" s="32">
        <v>0</v>
      </c>
      <c r="AH109" s="33">
        <v>0</v>
      </c>
      <c r="AI109" s="31">
        <f t="shared" si="13"/>
        <v>0</v>
      </c>
      <c r="AJ109" s="32">
        <v>0</v>
      </c>
      <c r="AK109" s="32">
        <v>0</v>
      </c>
      <c r="AL109" s="32">
        <v>0</v>
      </c>
      <c r="AM109" s="34">
        <v>0</v>
      </c>
    </row>
    <row r="110" spans="1:39" x14ac:dyDescent="0.3">
      <c r="A110" s="24" t="s">
        <v>202</v>
      </c>
      <c r="B110" s="25" t="s">
        <v>13</v>
      </c>
      <c r="C110" s="25" t="s">
        <v>14</v>
      </c>
      <c r="D110" s="25" t="s">
        <v>203</v>
      </c>
      <c r="E110" s="26" t="s">
        <v>207</v>
      </c>
      <c r="F110" s="27">
        <v>27</v>
      </c>
      <c r="G110" s="28">
        <f t="shared" si="7"/>
        <v>9.75</v>
      </c>
      <c r="H110" s="29">
        <v>13</v>
      </c>
      <c r="I110" s="29">
        <v>10</v>
      </c>
      <c r="J110" s="29">
        <v>7</v>
      </c>
      <c r="K110" s="30">
        <v>9</v>
      </c>
      <c r="L110" s="31">
        <f t="shared" si="8"/>
        <v>4.6736445</v>
      </c>
      <c r="M110" s="32">
        <v>4.6090600000000004</v>
      </c>
      <c r="N110" s="32">
        <v>4.8917470000000014</v>
      </c>
      <c r="O110" s="32">
        <v>4.955902</v>
      </c>
      <c r="P110" s="33">
        <v>3.553426</v>
      </c>
      <c r="Q110" s="31">
        <f t="shared" si="9"/>
        <v>4.0435142500000003</v>
      </c>
      <c r="R110" s="32">
        <v>4.0556130000000001</v>
      </c>
      <c r="S110" s="32">
        <v>4.4927570000000001</v>
      </c>
      <c r="T110" s="32">
        <v>4.8318530000000006</v>
      </c>
      <c r="U110" s="33">
        <v>2.7938339999999999</v>
      </c>
      <c r="V110" s="31">
        <f t="shared" si="10"/>
        <v>0</v>
      </c>
      <c r="W110" s="32">
        <v>0</v>
      </c>
      <c r="X110" s="32">
        <v>0</v>
      </c>
      <c r="Y110" s="32">
        <v>0</v>
      </c>
      <c r="Z110" s="33">
        <v>0</v>
      </c>
      <c r="AA110" s="31">
        <f t="shared" si="11"/>
        <v>0.34222149999999996</v>
      </c>
      <c r="AB110" s="32">
        <v>0.42813299999999999</v>
      </c>
      <c r="AC110" s="33">
        <v>0.25630999999999998</v>
      </c>
      <c r="AD110" s="31">
        <f t="shared" si="12"/>
        <v>0.28790875000000005</v>
      </c>
      <c r="AE110" s="32">
        <v>0.12531400000000001</v>
      </c>
      <c r="AF110" s="32">
        <v>0.14268</v>
      </c>
      <c r="AG110" s="32">
        <v>0.12404900000000001</v>
      </c>
      <c r="AH110" s="33">
        <v>0.75959200000000004</v>
      </c>
      <c r="AI110" s="31">
        <f t="shared" si="13"/>
        <v>1.6653345369377348E-16</v>
      </c>
      <c r="AJ110" s="32">
        <v>2.4980018054066022E-16</v>
      </c>
      <c r="AK110" s="32">
        <v>4.163336342344337E-16</v>
      </c>
      <c r="AL110" s="32">
        <v>0</v>
      </c>
      <c r="AM110" s="34">
        <v>0</v>
      </c>
    </row>
    <row r="111" spans="1:39" x14ac:dyDescent="0.3">
      <c r="A111" s="24" t="s">
        <v>202</v>
      </c>
      <c r="B111" s="25" t="s">
        <v>13</v>
      </c>
      <c r="C111" s="25" t="s">
        <v>14</v>
      </c>
      <c r="D111" s="25" t="s">
        <v>203</v>
      </c>
      <c r="E111" s="26" t="s">
        <v>208</v>
      </c>
      <c r="F111" s="27">
        <v>30</v>
      </c>
      <c r="G111" s="28">
        <f t="shared" si="7"/>
        <v>9.5</v>
      </c>
      <c r="H111" s="29">
        <v>13</v>
      </c>
      <c r="I111" s="29">
        <v>9</v>
      </c>
      <c r="J111" s="29">
        <v>9</v>
      </c>
      <c r="K111" s="30">
        <v>7</v>
      </c>
      <c r="L111" s="31">
        <f t="shared" si="8"/>
        <v>6.5904759999999998</v>
      </c>
      <c r="M111" s="32">
        <v>7.2724260000000003</v>
      </c>
      <c r="N111" s="32">
        <v>10.493339000000001</v>
      </c>
      <c r="O111" s="32">
        <v>4.2285239999999993</v>
      </c>
      <c r="P111" s="33">
        <v>3.326908</v>
      </c>
      <c r="Q111" s="31">
        <f t="shared" si="9"/>
        <v>1.1887650000000001</v>
      </c>
      <c r="R111" s="32">
        <v>1.2482500000000001</v>
      </c>
      <c r="S111" s="32">
        <v>1.000702</v>
      </c>
      <c r="T111" s="32">
        <v>2.0008080000000001</v>
      </c>
      <c r="U111" s="33">
        <v>0.50529999999999997</v>
      </c>
      <c r="V111" s="31">
        <f t="shared" si="10"/>
        <v>4.4916274999999999</v>
      </c>
      <c r="W111" s="32">
        <v>5.10602</v>
      </c>
      <c r="X111" s="32">
        <v>9.1884099999999993</v>
      </c>
      <c r="Y111" s="32">
        <v>1.40926</v>
      </c>
      <c r="Z111" s="33">
        <v>2.2628200000000001</v>
      </c>
      <c r="AA111" s="31">
        <f t="shared" si="11"/>
        <v>0.52035350000000002</v>
      </c>
      <c r="AB111" s="32">
        <v>0.73648000000000002</v>
      </c>
      <c r="AC111" s="33">
        <v>0.30422700000000003</v>
      </c>
      <c r="AD111" s="31">
        <f t="shared" si="12"/>
        <v>0.38973000000000002</v>
      </c>
      <c r="AE111" s="32">
        <v>0.181676</v>
      </c>
      <c r="AF111" s="32">
        <v>0</v>
      </c>
      <c r="AG111" s="32">
        <v>0.81845600000000007</v>
      </c>
      <c r="AH111" s="33">
        <v>0.55878799999999995</v>
      </c>
      <c r="AI111" s="31">
        <f t="shared" si="13"/>
        <v>1.5265566588595902E-16</v>
      </c>
      <c r="AJ111" s="32">
        <v>6.106226635438361E-16</v>
      </c>
      <c r="AK111" s="32">
        <v>0</v>
      </c>
      <c r="AL111" s="32">
        <v>0</v>
      </c>
      <c r="AM111" s="34">
        <v>0</v>
      </c>
    </row>
    <row r="112" spans="1:39" x14ac:dyDescent="0.3">
      <c r="A112" s="24" t="s">
        <v>202</v>
      </c>
      <c r="B112" s="25" t="s">
        <v>13</v>
      </c>
      <c r="C112" s="25" t="s">
        <v>14</v>
      </c>
      <c r="D112" s="25" t="s">
        <v>203</v>
      </c>
      <c r="E112" s="26" t="s">
        <v>209</v>
      </c>
      <c r="F112" s="27">
        <v>19</v>
      </c>
      <c r="G112" s="28">
        <f t="shared" si="7"/>
        <v>12.25</v>
      </c>
      <c r="H112" s="29">
        <v>15</v>
      </c>
      <c r="I112" s="29">
        <v>15</v>
      </c>
      <c r="J112" s="29">
        <v>8</v>
      </c>
      <c r="K112" s="30">
        <v>11</v>
      </c>
      <c r="L112" s="31">
        <f t="shared" si="8"/>
        <v>8.7624257500000002</v>
      </c>
      <c r="M112" s="32">
        <v>10.163833</v>
      </c>
      <c r="N112" s="32">
        <v>13.067209</v>
      </c>
      <c r="O112" s="32">
        <v>3.8974129999999998</v>
      </c>
      <c r="P112" s="33">
        <v>7.2809500000000007</v>
      </c>
      <c r="Q112" s="31">
        <f t="shared" si="9"/>
        <v>5.08902375</v>
      </c>
      <c r="R112" s="32">
        <v>7.6701879999999996</v>
      </c>
      <c r="S112" s="32">
        <v>9.0559209999999997</v>
      </c>
      <c r="T112" s="32">
        <v>1.783496</v>
      </c>
      <c r="U112" s="33">
        <v>1.84649</v>
      </c>
      <c r="V112" s="31">
        <f t="shared" si="10"/>
        <v>3.0572875000000002</v>
      </c>
      <c r="W112" s="32">
        <v>1.2212099999999999</v>
      </c>
      <c r="X112" s="32">
        <v>3.62405</v>
      </c>
      <c r="Y112" s="32">
        <v>1.94943</v>
      </c>
      <c r="Z112" s="33">
        <v>5.4344600000000014</v>
      </c>
      <c r="AA112" s="31">
        <f t="shared" si="11"/>
        <v>0.32014899999999996</v>
      </c>
      <c r="AB112" s="32">
        <v>0.53749799999999992</v>
      </c>
      <c r="AC112" s="33">
        <v>0.1028</v>
      </c>
      <c r="AD112" s="31">
        <f t="shared" si="12"/>
        <v>0.29596549999999999</v>
      </c>
      <c r="AE112" s="32">
        <v>0.73493699999999995</v>
      </c>
      <c r="AF112" s="32">
        <v>0.28443800000000002</v>
      </c>
      <c r="AG112" s="32">
        <v>0.16448699999999999</v>
      </c>
      <c r="AH112" s="33">
        <v>0</v>
      </c>
      <c r="AI112" s="31">
        <f t="shared" si="13"/>
        <v>2.4980018054066022E-16</v>
      </c>
      <c r="AJ112" s="32">
        <v>9.9920072216264089E-16</v>
      </c>
      <c r="AK112" s="32">
        <v>0</v>
      </c>
      <c r="AL112" s="32">
        <v>0</v>
      </c>
      <c r="AM112" s="34">
        <v>0</v>
      </c>
    </row>
    <row r="113" spans="1:39" x14ac:dyDescent="0.3">
      <c r="A113" s="24" t="s">
        <v>202</v>
      </c>
      <c r="B113" s="25" t="s">
        <v>13</v>
      </c>
      <c r="C113" s="25" t="s">
        <v>14</v>
      </c>
      <c r="D113" s="25" t="s">
        <v>203</v>
      </c>
      <c r="E113" s="26" t="s">
        <v>210</v>
      </c>
      <c r="F113" s="27">
        <v>55</v>
      </c>
      <c r="G113" s="28">
        <f t="shared" si="7"/>
        <v>17.25</v>
      </c>
      <c r="H113" s="29">
        <v>18</v>
      </c>
      <c r="I113" s="29">
        <v>18</v>
      </c>
      <c r="J113" s="29">
        <v>17</v>
      </c>
      <c r="K113" s="30">
        <v>16</v>
      </c>
      <c r="L113" s="31">
        <f t="shared" si="8"/>
        <v>7.6281305000000001</v>
      </c>
      <c r="M113" s="32">
        <v>4.8370839999999999</v>
      </c>
      <c r="N113" s="32">
        <v>9.1957039999999992</v>
      </c>
      <c r="O113" s="32">
        <v>6.9694929999999999</v>
      </c>
      <c r="P113" s="33">
        <v>6.6635210000000002</v>
      </c>
      <c r="Q113" s="31">
        <f t="shared" si="9"/>
        <v>3.47372725</v>
      </c>
      <c r="R113" s="32">
        <v>1.69817</v>
      </c>
      <c r="S113" s="32">
        <v>5.1737900000000003</v>
      </c>
      <c r="T113" s="32">
        <v>4.6632990000000003</v>
      </c>
      <c r="U113" s="33">
        <v>2.3596499999999998</v>
      </c>
      <c r="V113" s="31">
        <f t="shared" si="10"/>
        <v>1.543215</v>
      </c>
      <c r="W113" s="32">
        <v>1.4163399999999999</v>
      </c>
      <c r="X113" s="32">
        <v>2.5253999999999999</v>
      </c>
      <c r="Y113" s="32">
        <v>0.10752</v>
      </c>
      <c r="Z113" s="33">
        <v>2.1236000000000002</v>
      </c>
      <c r="AA113" s="31">
        <f t="shared" si="11"/>
        <v>1.4233600000000002</v>
      </c>
      <c r="AB113" s="32">
        <v>1.6721630000000001</v>
      </c>
      <c r="AC113" s="33">
        <v>1.1745570000000001</v>
      </c>
      <c r="AD113" s="31">
        <f t="shared" si="12"/>
        <v>1.0878282499999998</v>
      </c>
      <c r="AE113" s="32">
        <v>5.0410999999999997E-2</v>
      </c>
      <c r="AF113" s="32">
        <v>0.32195699999999999</v>
      </c>
      <c r="AG113" s="32">
        <v>2.198674</v>
      </c>
      <c r="AH113" s="33">
        <v>1.7802709999999999</v>
      </c>
      <c r="AI113" s="31">
        <f t="shared" si="13"/>
        <v>0.1000000000000002</v>
      </c>
      <c r="AJ113" s="32">
        <v>0</v>
      </c>
      <c r="AK113" s="32">
        <v>0</v>
      </c>
      <c r="AL113" s="32">
        <v>0</v>
      </c>
      <c r="AM113" s="34">
        <v>0.4000000000000008</v>
      </c>
    </row>
    <row r="114" spans="1:39" x14ac:dyDescent="0.3">
      <c r="A114" s="24" t="s">
        <v>202</v>
      </c>
      <c r="B114" s="25" t="s">
        <v>13</v>
      </c>
      <c r="C114" s="25" t="s">
        <v>14</v>
      </c>
      <c r="D114" s="25" t="s">
        <v>203</v>
      </c>
      <c r="E114" s="26" t="s">
        <v>211</v>
      </c>
      <c r="F114" s="27">
        <v>147</v>
      </c>
      <c r="G114" s="28">
        <f t="shared" si="7"/>
        <v>83.75</v>
      </c>
      <c r="H114" s="29">
        <v>64</v>
      </c>
      <c r="I114" s="29">
        <v>94</v>
      </c>
      <c r="J114" s="29">
        <v>83</v>
      </c>
      <c r="K114" s="30">
        <v>94</v>
      </c>
      <c r="L114" s="31">
        <f t="shared" si="8"/>
        <v>66.303661250000005</v>
      </c>
      <c r="M114" s="32">
        <v>53.445256999999991</v>
      </c>
      <c r="N114" s="32">
        <v>76.99657000000002</v>
      </c>
      <c r="O114" s="32">
        <v>64.410249999999991</v>
      </c>
      <c r="P114" s="33">
        <v>68.420789999999997</v>
      </c>
      <c r="Q114" s="31">
        <f t="shared" si="9"/>
        <v>24.790272500000004</v>
      </c>
      <c r="R114" s="32">
        <v>18.277868999999999</v>
      </c>
      <c r="S114" s="32">
        <v>40.013117000000008</v>
      </c>
      <c r="T114" s="32">
        <v>24.528354</v>
      </c>
      <c r="U114" s="33">
        <v>16.341750000000001</v>
      </c>
      <c r="V114" s="31">
        <f t="shared" si="10"/>
        <v>34.322472500000003</v>
      </c>
      <c r="W114" s="32">
        <v>24.770910000000001</v>
      </c>
      <c r="X114" s="32">
        <v>33.144530000000003</v>
      </c>
      <c r="Y114" s="32">
        <v>34.590280000000007</v>
      </c>
      <c r="Z114" s="33">
        <v>44.784170000000003</v>
      </c>
      <c r="AA114" s="31">
        <f t="shared" si="11"/>
        <v>0.97088900000000011</v>
      </c>
      <c r="AB114" s="32">
        <v>0.88356500000000004</v>
      </c>
      <c r="AC114" s="33">
        <v>1.0582130000000001</v>
      </c>
      <c r="AD114" s="31">
        <f t="shared" si="12"/>
        <v>3.2197197500000003</v>
      </c>
      <c r="AE114" s="32">
        <v>1.347753</v>
      </c>
      <c r="AF114" s="32">
        <v>1.78027</v>
      </c>
      <c r="AG114" s="32">
        <v>5.1883460000000001</v>
      </c>
      <c r="AH114" s="33">
        <v>4.5625100000000014</v>
      </c>
      <c r="AI114" s="31">
        <f t="shared" si="13"/>
        <v>3.0003074999999964</v>
      </c>
      <c r="AJ114" s="32">
        <v>8.165159999999986</v>
      </c>
      <c r="AK114" s="32">
        <v>1.0004400000000151</v>
      </c>
      <c r="AL114" s="32">
        <v>0.1032699999999904</v>
      </c>
      <c r="AM114" s="34">
        <v>2.732359999999995</v>
      </c>
    </row>
    <row r="115" spans="1:39" x14ac:dyDescent="0.3">
      <c r="A115" s="24" t="s">
        <v>202</v>
      </c>
      <c r="B115" s="25" t="s">
        <v>13</v>
      </c>
      <c r="C115" s="25" t="s">
        <v>14</v>
      </c>
      <c r="D115" s="25" t="s">
        <v>212</v>
      </c>
      <c r="E115" s="26" t="s">
        <v>213</v>
      </c>
      <c r="F115" s="27">
        <v>5</v>
      </c>
      <c r="G115" s="28">
        <f t="shared" si="7"/>
        <v>3</v>
      </c>
      <c r="H115" s="29">
        <v>1</v>
      </c>
      <c r="I115" s="29">
        <v>4</v>
      </c>
      <c r="J115" s="29">
        <v>3</v>
      </c>
      <c r="K115" s="30">
        <v>4</v>
      </c>
      <c r="L115" s="31">
        <f t="shared" si="8"/>
        <v>5.5961099999999995</v>
      </c>
      <c r="M115" s="32">
        <v>0.2</v>
      </c>
      <c r="N115" s="32">
        <v>10.156409999999999</v>
      </c>
      <c r="O115" s="32">
        <v>3.5136859999999999</v>
      </c>
      <c r="P115" s="33">
        <v>8.5143439999999995</v>
      </c>
      <c r="Q115" s="31">
        <f t="shared" si="9"/>
        <v>2.1815034999999998</v>
      </c>
      <c r="R115" s="32">
        <v>0</v>
      </c>
      <c r="S115" s="32">
        <v>6.22417</v>
      </c>
      <c r="T115" s="32">
        <v>0</v>
      </c>
      <c r="U115" s="33">
        <v>2.5018440000000002</v>
      </c>
      <c r="V115" s="31">
        <f t="shared" si="10"/>
        <v>1.5646065</v>
      </c>
      <c r="W115" s="32">
        <v>0</v>
      </c>
      <c r="X115" s="32">
        <v>3.73224</v>
      </c>
      <c r="Y115" s="32">
        <v>1.5136860000000001</v>
      </c>
      <c r="Z115" s="33">
        <v>1.0125</v>
      </c>
      <c r="AA115" s="31">
        <f t="shared" si="11"/>
        <v>0</v>
      </c>
      <c r="AB115" s="32">
        <v>0</v>
      </c>
      <c r="AC115" s="33">
        <v>0</v>
      </c>
      <c r="AD115" s="31">
        <f t="shared" si="12"/>
        <v>0</v>
      </c>
      <c r="AE115" s="32">
        <v>0</v>
      </c>
      <c r="AF115" s="32">
        <v>0</v>
      </c>
      <c r="AG115" s="32">
        <v>0</v>
      </c>
      <c r="AH115" s="33">
        <v>0</v>
      </c>
      <c r="AI115" s="31">
        <f t="shared" si="13"/>
        <v>1.8499999999999996</v>
      </c>
      <c r="AJ115" s="32">
        <v>0.2</v>
      </c>
      <c r="AK115" s="32">
        <v>0.19999999999999929</v>
      </c>
      <c r="AL115" s="32">
        <v>2</v>
      </c>
      <c r="AM115" s="34">
        <v>4.9999999999999991</v>
      </c>
    </row>
    <row r="116" spans="1:39" x14ac:dyDescent="0.3">
      <c r="A116" s="24" t="s">
        <v>202</v>
      </c>
      <c r="B116" s="25" t="s">
        <v>13</v>
      </c>
      <c r="C116" s="25" t="s">
        <v>14</v>
      </c>
      <c r="D116" s="25" t="s">
        <v>212</v>
      </c>
      <c r="E116" s="26" t="s">
        <v>214</v>
      </c>
      <c r="F116" s="27">
        <v>20</v>
      </c>
      <c r="G116" s="28">
        <f t="shared" si="7"/>
        <v>4.25</v>
      </c>
      <c r="H116" s="29">
        <v>2</v>
      </c>
      <c r="I116" s="29">
        <v>0</v>
      </c>
      <c r="J116" s="29">
        <v>11</v>
      </c>
      <c r="K116" s="30">
        <v>4</v>
      </c>
      <c r="L116" s="31">
        <f t="shared" si="8"/>
        <v>4.5101199999999997</v>
      </c>
      <c r="M116" s="32">
        <v>1.001433</v>
      </c>
      <c r="N116" s="32">
        <v>0</v>
      </c>
      <c r="O116" s="32">
        <v>15.572129</v>
      </c>
      <c r="P116" s="33">
        <v>1.4669179999999999</v>
      </c>
      <c r="Q116" s="31">
        <f t="shared" si="9"/>
        <v>1.8265444999999998</v>
      </c>
      <c r="R116" s="32">
        <v>1.001433</v>
      </c>
      <c r="S116" s="32">
        <v>0</v>
      </c>
      <c r="T116" s="32">
        <v>6.3047449999999996</v>
      </c>
      <c r="U116" s="33">
        <v>0</v>
      </c>
      <c r="V116" s="31">
        <f t="shared" si="10"/>
        <v>2.511965</v>
      </c>
      <c r="W116" s="32">
        <v>0</v>
      </c>
      <c r="X116" s="32">
        <v>0</v>
      </c>
      <c r="Y116" s="32">
        <v>8.9447600000000005</v>
      </c>
      <c r="Z116" s="33">
        <v>1.1031</v>
      </c>
      <c r="AA116" s="31">
        <f t="shared" si="11"/>
        <v>0</v>
      </c>
      <c r="AB116" s="32">
        <v>0</v>
      </c>
      <c r="AC116" s="33">
        <v>0</v>
      </c>
      <c r="AD116" s="31">
        <f t="shared" si="12"/>
        <v>0.1716105</v>
      </c>
      <c r="AE116" s="32">
        <v>0</v>
      </c>
      <c r="AF116" s="32">
        <v>0</v>
      </c>
      <c r="AG116" s="32">
        <v>0.32262400000000002</v>
      </c>
      <c r="AH116" s="33">
        <v>0.36381799999999997</v>
      </c>
      <c r="AI116" s="31">
        <f t="shared" si="13"/>
        <v>0</v>
      </c>
      <c r="AJ116" s="32">
        <v>0</v>
      </c>
      <c r="AK116" s="32">
        <v>0</v>
      </c>
      <c r="AL116" s="32">
        <v>0</v>
      </c>
      <c r="AM116" s="34">
        <v>0</v>
      </c>
    </row>
    <row r="117" spans="1:39" x14ac:dyDescent="0.3">
      <c r="A117" s="24" t="s">
        <v>202</v>
      </c>
      <c r="B117" s="25" t="s">
        <v>13</v>
      </c>
      <c r="C117" s="25" t="s">
        <v>14</v>
      </c>
      <c r="D117" s="25" t="s">
        <v>212</v>
      </c>
      <c r="E117" s="26" t="s">
        <v>215</v>
      </c>
      <c r="F117" s="27">
        <v>48</v>
      </c>
      <c r="G117" s="28">
        <f t="shared" si="7"/>
        <v>17.5</v>
      </c>
      <c r="H117" s="29">
        <v>8</v>
      </c>
      <c r="I117" s="29">
        <v>31</v>
      </c>
      <c r="J117" s="29">
        <v>10</v>
      </c>
      <c r="K117" s="30">
        <v>21</v>
      </c>
      <c r="L117" s="31">
        <f t="shared" si="8"/>
        <v>12.080378249999999</v>
      </c>
      <c r="M117" s="32">
        <v>1.986923</v>
      </c>
      <c r="N117" s="32">
        <v>25.257328999999999</v>
      </c>
      <c r="O117" s="32">
        <v>5.8300490000000007</v>
      </c>
      <c r="P117" s="33">
        <v>13.367221000000001</v>
      </c>
      <c r="Q117" s="31">
        <f t="shared" si="9"/>
        <v>3.3386154999999995</v>
      </c>
      <c r="R117" s="32">
        <v>1.0033000000000001</v>
      </c>
      <c r="S117" s="32">
        <v>4.3175959999999991</v>
      </c>
      <c r="T117" s="32">
        <v>2.2686999999999999</v>
      </c>
      <c r="U117" s="33">
        <v>5.7648659999999996</v>
      </c>
      <c r="V117" s="31">
        <f t="shared" si="10"/>
        <v>4.2613460000000005</v>
      </c>
      <c r="W117" s="32">
        <v>0</v>
      </c>
      <c r="X117" s="32">
        <v>7.5926040000000006</v>
      </c>
      <c r="Y117" s="32">
        <v>2.9209800000000001</v>
      </c>
      <c r="Z117" s="33">
        <v>6.5317999999999996</v>
      </c>
      <c r="AA117" s="31">
        <f t="shared" si="11"/>
        <v>0.93999549999999998</v>
      </c>
      <c r="AB117" s="32">
        <v>0.58140700000000001</v>
      </c>
      <c r="AC117" s="33">
        <v>1.298584</v>
      </c>
      <c r="AD117" s="31">
        <f t="shared" si="12"/>
        <v>1.0404012499999999</v>
      </c>
      <c r="AE117" s="32">
        <v>0.40221600000000002</v>
      </c>
      <c r="AF117" s="32">
        <v>2.0484650000000002</v>
      </c>
      <c r="AG117" s="32">
        <v>0.64036899999999997</v>
      </c>
      <c r="AH117" s="33">
        <v>1.0705549999999999</v>
      </c>
      <c r="AI117" s="31">
        <f t="shared" si="13"/>
        <v>2.5000200000000001</v>
      </c>
      <c r="AJ117" s="32">
        <v>0</v>
      </c>
      <c r="AK117" s="32">
        <v>10.000080000000001</v>
      </c>
      <c r="AL117" s="32">
        <v>0</v>
      </c>
      <c r="AM117" s="34">
        <v>0</v>
      </c>
    </row>
    <row r="118" spans="1:39" x14ac:dyDescent="0.3">
      <c r="A118" s="24" t="s">
        <v>202</v>
      </c>
      <c r="B118" s="25" t="s">
        <v>13</v>
      </c>
      <c r="C118" s="25" t="s">
        <v>14</v>
      </c>
      <c r="D118" s="25" t="s">
        <v>212</v>
      </c>
      <c r="E118" s="26" t="s">
        <v>216</v>
      </c>
      <c r="F118" s="27">
        <v>10</v>
      </c>
      <c r="G118" s="28">
        <f t="shared" si="7"/>
        <v>1.5</v>
      </c>
      <c r="H118" s="29">
        <v>2</v>
      </c>
      <c r="I118" s="29">
        <v>2</v>
      </c>
      <c r="J118" s="29">
        <v>1</v>
      </c>
      <c r="K118" s="30">
        <v>1</v>
      </c>
      <c r="L118" s="31">
        <f t="shared" si="8"/>
        <v>0.73702025000000004</v>
      </c>
      <c r="M118" s="32">
        <v>0.39763799999999999</v>
      </c>
      <c r="N118" s="32">
        <v>1.2050050000000001</v>
      </c>
      <c r="O118" s="32">
        <v>1.0044</v>
      </c>
      <c r="P118" s="33">
        <v>0.25140000000000001</v>
      </c>
      <c r="Q118" s="31">
        <f t="shared" si="9"/>
        <v>0.64220124999999995</v>
      </c>
      <c r="R118" s="32">
        <v>0.308</v>
      </c>
      <c r="S118" s="32">
        <v>1.0050049999999999</v>
      </c>
      <c r="T118" s="32">
        <v>1.0044</v>
      </c>
      <c r="U118" s="33">
        <v>0.25140000000000001</v>
      </c>
      <c r="V118" s="31">
        <f t="shared" si="10"/>
        <v>0</v>
      </c>
      <c r="W118" s="32">
        <v>0</v>
      </c>
      <c r="X118" s="32">
        <v>0</v>
      </c>
      <c r="Y118" s="32">
        <v>0</v>
      </c>
      <c r="Z118" s="33">
        <v>0</v>
      </c>
      <c r="AA118" s="31">
        <f t="shared" si="11"/>
        <v>4.4818999999999998E-2</v>
      </c>
      <c r="AB118" s="32">
        <v>8.9637999999999995E-2</v>
      </c>
      <c r="AC118" s="33">
        <v>0</v>
      </c>
      <c r="AD118" s="31">
        <f t="shared" si="12"/>
        <v>0</v>
      </c>
      <c r="AE118" s="32">
        <v>0</v>
      </c>
      <c r="AF118" s="32">
        <v>0</v>
      </c>
      <c r="AG118" s="32">
        <v>0</v>
      </c>
      <c r="AH118" s="33">
        <v>0</v>
      </c>
      <c r="AI118" s="31">
        <f t="shared" si="13"/>
        <v>5.0000000000000051E-2</v>
      </c>
      <c r="AJ118" s="32">
        <v>0</v>
      </c>
      <c r="AK118" s="32">
        <v>0.20000000000000021</v>
      </c>
      <c r="AL118" s="32">
        <v>0</v>
      </c>
      <c r="AM118" s="34">
        <v>0</v>
      </c>
    </row>
    <row r="119" spans="1:39" x14ac:dyDescent="0.3">
      <c r="A119" s="24" t="s">
        <v>202</v>
      </c>
      <c r="B119" s="25" t="s">
        <v>13</v>
      </c>
      <c r="C119" s="25" t="s">
        <v>14</v>
      </c>
      <c r="D119" s="25" t="s">
        <v>212</v>
      </c>
      <c r="E119" s="26" t="s">
        <v>217</v>
      </c>
      <c r="F119" s="27">
        <v>6</v>
      </c>
      <c r="G119" s="28">
        <f t="shared" si="7"/>
        <v>0.75</v>
      </c>
      <c r="H119" s="29">
        <v>1</v>
      </c>
      <c r="I119" s="29">
        <v>0</v>
      </c>
      <c r="J119" s="29">
        <v>2</v>
      </c>
      <c r="K119" s="30">
        <v>0</v>
      </c>
      <c r="L119" s="31">
        <f t="shared" si="8"/>
        <v>1.2921367500000001</v>
      </c>
      <c r="M119" s="32">
        <v>1.0008269999999999</v>
      </c>
      <c r="N119" s="32">
        <v>0</v>
      </c>
      <c r="O119" s="32">
        <v>4.1677200000000001</v>
      </c>
      <c r="P119" s="33">
        <v>0</v>
      </c>
      <c r="Q119" s="31">
        <f t="shared" si="9"/>
        <v>0.25020674999999998</v>
      </c>
      <c r="R119" s="32">
        <v>1.0008269999999999</v>
      </c>
      <c r="S119" s="32">
        <v>0</v>
      </c>
      <c r="T119" s="32">
        <v>0</v>
      </c>
      <c r="U119" s="33">
        <v>0</v>
      </c>
      <c r="V119" s="31">
        <f t="shared" si="10"/>
        <v>1.04193</v>
      </c>
      <c r="W119" s="32">
        <v>0</v>
      </c>
      <c r="X119" s="32">
        <v>0</v>
      </c>
      <c r="Y119" s="32">
        <v>4.1677200000000001</v>
      </c>
      <c r="Z119" s="33">
        <v>0</v>
      </c>
      <c r="AA119" s="31">
        <f t="shared" si="11"/>
        <v>0</v>
      </c>
      <c r="AB119" s="32">
        <v>0</v>
      </c>
      <c r="AC119" s="33">
        <v>0</v>
      </c>
      <c r="AD119" s="31">
        <f t="shared" si="12"/>
        <v>0</v>
      </c>
      <c r="AE119" s="32">
        <v>0</v>
      </c>
      <c r="AF119" s="32">
        <v>0</v>
      </c>
      <c r="AG119" s="32">
        <v>0</v>
      </c>
      <c r="AH119" s="33">
        <v>0</v>
      </c>
      <c r="AI119" s="31">
        <f t="shared" si="13"/>
        <v>0</v>
      </c>
      <c r="AJ119" s="32">
        <v>0</v>
      </c>
      <c r="AK119" s="32">
        <v>0</v>
      </c>
      <c r="AL119" s="32">
        <v>0</v>
      </c>
      <c r="AM119" s="34">
        <v>0</v>
      </c>
    </row>
    <row r="120" spans="1:39" x14ac:dyDescent="0.3">
      <c r="A120" s="24" t="s">
        <v>202</v>
      </c>
      <c r="B120" s="25" t="s">
        <v>13</v>
      </c>
      <c r="C120" s="25" t="s">
        <v>14</v>
      </c>
      <c r="D120" s="25" t="s">
        <v>212</v>
      </c>
      <c r="E120" s="26" t="s">
        <v>218</v>
      </c>
      <c r="F120" s="27">
        <v>5</v>
      </c>
      <c r="G120" s="28">
        <f t="shared" si="7"/>
        <v>0</v>
      </c>
      <c r="H120" s="29">
        <v>0</v>
      </c>
      <c r="I120" s="29">
        <v>0</v>
      </c>
      <c r="J120" s="29">
        <v>0</v>
      </c>
      <c r="K120" s="30">
        <v>0</v>
      </c>
      <c r="L120" s="31">
        <f t="shared" si="8"/>
        <v>0</v>
      </c>
      <c r="M120" s="32">
        <v>0</v>
      </c>
      <c r="N120" s="32">
        <v>0</v>
      </c>
      <c r="O120" s="32">
        <v>0</v>
      </c>
      <c r="P120" s="33">
        <v>0</v>
      </c>
      <c r="Q120" s="31">
        <f t="shared" si="9"/>
        <v>0</v>
      </c>
      <c r="R120" s="32">
        <v>0</v>
      </c>
      <c r="S120" s="32">
        <v>0</v>
      </c>
      <c r="T120" s="32">
        <v>0</v>
      </c>
      <c r="U120" s="33">
        <v>0</v>
      </c>
      <c r="V120" s="31">
        <f t="shared" si="10"/>
        <v>0</v>
      </c>
      <c r="W120" s="32">
        <v>0</v>
      </c>
      <c r="X120" s="32">
        <v>0</v>
      </c>
      <c r="Y120" s="32">
        <v>0</v>
      </c>
      <c r="Z120" s="33">
        <v>0</v>
      </c>
      <c r="AA120" s="31">
        <f t="shared" si="11"/>
        <v>0</v>
      </c>
      <c r="AB120" s="32">
        <v>0</v>
      </c>
      <c r="AC120" s="33">
        <v>0</v>
      </c>
      <c r="AD120" s="31">
        <f t="shared" si="12"/>
        <v>0</v>
      </c>
      <c r="AE120" s="32">
        <v>0</v>
      </c>
      <c r="AF120" s="32">
        <v>0</v>
      </c>
      <c r="AG120" s="32">
        <v>0</v>
      </c>
      <c r="AH120" s="33">
        <v>0</v>
      </c>
      <c r="AI120" s="31">
        <f t="shared" si="13"/>
        <v>0</v>
      </c>
      <c r="AJ120" s="32">
        <v>0</v>
      </c>
      <c r="AK120" s="32">
        <v>0</v>
      </c>
      <c r="AL120" s="32">
        <v>0</v>
      </c>
      <c r="AM120" s="34">
        <v>0</v>
      </c>
    </row>
    <row r="121" spans="1:39" x14ac:dyDescent="0.3">
      <c r="A121" s="24" t="s">
        <v>202</v>
      </c>
      <c r="B121" s="25" t="s">
        <v>13</v>
      </c>
      <c r="C121" s="25" t="s">
        <v>14</v>
      </c>
      <c r="D121" s="25" t="s">
        <v>212</v>
      </c>
      <c r="E121" s="26" t="s">
        <v>219</v>
      </c>
      <c r="F121" s="27">
        <v>1</v>
      </c>
      <c r="G121" s="28">
        <f t="shared" si="7"/>
        <v>0</v>
      </c>
      <c r="H121" s="29">
        <v>0</v>
      </c>
      <c r="I121" s="29">
        <v>0</v>
      </c>
      <c r="J121" s="29">
        <v>0</v>
      </c>
      <c r="K121" s="30">
        <v>0</v>
      </c>
      <c r="L121" s="31">
        <f t="shared" si="8"/>
        <v>0</v>
      </c>
      <c r="M121" s="32">
        <v>0</v>
      </c>
      <c r="N121" s="32">
        <v>0</v>
      </c>
      <c r="O121" s="32">
        <v>0</v>
      </c>
      <c r="P121" s="33">
        <v>0</v>
      </c>
      <c r="Q121" s="31">
        <f t="shared" si="9"/>
        <v>0</v>
      </c>
      <c r="R121" s="32">
        <v>0</v>
      </c>
      <c r="S121" s="32">
        <v>0</v>
      </c>
      <c r="T121" s="32">
        <v>0</v>
      </c>
      <c r="U121" s="33">
        <v>0</v>
      </c>
      <c r="V121" s="31">
        <f t="shared" si="10"/>
        <v>0</v>
      </c>
      <c r="W121" s="32">
        <v>0</v>
      </c>
      <c r="X121" s="32">
        <v>0</v>
      </c>
      <c r="Y121" s="32">
        <v>0</v>
      </c>
      <c r="Z121" s="33">
        <v>0</v>
      </c>
      <c r="AA121" s="31">
        <f t="shared" si="11"/>
        <v>0</v>
      </c>
      <c r="AB121" s="32">
        <v>0</v>
      </c>
      <c r="AC121" s="33">
        <v>0</v>
      </c>
      <c r="AD121" s="31">
        <f t="shared" si="12"/>
        <v>0</v>
      </c>
      <c r="AE121" s="32">
        <v>0</v>
      </c>
      <c r="AF121" s="32">
        <v>0</v>
      </c>
      <c r="AG121" s="32">
        <v>0</v>
      </c>
      <c r="AH121" s="33">
        <v>0</v>
      </c>
      <c r="AI121" s="31">
        <f t="shared" si="13"/>
        <v>0</v>
      </c>
      <c r="AJ121" s="32">
        <v>0</v>
      </c>
      <c r="AK121" s="32">
        <v>0</v>
      </c>
      <c r="AL121" s="32">
        <v>0</v>
      </c>
      <c r="AM121" s="34">
        <v>0</v>
      </c>
    </row>
    <row r="122" spans="1:39" x14ac:dyDescent="0.3">
      <c r="A122" s="24" t="s">
        <v>202</v>
      </c>
      <c r="B122" s="25" t="s">
        <v>13</v>
      </c>
      <c r="C122" s="25" t="s">
        <v>14</v>
      </c>
      <c r="D122" s="25" t="s">
        <v>212</v>
      </c>
      <c r="E122" s="26" t="s">
        <v>220</v>
      </c>
      <c r="F122" s="27">
        <v>15</v>
      </c>
      <c r="G122" s="28">
        <f t="shared" si="7"/>
        <v>10</v>
      </c>
      <c r="H122" s="29">
        <v>11</v>
      </c>
      <c r="I122" s="29">
        <v>10</v>
      </c>
      <c r="J122" s="29">
        <v>13</v>
      </c>
      <c r="K122" s="30">
        <v>6</v>
      </c>
      <c r="L122" s="31">
        <f t="shared" si="8"/>
        <v>6.2616007500000004</v>
      </c>
      <c r="M122" s="32">
        <v>8.2749240000000004</v>
      </c>
      <c r="N122" s="32">
        <v>4.837046</v>
      </c>
      <c r="O122" s="32">
        <v>8.6991130000000005</v>
      </c>
      <c r="P122" s="33">
        <v>3.0352160000000001</v>
      </c>
      <c r="Q122" s="31">
        <f t="shared" si="9"/>
        <v>3.4229547500000002</v>
      </c>
      <c r="R122" s="32">
        <v>4.81968</v>
      </c>
      <c r="S122" s="32">
        <v>2.9269660000000002</v>
      </c>
      <c r="T122" s="32">
        <v>5.0358770000000002</v>
      </c>
      <c r="U122" s="33">
        <v>0.90929599999999999</v>
      </c>
      <c r="V122" s="31">
        <f t="shared" si="10"/>
        <v>2.2708849999999998</v>
      </c>
      <c r="W122" s="32">
        <v>3.2551399999999999</v>
      </c>
      <c r="X122" s="32">
        <v>1.7665200000000001</v>
      </c>
      <c r="Y122" s="32">
        <v>2.73726</v>
      </c>
      <c r="Z122" s="33">
        <v>1.3246199999999999</v>
      </c>
      <c r="AA122" s="31">
        <f t="shared" si="11"/>
        <v>0.100052</v>
      </c>
      <c r="AB122" s="32">
        <v>0.200104</v>
      </c>
      <c r="AC122" s="33">
        <v>0</v>
      </c>
      <c r="AD122" s="31">
        <f t="shared" si="12"/>
        <v>0.16733900000000002</v>
      </c>
      <c r="AE122" s="32">
        <v>0</v>
      </c>
      <c r="AF122" s="32">
        <v>0.14355999999999999</v>
      </c>
      <c r="AG122" s="32">
        <v>0.52579600000000004</v>
      </c>
      <c r="AH122" s="33">
        <v>0</v>
      </c>
      <c r="AI122" s="31">
        <f t="shared" si="13"/>
        <v>0.3003700000000003</v>
      </c>
      <c r="AJ122" s="32">
        <v>4.9960036108132044E-16</v>
      </c>
      <c r="AK122" s="32">
        <v>0</v>
      </c>
      <c r="AL122" s="32">
        <v>0.40018000000000031</v>
      </c>
      <c r="AM122" s="34">
        <v>0.80130000000000035</v>
      </c>
    </row>
    <row r="123" spans="1:39" x14ac:dyDescent="0.3">
      <c r="A123" s="24" t="s">
        <v>202</v>
      </c>
      <c r="B123" s="25" t="s">
        <v>13</v>
      </c>
      <c r="C123" s="25" t="s">
        <v>14</v>
      </c>
      <c r="D123" s="25" t="s">
        <v>212</v>
      </c>
      <c r="E123" s="26" t="s">
        <v>221</v>
      </c>
      <c r="F123" s="27">
        <v>6</v>
      </c>
      <c r="G123" s="28">
        <f t="shared" si="7"/>
        <v>2.75</v>
      </c>
      <c r="H123" s="29">
        <v>3</v>
      </c>
      <c r="I123" s="29">
        <v>4</v>
      </c>
      <c r="J123" s="29">
        <v>2</v>
      </c>
      <c r="K123" s="30">
        <v>2</v>
      </c>
      <c r="L123" s="31">
        <f t="shared" si="8"/>
        <v>1.96131525</v>
      </c>
      <c r="M123" s="32">
        <v>1.569053</v>
      </c>
      <c r="N123" s="32">
        <v>3.0866600000000002</v>
      </c>
      <c r="O123" s="32">
        <v>1.5994029999999999</v>
      </c>
      <c r="P123" s="33">
        <v>1.523228</v>
      </c>
      <c r="Q123" s="31">
        <f t="shared" si="9"/>
        <v>0.75394699999999992</v>
      </c>
      <c r="R123" s="32">
        <v>1.5021359999999999</v>
      </c>
      <c r="S123" s="32">
        <v>0</v>
      </c>
      <c r="T123" s="32">
        <v>1.0008239999999999</v>
      </c>
      <c r="U123" s="33">
        <v>0.51282799999999995</v>
      </c>
      <c r="V123" s="31">
        <f t="shared" si="10"/>
        <v>1.1479550000000001</v>
      </c>
      <c r="W123" s="32">
        <v>0</v>
      </c>
      <c r="X123" s="32">
        <v>3.0866600000000002</v>
      </c>
      <c r="Y123" s="32">
        <v>0.49475999999999998</v>
      </c>
      <c r="Z123" s="33">
        <v>1.0104</v>
      </c>
      <c r="AA123" s="31">
        <f t="shared" si="11"/>
        <v>3.3458500000000002E-2</v>
      </c>
      <c r="AB123" s="32">
        <v>6.6917000000000004E-2</v>
      </c>
      <c r="AC123" s="33">
        <v>0</v>
      </c>
      <c r="AD123" s="31">
        <f t="shared" si="12"/>
        <v>2.5954749999999999E-2</v>
      </c>
      <c r="AE123" s="32">
        <v>0</v>
      </c>
      <c r="AF123" s="32">
        <v>0</v>
      </c>
      <c r="AG123" s="32">
        <v>0.10381899999999999</v>
      </c>
      <c r="AH123" s="33">
        <v>0</v>
      </c>
      <c r="AI123" s="31">
        <f t="shared" si="13"/>
        <v>5.5511151231257827E-17</v>
      </c>
      <c r="AJ123" s="32">
        <v>0</v>
      </c>
      <c r="AK123" s="32">
        <v>0</v>
      </c>
      <c r="AL123" s="32">
        <v>0</v>
      </c>
      <c r="AM123" s="34">
        <v>2.2204460492503131E-16</v>
      </c>
    </row>
    <row r="124" spans="1:39" x14ac:dyDescent="0.3">
      <c r="A124" s="24" t="s">
        <v>202</v>
      </c>
      <c r="B124" s="25" t="s">
        <v>13</v>
      </c>
      <c r="C124" s="25" t="s">
        <v>14</v>
      </c>
      <c r="D124" s="25" t="s">
        <v>212</v>
      </c>
      <c r="E124" s="26" t="s">
        <v>222</v>
      </c>
      <c r="F124" s="27">
        <v>9</v>
      </c>
      <c r="G124" s="28">
        <f t="shared" si="7"/>
        <v>1.5</v>
      </c>
      <c r="H124" s="29">
        <v>1</v>
      </c>
      <c r="I124" s="29">
        <v>2</v>
      </c>
      <c r="J124" s="29">
        <v>2</v>
      </c>
      <c r="K124" s="30">
        <v>1</v>
      </c>
      <c r="L124" s="31">
        <f t="shared" si="8"/>
        <v>0.3097975</v>
      </c>
      <c r="M124" s="32">
        <v>5.4518999999999998E-2</v>
      </c>
      <c r="N124" s="32">
        <v>0.91266400000000003</v>
      </c>
      <c r="O124" s="32">
        <v>0.15845200000000001</v>
      </c>
      <c r="P124" s="33">
        <v>0.113555</v>
      </c>
      <c r="Q124" s="31">
        <f t="shared" si="9"/>
        <v>0.22816600000000001</v>
      </c>
      <c r="R124" s="32">
        <v>0</v>
      </c>
      <c r="S124" s="32">
        <v>0.91266400000000003</v>
      </c>
      <c r="T124" s="32">
        <v>0</v>
      </c>
      <c r="U124" s="33">
        <v>0</v>
      </c>
      <c r="V124" s="31">
        <f t="shared" si="10"/>
        <v>0</v>
      </c>
      <c r="W124" s="32">
        <v>0</v>
      </c>
      <c r="X124" s="32">
        <v>0</v>
      </c>
      <c r="Y124" s="32">
        <v>0</v>
      </c>
      <c r="Z124" s="33">
        <v>0</v>
      </c>
      <c r="AA124" s="31">
        <f t="shared" si="11"/>
        <v>0</v>
      </c>
      <c r="AB124" s="32">
        <v>0</v>
      </c>
      <c r="AC124" s="33">
        <v>0</v>
      </c>
      <c r="AD124" s="31">
        <f t="shared" si="12"/>
        <v>8.163150000000001E-2</v>
      </c>
      <c r="AE124" s="32">
        <v>5.4518999999999998E-2</v>
      </c>
      <c r="AF124" s="32">
        <v>0</v>
      </c>
      <c r="AG124" s="32">
        <v>0.15845200000000001</v>
      </c>
      <c r="AH124" s="33">
        <v>0.113555</v>
      </c>
      <c r="AI124" s="31">
        <f t="shared" si="13"/>
        <v>0</v>
      </c>
      <c r="AJ124" s="32">
        <v>0</v>
      </c>
      <c r="AK124" s="32">
        <v>0</v>
      </c>
      <c r="AL124" s="32">
        <v>0</v>
      </c>
      <c r="AM124" s="34">
        <v>0</v>
      </c>
    </row>
    <row r="125" spans="1:39" x14ac:dyDescent="0.3">
      <c r="A125" s="24" t="s">
        <v>202</v>
      </c>
      <c r="B125" s="25" t="s">
        <v>13</v>
      </c>
      <c r="C125" s="25" t="s">
        <v>14</v>
      </c>
      <c r="D125" s="25" t="s">
        <v>212</v>
      </c>
      <c r="E125" s="26" t="s">
        <v>223</v>
      </c>
      <c r="F125" s="27">
        <v>2</v>
      </c>
      <c r="G125" s="28">
        <f t="shared" si="7"/>
        <v>0.25</v>
      </c>
      <c r="H125" s="29">
        <v>0</v>
      </c>
      <c r="I125" s="29">
        <v>0</v>
      </c>
      <c r="J125" s="29">
        <v>0</v>
      </c>
      <c r="K125" s="30">
        <v>1</v>
      </c>
      <c r="L125" s="31">
        <f t="shared" si="8"/>
        <v>5.0599999999999999E-2</v>
      </c>
      <c r="M125" s="32">
        <v>0</v>
      </c>
      <c r="N125" s="32">
        <v>0</v>
      </c>
      <c r="O125" s="32">
        <v>0</v>
      </c>
      <c r="P125" s="33">
        <v>0.2024</v>
      </c>
      <c r="Q125" s="31">
        <f t="shared" si="9"/>
        <v>0</v>
      </c>
      <c r="R125" s="32">
        <v>0</v>
      </c>
      <c r="S125" s="32">
        <v>0</v>
      </c>
      <c r="T125" s="32">
        <v>0</v>
      </c>
      <c r="U125" s="33">
        <v>0</v>
      </c>
      <c r="V125" s="31">
        <f t="shared" si="10"/>
        <v>5.0599999999999999E-2</v>
      </c>
      <c r="W125" s="32">
        <v>0</v>
      </c>
      <c r="X125" s="32">
        <v>0</v>
      </c>
      <c r="Y125" s="32">
        <v>0</v>
      </c>
      <c r="Z125" s="33">
        <v>0.2024</v>
      </c>
      <c r="AA125" s="31">
        <f t="shared" si="11"/>
        <v>0</v>
      </c>
      <c r="AB125" s="32">
        <v>0</v>
      </c>
      <c r="AC125" s="33">
        <v>0</v>
      </c>
      <c r="AD125" s="31">
        <f t="shared" si="12"/>
        <v>0</v>
      </c>
      <c r="AE125" s="32">
        <v>0</v>
      </c>
      <c r="AF125" s="32">
        <v>0</v>
      </c>
      <c r="AG125" s="32">
        <v>0</v>
      </c>
      <c r="AH125" s="33">
        <v>0</v>
      </c>
      <c r="AI125" s="31">
        <f t="shared" si="13"/>
        <v>0</v>
      </c>
      <c r="AJ125" s="32">
        <v>0</v>
      </c>
      <c r="AK125" s="32">
        <v>0</v>
      </c>
      <c r="AL125" s="32">
        <v>0</v>
      </c>
      <c r="AM125" s="34">
        <v>0</v>
      </c>
    </row>
    <row r="126" spans="1:39" x14ac:dyDescent="0.3">
      <c r="A126" s="24" t="s">
        <v>202</v>
      </c>
      <c r="B126" s="25" t="s">
        <v>13</v>
      </c>
      <c r="C126" s="25" t="s">
        <v>14</v>
      </c>
      <c r="D126" s="25" t="s">
        <v>212</v>
      </c>
      <c r="E126" s="26" t="s">
        <v>224</v>
      </c>
      <c r="F126" s="27">
        <v>1</v>
      </c>
      <c r="G126" s="28">
        <f t="shared" si="7"/>
        <v>0</v>
      </c>
      <c r="H126" s="29">
        <v>0</v>
      </c>
      <c r="I126" s="29">
        <v>0</v>
      </c>
      <c r="J126" s="29">
        <v>0</v>
      </c>
      <c r="K126" s="30">
        <v>0</v>
      </c>
      <c r="L126" s="31">
        <f t="shared" si="8"/>
        <v>0</v>
      </c>
      <c r="M126" s="32">
        <v>0</v>
      </c>
      <c r="N126" s="32">
        <v>0</v>
      </c>
      <c r="O126" s="32">
        <v>0</v>
      </c>
      <c r="P126" s="33">
        <v>0</v>
      </c>
      <c r="Q126" s="31">
        <f t="shared" si="9"/>
        <v>0</v>
      </c>
      <c r="R126" s="32">
        <v>0</v>
      </c>
      <c r="S126" s="32">
        <v>0</v>
      </c>
      <c r="T126" s="32">
        <v>0</v>
      </c>
      <c r="U126" s="33">
        <v>0</v>
      </c>
      <c r="V126" s="31">
        <f t="shared" si="10"/>
        <v>0</v>
      </c>
      <c r="W126" s="32">
        <v>0</v>
      </c>
      <c r="X126" s="32">
        <v>0</v>
      </c>
      <c r="Y126" s="32">
        <v>0</v>
      </c>
      <c r="Z126" s="33">
        <v>0</v>
      </c>
      <c r="AA126" s="31">
        <f t="shared" si="11"/>
        <v>0</v>
      </c>
      <c r="AB126" s="32">
        <v>0</v>
      </c>
      <c r="AC126" s="33">
        <v>0</v>
      </c>
      <c r="AD126" s="31">
        <f t="shared" si="12"/>
        <v>0</v>
      </c>
      <c r="AE126" s="32">
        <v>0</v>
      </c>
      <c r="AF126" s="32">
        <v>0</v>
      </c>
      <c r="AG126" s="32">
        <v>0</v>
      </c>
      <c r="AH126" s="33">
        <v>0</v>
      </c>
      <c r="AI126" s="31">
        <f t="shared" si="13"/>
        <v>0</v>
      </c>
      <c r="AJ126" s="32">
        <v>0</v>
      </c>
      <c r="AK126" s="32">
        <v>0</v>
      </c>
      <c r="AL126" s="32">
        <v>0</v>
      </c>
      <c r="AM126" s="34">
        <v>0</v>
      </c>
    </row>
    <row r="127" spans="1:39" x14ac:dyDescent="0.3">
      <c r="A127" s="24" t="s">
        <v>202</v>
      </c>
      <c r="B127" s="25" t="s">
        <v>13</v>
      </c>
      <c r="C127" s="25" t="s">
        <v>14</v>
      </c>
      <c r="D127" s="25" t="s">
        <v>212</v>
      </c>
      <c r="E127" s="26" t="s">
        <v>225</v>
      </c>
      <c r="F127" s="27">
        <v>1</v>
      </c>
      <c r="G127" s="28">
        <f t="shared" si="7"/>
        <v>0.5</v>
      </c>
      <c r="H127" s="29">
        <v>0</v>
      </c>
      <c r="I127" s="29">
        <v>1</v>
      </c>
      <c r="J127" s="29">
        <v>1</v>
      </c>
      <c r="K127" s="30">
        <v>0</v>
      </c>
      <c r="L127" s="31">
        <f t="shared" si="8"/>
        <v>0.33002400000000004</v>
      </c>
      <c r="M127" s="32">
        <v>0</v>
      </c>
      <c r="N127" s="32">
        <v>0.30069600000000002</v>
      </c>
      <c r="O127" s="32">
        <v>1.0194000000000001</v>
      </c>
      <c r="P127" s="33">
        <v>0</v>
      </c>
      <c r="Q127" s="31">
        <f t="shared" si="9"/>
        <v>7.5174000000000005E-2</v>
      </c>
      <c r="R127" s="32">
        <v>0</v>
      </c>
      <c r="S127" s="32">
        <v>0.30069600000000002</v>
      </c>
      <c r="T127" s="32">
        <v>0</v>
      </c>
      <c r="U127" s="33">
        <v>0</v>
      </c>
      <c r="V127" s="31">
        <f t="shared" si="10"/>
        <v>0.25485000000000002</v>
      </c>
      <c r="W127" s="32">
        <v>0</v>
      </c>
      <c r="X127" s="32">
        <v>0</v>
      </c>
      <c r="Y127" s="32">
        <v>1.0194000000000001</v>
      </c>
      <c r="Z127" s="33">
        <v>0</v>
      </c>
      <c r="AA127" s="31">
        <f t="shared" si="11"/>
        <v>0</v>
      </c>
      <c r="AB127" s="32">
        <v>0</v>
      </c>
      <c r="AC127" s="33">
        <v>0</v>
      </c>
      <c r="AD127" s="31">
        <f t="shared" si="12"/>
        <v>0</v>
      </c>
      <c r="AE127" s="32">
        <v>0</v>
      </c>
      <c r="AF127" s="32">
        <v>0</v>
      </c>
      <c r="AG127" s="32">
        <v>0</v>
      </c>
      <c r="AH127" s="33">
        <v>0</v>
      </c>
      <c r="AI127" s="31">
        <f t="shared" si="13"/>
        <v>0</v>
      </c>
      <c r="AJ127" s="32">
        <v>0</v>
      </c>
      <c r="AK127" s="32">
        <v>0</v>
      </c>
      <c r="AL127" s="32">
        <v>0</v>
      </c>
      <c r="AM127" s="34">
        <v>0</v>
      </c>
    </row>
    <row r="128" spans="1:39" x14ac:dyDescent="0.3">
      <c r="A128" s="24" t="s">
        <v>202</v>
      </c>
      <c r="B128" s="25" t="s">
        <v>13</v>
      </c>
      <c r="C128" s="25" t="s">
        <v>14</v>
      </c>
      <c r="D128" s="25" t="s">
        <v>212</v>
      </c>
      <c r="E128" s="26" t="s">
        <v>226</v>
      </c>
      <c r="F128" s="27">
        <v>3</v>
      </c>
      <c r="G128" s="28">
        <f t="shared" si="7"/>
        <v>0.75</v>
      </c>
      <c r="H128" s="29">
        <v>1</v>
      </c>
      <c r="I128" s="29">
        <v>1</v>
      </c>
      <c r="J128" s="29">
        <v>1</v>
      </c>
      <c r="K128" s="30">
        <v>0</v>
      </c>
      <c r="L128" s="31">
        <f t="shared" si="8"/>
        <v>0.11861100000000001</v>
      </c>
      <c r="M128" s="32">
        <v>7.0920999999999998E-2</v>
      </c>
      <c r="N128" s="32">
        <v>0.32240000000000002</v>
      </c>
      <c r="O128" s="32">
        <v>8.1123000000000001E-2</v>
      </c>
      <c r="P128" s="33">
        <v>0</v>
      </c>
      <c r="Q128" s="31">
        <f t="shared" si="9"/>
        <v>8.0600000000000005E-2</v>
      </c>
      <c r="R128" s="32">
        <v>0</v>
      </c>
      <c r="S128" s="32">
        <v>0.32240000000000002</v>
      </c>
      <c r="T128" s="32">
        <v>0</v>
      </c>
      <c r="U128" s="33">
        <v>0</v>
      </c>
      <c r="V128" s="31">
        <f t="shared" si="10"/>
        <v>0</v>
      </c>
      <c r="W128" s="32">
        <v>0</v>
      </c>
      <c r="X128" s="32">
        <v>0</v>
      </c>
      <c r="Y128" s="32">
        <v>0</v>
      </c>
      <c r="Z128" s="33">
        <v>0</v>
      </c>
      <c r="AA128" s="31">
        <f t="shared" si="11"/>
        <v>0</v>
      </c>
      <c r="AB128" s="32">
        <v>0</v>
      </c>
      <c r="AC128" s="33">
        <v>0</v>
      </c>
      <c r="AD128" s="31">
        <f t="shared" si="12"/>
        <v>3.8011000000000003E-2</v>
      </c>
      <c r="AE128" s="32">
        <v>7.0920999999999998E-2</v>
      </c>
      <c r="AF128" s="32">
        <v>0</v>
      </c>
      <c r="AG128" s="32">
        <v>8.1123000000000001E-2</v>
      </c>
      <c r="AH128" s="33">
        <v>0</v>
      </c>
      <c r="AI128" s="31">
        <f t="shared" si="13"/>
        <v>0</v>
      </c>
      <c r="AJ128" s="32">
        <v>0</v>
      </c>
      <c r="AK128" s="32">
        <v>0</v>
      </c>
      <c r="AL128" s="32">
        <v>0</v>
      </c>
      <c r="AM128" s="34">
        <v>0</v>
      </c>
    </row>
    <row r="129" spans="1:39" x14ac:dyDescent="0.3">
      <c r="A129" s="24" t="s">
        <v>202</v>
      </c>
      <c r="B129" s="25" t="s">
        <v>13</v>
      </c>
      <c r="C129" s="25" t="s">
        <v>14</v>
      </c>
      <c r="D129" s="25" t="s">
        <v>212</v>
      </c>
      <c r="E129" s="26" t="s">
        <v>227</v>
      </c>
      <c r="F129" s="27">
        <v>2</v>
      </c>
      <c r="G129" s="28">
        <f t="shared" si="7"/>
        <v>0.25</v>
      </c>
      <c r="H129" s="29">
        <v>0</v>
      </c>
      <c r="I129" s="29">
        <v>0</v>
      </c>
      <c r="J129" s="29">
        <v>1</v>
      </c>
      <c r="K129" s="30">
        <v>0</v>
      </c>
      <c r="L129" s="31">
        <f t="shared" si="8"/>
        <v>0.12720500000000001</v>
      </c>
      <c r="M129" s="32">
        <v>0</v>
      </c>
      <c r="N129" s="32">
        <v>0</v>
      </c>
      <c r="O129" s="32">
        <v>0.50882000000000005</v>
      </c>
      <c r="P129" s="33">
        <v>0</v>
      </c>
      <c r="Q129" s="31">
        <f t="shared" si="9"/>
        <v>0.12720500000000001</v>
      </c>
      <c r="R129" s="32">
        <v>0</v>
      </c>
      <c r="S129" s="32">
        <v>0</v>
      </c>
      <c r="T129" s="32">
        <v>0.50882000000000005</v>
      </c>
      <c r="U129" s="33">
        <v>0</v>
      </c>
      <c r="V129" s="31">
        <f t="shared" si="10"/>
        <v>0</v>
      </c>
      <c r="W129" s="32">
        <v>0</v>
      </c>
      <c r="X129" s="32">
        <v>0</v>
      </c>
      <c r="Y129" s="32">
        <v>0</v>
      </c>
      <c r="Z129" s="33">
        <v>0</v>
      </c>
      <c r="AA129" s="31">
        <f t="shared" si="11"/>
        <v>0</v>
      </c>
      <c r="AB129" s="32">
        <v>0</v>
      </c>
      <c r="AC129" s="33">
        <v>0</v>
      </c>
      <c r="AD129" s="31">
        <f t="shared" si="12"/>
        <v>0</v>
      </c>
      <c r="AE129" s="32">
        <v>0</v>
      </c>
      <c r="AF129" s="32">
        <v>0</v>
      </c>
      <c r="AG129" s="32">
        <v>0</v>
      </c>
      <c r="AH129" s="33">
        <v>0</v>
      </c>
      <c r="AI129" s="31">
        <f t="shared" si="13"/>
        <v>0</v>
      </c>
      <c r="AJ129" s="32">
        <v>0</v>
      </c>
      <c r="AK129" s="32">
        <v>0</v>
      </c>
      <c r="AL129" s="32">
        <v>0</v>
      </c>
      <c r="AM129" s="34">
        <v>0</v>
      </c>
    </row>
    <row r="130" spans="1:39" x14ac:dyDescent="0.3">
      <c r="A130" s="24" t="s">
        <v>202</v>
      </c>
      <c r="B130" s="25" t="s">
        <v>13</v>
      </c>
      <c r="C130" s="25" t="s">
        <v>14</v>
      </c>
      <c r="D130" s="25" t="s">
        <v>212</v>
      </c>
      <c r="E130" s="26" t="s">
        <v>228</v>
      </c>
      <c r="F130" s="27">
        <v>66</v>
      </c>
      <c r="G130" s="28">
        <f t="shared" si="7"/>
        <v>28</v>
      </c>
      <c r="H130" s="29">
        <v>35</v>
      </c>
      <c r="I130" s="29">
        <v>31</v>
      </c>
      <c r="J130" s="29">
        <v>27</v>
      </c>
      <c r="K130" s="30">
        <v>19</v>
      </c>
      <c r="L130" s="31">
        <f t="shared" si="8"/>
        <v>16.163666000000003</v>
      </c>
      <c r="M130" s="32">
        <v>13.33656</v>
      </c>
      <c r="N130" s="32">
        <v>11.788017999999999</v>
      </c>
      <c r="O130" s="32">
        <v>26.504497000000001</v>
      </c>
      <c r="P130" s="33">
        <v>10.856056000000001</v>
      </c>
      <c r="Q130" s="31">
        <f t="shared" si="9"/>
        <v>5.5858045000000009</v>
      </c>
      <c r="R130" s="32">
        <v>8.1291250000000019</v>
      </c>
      <c r="S130" s="32">
        <v>5.4883030000000002</v>
      </c>
      <c r="T130" s="32">
        <v>3.6289500000000001</v>
      </c>
      <c r="U130" s="33">
        <v>5.0968400000000003</v>
      </c>
      <c r="V130" s="31">
        <f t="shared" si="10"/>
        <v>8.1664775000000009</v>
      </c>
      <c r="W130" s="32">
        <v>1.0038</v>
      </c>
      <c r="X130" s="32">
        <v>4.7622000000000009</v>
      </c>
      <c r="Y130" s="32">
        <v>21.767810000000001</v>
      </c>
      <c r="Z130" s="33">
        <v>5.1320999999999994</v>
      </c>
      <c r="AA130" s="31">
        <f t="shared" si="11"/>
        <v>1.0847665</v>
      </c>
      <c r="AB130" s="32">
        <v>1.496828</v>
      </c>
      <c r="AC130" s="33">
        <v>0.672705</v>
      </c>
      <c r="AD130" s="31">
        <f t="shared" si="12"/>
        <v>0.75161750000000005</v>
      </c>
      <c r="AE130" s="32">
        <v>0.70680699999999996</v>
      </c>
      <c r="AF130" s="32">
        <v>0.86481000000000008</v>
      </c>
      <c r="AG130" s="32">
        <v>0.80773700000000015</v>
      </c>
      <c r="AH130" s="33">
        <v>0.62711600000000001</v>
      </c>
      <c r="AI130" s="31">
        <f t="shared" si="13"/>
        <v>0.57500000000000062</v>
      </c>
      <c r="AJ130" s="32">
        <v>1.999999999999998</v>
      </c>
      <c r="AK130" s="32">
        <v>0</v>
      </c>
      <c r="AL130" s="32">
        <v>0.3000000000000036</v>
      </c>
      <c r="AM130" s="34">
        <v>8.8817841970012523E-16</v>
      </c>
    </row>
    <row r="131" spans="1:39" x14ac:dyDescent="0.3">
      <c r="A131" s="24" t="s">
        <v>202</v>
      </c>
      <c r="B131" s="25" t="s">
        <v>17</v>
      </c>
      <c r="C131" s="25" t="s">
        <v>18</v>
      </c>
      <c r="D131" s="25" t="s">
        <v>178</v>
      </c>
      <c r="E131" s="26" t="s">
        <v>229</v>
      </c>
      <c r="F131" s="27">
        <v>8</v>
      </c>
      <c r="G131" s="28">
        <f t="shared" si="7"/>
        <v>0</v>
      </c>
      <c r="H131" s="29">
        <v>0</v>
      </c>
      <c r="I131" s="29">
        <v>0</v>
      </c>
      <c r="J131" s="29">
        <v>0</v>
      </c>
      <c r="K131" s="30">
        <v>0</v>
      </c>
      <c r="L131" s="31">
        <f t="shared" si="8"/>
        <v>0</v>
      </c>
      <c r="M131" s="32">
        <v>0</v>
      </c>
      <c r="N131" s="32">
        <v>0</v>
      </c>
      <c r="O131" s="32">
        <v>0</v>
      </c>
      <c r="P131" s="33">
        <v>0</v>
      </c>
      <c r="Q131" s="31">
        <f t="shared" si="9"/>
        <v>0</v>
      </c>
      <c r="R131" s="32">
        <v>0</v>
      </c>
      <c r="S131" s="32">
        <v>0</v>
      </c>
      <c r="T131" s="32">
        <v>0</v>
      </c>
      <c r="U131" s="33">
        <v>0</v>
      </c>
      <c r="V131" s="31">
        <f t="shared" si="10"/>
        <v>0</v>
      </c>
      <c r="W131" s="32">
        <v>0</v>
      </c>
      <c r="X131" s="32">
        <v>0</v>
      </c>
      <c r="Y131" s="32">
        <v>0</v>
      </c>
      <c r="Z131" s="33">
        <v>0</v>
      </c>
      <c r="AA131" s="31">
        <f t="shared" si="11"/>
        <v>0</v>
      </c>
      <c r="AB131" s="32">
        <v>0</v>
      </c>
      <c r="AC131" s="33">
        <v>0</v>
      </c>
      <c r="AD131" s="31">
        <f t="shared" si="12"/>
        <v>0</v>
      </c>
      <c r="AE131" s="32">
        <v>0</v>
      </c>
      <c r="AF131" s="32">
        <v>0</v>
      </c>
      <c r="AG131" s="32">
        <v>0</v>
      </c>
      <c r="AH131" s="33">
        <v>0</v>
      </c>
      <c r="AI131" s="31">
        <f t="shared" si="13"/>
        <v>0</v>
      </c>
      <c r="AJ131" s="32">
        <v>0</v>
      </c>
      <c r="AK131" s="32">
        <v>0</v>
      </c>
      <c r="AL131" s="32">
        <v>0</v>
      </c>
      <c r="AM131" s="34">
        <v>0</v>
      </c>
    </row>
    <row r="132" spans="1:39" x14ac:dyDescent="0.3">
      <c r="A132" s="24" t="s">
        <v>202</v>
      </c>
      <c r="B132" s="25" t="s">
        <v>17</v>
      </c>
      <c r="C132" s="25" t="s">
        <v>18</v>
      </c>
      <c r="D132" s="25" t="s">
        <v>178</v>
      </c>
      <c r="E132" s="26" t="s">
        <v>230</v>
      </c>
      <c r="F132" s="27">
        <v>140</v>
      </c>
      <c r="G132" s="28">
        <f t="shared" si="7"/>
        <v>63</v>
      </c>
      <c r="H132" s="29">
        <v>55</v>
      </c>
      <c r="I132" s="29">
        <v>67</v>
      </c>
      <c r="J132" s="29">
        <v>61</v>
      </c>
      <c r="K132" s="30">
        <v>69</v>
      </c>
      <c r="L132" s="31">
        <f t="shared" si="8"/>
        <v>42.731279999999998</v>
      </c>
      <c r="M132" s="32">
        <v>27.268633000000001</v>
      </c>
      <c r="N132" s="32">
        <v>37.419615999999998</v>
      </c>
      <c r="O132" s="32">
        <v>56.019748999999997</v>
      </c>
      <c r="P132" s="33">
        <v>44.656067</v>
      </c>
      <c r="Q132" s="31">
        <f t="shared" si="9"/>
        <v>8.1903214999999996</v>
      </c>
      <c r="R132" s="32">
        <v>13.614998</v>
      </c>
      <c r="S132" s="32">
        <v>5.1556430000000004</v>
      </c>
      <c r="T132" s="32">
        <v>9.4435409999999997</v>
      </c>
      <c r="U132" s="33">
        <v>4.547104</v>
      </c>
      <c r="V132" s="31">
        <f t="shared" si="10"/>
        <v>15.4102075</v>
      </c>
      <c r="W132" s="32">
        <v>2.8583699999999999</v>
      </c>
      <c r="X132" s="32">
        <v>21.19078</v>
      </c>
      <c r="Y132" s="32">
        <v>17.602959999999999</v>
      </c>
      <c r="Z132" s="33">
        <v>19.988720000000001</v>
      </c>
      <c r="AA132" s="31">
        <f t="shared" si="11"/>
        <v>2.7805274999999998</v>
      </c>
      <c r="AB132" s="32">
        <v>3.9229569999999998</v>
      </c>
      <c r="AC132" s="33">
        <v>1.6380980000000001</v>
      </c>
      <c r="AD132" s="31">
        <f t="shared" si="12"/>
        <v>2.0986034999999994</v>
      </c>
      <c r="AE132" s="32">
        <v>1.0730379999999999</v>
      </c>
      <c r="AF132" s="32">
        <v>1.660005</v>
      </c>
      <c r="AG132" s="32">
        <v>2.239268</v>
      </c>
      <c r="AH132" s="33">
        <v>3.422102999999999</v>
      </c>
      <c r="AI132" s="31">
        <f t="shared" si="13"/>
        <v>14.251620000000003</v>
      </c>
      <c r="AJ132" s="32">
        <v>5.7992699999999964</v>
      </c>
      <c r="AK132" s="32">
        <v>7.7750900000000112</v>
      </c>
      <c r="AL132" s="32">
        <v>26.733979999999999</v>
      </c>
      <c r="AM132" s="34">
        <v>16.698139999999999</v>
      </c>
    </row>
    <row r="133" spans="1:39" x14ac:dyDescent="0.3">
      <c r="A133" s="24" t="s">
        <v>202</v>
      </c>
      <c r="B133" s="25" t="s">
        <v>17</v>
      </c>
      <c r="C133" s="25" t="s">
        <v>18</v>
      </c>
      <c r="D133" s="25" t="s">
        <v>178</v>
      </c>
      <c r="E133" s="26" t="s">
        <v>231</v>
      </c>
      <c r="F133" s="27">
        <v>12</v>
      </c>
      <c r="G133" s="28">
        <f t="shared" si="7"/>
        <v>5</v>
      </c>
      <c r="H133" s="29">
        <v>5</v>
      </c>
      <c r="I133" s="29">
        <v>5</v>
      </c>
      <c r="J133" s="29">
        <v>6</v>
      </c>
      <c r="K133" s="30">
        <v>4</v>
      </c>
      <c r="L133" s="31">
        <f t="shared" si="8"/>
        <v>2.5968705000000001</v>
      </c>
      <c r="M133" s="32">
        <v>1.5255529999999999</v>
      </c>
      <c r="N133" s="32">
        <v>1.2690330000000001</v>
      </c>
      <c r="O133" s="32">
        <v>3.8053659999999998</v>
      </c>
      <c r="P133" s="33">
        <v>3.2431160000000001</v>
      </c>
      <c r="Q133" s="31">
        <f t="shared" si="9"/>
        <v>1.8508054999999999</v>
      </c>
      <c r="R133" s="32">
        <v>1.006845</v>
      </c>
      <c r="S133" s="32">
        <v>0.50094399999999994</v>
      </c>
      <c r="T133" s="32">
        <v>2.7398609999999999</v>
      </c>
      <c r="U133" s="33">
        <v>3.1555719999999998</v>
      </c>
      <c r="V133" s="31">
        <f t="shared" si="10"/>
        <v>0.38281999999999999</v>
      </c>
      <c r="W133" s="32">
        <v>0</v>
      </c>
      <c r="X133" s="32">
        <v>0.51170000000000004</v>
      </c>
      <c r="Y133" s="32">
        <v>1.0195799999999999</v>
      </c>
      <c r="Z133" s="33">
        <v>0</v>
      </c>
      <c r="AA133" s="31">
        <f t="shared" si="11"/>
        <v>0.27220699999999998</v>
      </c>
      <c r="AB133" s="32">
        <v>0.46695500000000001</v>
      </c>
      <c r="AC133" s="33">
        <v>7.7459E-2</v>
      </c>
      <c r="AD133" s="31">
        <f t="shared" si="12"/>
        <v>9.1038000000000008E-2</v>
      </c>
      <c r="AE133" s="32">
        <v>5.1753E-2</v>
      </c>
      <c r="AF133" s="32">
        <v>0.17893000000000001</v>
      </c>
      <c r="AG133" s="32">
        <v>4.5925000000000001E-2</v>
      </c>
      <c r="AH133" s="33">
        <v>8.7543999999999997E-2</v>
      </c>
      <c r="AI133" s="31">
        <f t="shared" si="13"/>
        <v>7.2858385991025898E-17</v>
      </c>
      <c r="AJ133" s="32">
        <v>0</v>
      </c>
      <c r="AK133" s="32">
        <v>0</v>
      </c>
      <c r="AL133" s="32">
        <v>0</v>
      </c>
      <c r="AM133" s="34">
        <v>2.9143354396410359E-16</v>
      </c>
    </row>
    <row r="134" spans="1:39" x14ac:dyDescent="0.3">
      <c r="A134" s="24" t="s">
        <v>202</v>
      </c>
      <c r="B134" s="25" t="s">
        <v>17</v>
      </c>
      <c r="C134" s="25" t="s">
        <v>18</v>
      </c>
      <c r="D134" s="25" t="s">
        <v>178</v>
      </c>
      <c r="E134" s="26" t="s">
        <v>232</v>
      </c>
      <c r="F134" s="27">
        <v>2</v>
      </c>
      <c r="G134" s="28">
        <f t="shared" si="7"/>
        <v>0</v>
      </c>
      <c r="H134" s="29">
        <v>0</v>
      </c>
      <c r="I134" s="29">
        <v>0</v>
      </c>
      <c r="J134" s="29">
        <v>0</v>
      </c>
      <c r="K134" s="30">
        <v>0</v>
      </c>
      <c r="L134" s="31">
        <f t="shared" si="8"/>
        <v>0</v>
      </c>
      <c r="M134" s="32">
        <v>0</v>
      </c>
      <c r="N134" s="32">
        <v>0</v>
      </c>
      <c r="O134" s="32">
        <v>0</v>
      </c>
      <c r="P134" s="33">
        <v>0</v>
      </c>
      <c r="Q134" s="31">
        <f t="shared" si="9"/>
        <v>0</v>
      </c>
      <c r="R134" s="32">
        <v>0</v>
      </c>
      <c r="S134" s="32">
        <v>0</v>
      </c>
      <c r="T134" s="32">
        <v>0</v>
      </c>
      <c r="U134" s="33">
        <v>0</v>
      </c>
      <c r="V134" s="31">
        <f t="shared" si="10"/>
        <v>0</v>
      </c>
      <c r="W134" s="32">
        <v>0</v>
      </c>
      <c r="X134" s="32">
        <v>0</v>
      </c>
      <c r="Y134" s="32">
        <v>0</v>
      </c>
      <c r="Z134" s="33">
        <v>0</v>
      </c>
      <c r="AA134" s="31">
        <f t="shared" si="11"/>
        <v>0</v>
      </c>
      <c r="AB134" s="32">
        <v>0</v>
      </c>
      <c r="AC134" s="33">
        <v>0</v>
      </c>
      <c r="AD134" s="31">
        <f t="shared" si="12"/>
        <v>0</v>
      </c>
      <c r="AE134" s="32">
        <v>0</v>
      </c>
      <c r="AF134" s="32">
        <v>0</v>
      </c>
      <c r="AG134" s="32">
        <v>0</v>
      </c>
      <c r="AH134" s="33">
        <v>0</v>
      </c>
      <c r="AI134" s="31">
        <f t="shared" si="13"/>
        <v>0</v>
      </c>
      <c r="AJ134" s="32">
        <v>0</v>
      </c>
      <c r="AK134" s="32">
        <v>0</v>
      </c>
      <c r="AL134" s="32">
        <v>0</v>
      </c>
      <c r="AM134" s="34">
        <v>0</v>
      </c>
    </row>
    <row r="135" spans="1:39" x14ac:dyDescent="0.3">
      <c r="A135" s="24" t="s">
        <v>202</v>
      </c>
      <c r="B135" s="25" t="s">
        <v>17</v>
      </c>
      <c r="C135" s="25" t="s">
        <v>18</v>
      </c>
      <c r="D135" s="25" t="s">
        <v>178</v>
      </c>
      <c r="E135" s="26" t="s">
        <v>233</v>
      </c>
      <c r="F135" s="27">
        <v>4</v>
      </c>
      <c r="G135" s="28">
        <f t="shared" ref="G135:G198" si="14">SUM(H135:K135)/4</f>
        <v>0.75</v>
      </c>
      <c r="H135" s="29">
        <v>1</v>
      </c>
      <c r="I135" s="29">
        <v>1</v>
      </c>
      <c r="J135" s="29">
        <v>0</v>
      </c>
      <c r="K135" s="30">
        <v>1</v>
      </c>
      <c r="L135" s="31">
        <f t="shared" ref="L135:L198" si="15">Q135+V135+AA135+AD135+AI135</f>
        <v>0.23085699999999998</v>
      </c>
      <c r="M135" s="32">
        <v>0.32190000000000002</v>
      </c>
      <c r="N135" s="32">
        <v>0.31086000000000003</v>
      </c>
      <c r="O135" s="32">
        <v>0</v>
      </c>
      <c r="P135" s="33">
        <v>0.29066799999999998</v>
      </c>
      <c r="Q135" s="31">
        <f t="shared" ref="Q135:Q198" si="16">SUM(R135:U135)/4</f>
        <v>0.15819</v>
      </c>
      <c r="R135" s="32">
        <v>0.32190000000000002</v>
      </c>
      <c r="S135" s="32">
        <v>0.31086000000000003</v>
      </c>
      <c r="T135" s="32">
        <v>0</v>
      </c>
      <c r="U135" s="33">
        <v>0</v>
      </c>
      <c r="V135" s="31">
        <f t="shared" ref="V135:V198" si="17">SUM(W135:Z135)/4</f>
        <v>7.2666999999999995E-2</v>
      </c>
      <c r="W135" s="32">
        <v>0</v>
      </c>
      <c r="X135" s="32">
        <v>0</v>
      </c>
      <c r="Y135" s="32">
        <v>0</v>
      </c>
      <c r="Z135" s="33">
        <v>0.29066799999999998</v>
      </c>
      <c r="AA135" s="31">
        <f t="shared" ref="AA135:AA198" si="18">SUM(AB135:AC135)/2</f>
        <v>0</v>
      </c>
      <c r="AB135" s="32">
        <v>0</v>
      </c>
      <c r="AC135" s="33">
        <v>0</v>
      </c>
      <c r="AD135" s="31">
        <f t="shared" ref="AD135:AD198" si="19">SUM(AE135:AH135)/4</f>
        <v>0</v>
      </c>
      <c r="AE135" s="32">
        <v>0</v>
      </c>
      <c r="AF135" s="32">
        <v>0</v>
      </c>
      <c r="AG135" s="32">
        <v>0</v>
      </c>
      <c r="AH135" s="33">
        <v>0</v>
      </c>
      <c r="AI135" s="31">
        <f t="shared" ref="AI135:AI198" si="20">SUM(AJ135:AM135)/4</f>
        <v>0</v>
      </c>
      <c r="AJ135" s="32">
        <v>0</v>
      </c>
      <c r="AK135" s="32">
        <v>0</v>
      </c>
      <c r="AL135" s="32">
        <v>0</v>
      </c>
      <c r="AM135" s="34">
        <v>0</v>
      </c>
    </row>
    <row r="136" spans="1:39" x14ac:dyDescent="0.3">
      <c r="A136" s="24" t="s">
        <v>202</v>
      </c>
      <c r="B136" s="25" t="s">
        <v>17</v>
      </c>
      <c r="C136" s="25" t="s">
        <v>18</v>
      </c>
      <c r="D136" s="25" t="s">
        <v>178</v>
      </c>
      <c r="E136" s="26" t="s">
        <v>234</v>
      </c>
      <c r="F136" s="27">
        <v>7</v>
      </c>
      <c r="G136" s="28">
        <f t="shared" si="14"/>
        <v>2.5</v>
      </c>
      <c r="H136" s="29">
        <v>1</v>
      </c>
      <c r="I136" s="29">
        <v>1</v>
      </c>
      <c r="J136" s="29">
        <v>3</v>
      </c>
      <c r="K136" s="30">
        <v>5</v>
      </c>
      <c r="L136" s="31">
        <f t="shared" si="15"/>
        <v>2.2992132499999998</v>
      </c>
      <c r="M136" s="32">
        <v>3.0259999999999998</v>
      </c>
      <c r="N136" s="32">
        <v>0.3402</v>
      </c>
      <c r="O136" s="32">
        <v>3.2991890000000001</v>
      </c>
      <c r="P136" s="33">
        <v>2.5314640000000002</v>
      </c>
      <c r="Q136" s="31">
        <f t="shared" si="16"/>
        <v>2.1694119999999999</v>
      </c>
      <c r="R136" s="32">
        <v>3.0259999999999998</v>
      </c>
      <c r="S136" s="32">
        <v>0.3402</v>
      </c>
      <c r="T136" s="32">
        <v>3.0000740000000001</v>
      </c>
      <c r="U136" s="33">
        <v>2.3113739999999998</v>
      </c>
      <c r="V136" s="31">
        <f t="shared" si="17"/>
        <v>0</v>
      </c>
      <c r="W136" s="32">
        <v>0</v>
      </c>
      <c r="X136" s="32">
        <v>0</v>
      </c>
      <c r="Y136" s="32">
        <v>0</v>
      </c>
      <c r="Z136" s="33">
        <v>0</v>
      </c>
      <c r="AA136" s="31">
        <f t="shared" si="18"/>
        <v>0</v>
      </c>
      <c r="AB136" s="32">
        <v>0</v>
      </c>
      <c r="AC136" s="33">
        <v>0</v>
      </c>
      <c r="AD136" s="31">
        <f t="shared" si="19"/>
        <v>0.12980125000000001</v>
      </c>
      <c r="AE136" s="32">
        <v>0</v>
      </c>
      <c r="AF136" s="32">
        <v>0</v>
      </c>
      <c r="AG136" s="32">
        <v>0.29911500000000002</v>
      </c>
      <c r="AH136" s="33">
        <v>0.22009000000000001</v>
      </c>
      <c r="AI136" s="31">
        <f t="shared" si="20"/>
        <v>0</v>
      </c>
      <c r="AJ136" s="32">
        <v>0</v>
      </c>
      <c r="AK136" s="32">
        <v>0</v>
      </c>
      <c r="AL136" s="32">
        <v>0</v>
      </c>
      <c r="AM136" s="34">
        <v>0</v>
      </c>
    </row>
    <row r="137" spans="1:39" x14ac:dyDescent="0.3">
      <c r="A137" s="24" t="s">
        <v>202</v>
      </c>
      <c r="B137" s="25" t="s">
        <v>17</v>
      </c>
      <c r="C137" s="25" t="s">
        <v>18</v>
      </c>
      <c r="D137" s="25" t="s">
        <v>178</v>
      </c>
      <c r="E137" s="26" t="s">
        <v>180</v>
      </c>
      <c r="F137" s="27">
        <v>28</v>
      </c>
      <c r="G137" s="28">
        <f t="shared" si="14"/>
        <v>16</v>
      </c>
      <c r="H137" s="29">
        <v>15</v>
      </c>
      <c r="I137" s="29">
        <v>15</v>
      </c>
      <c r="J137" s="29">
        <v>18</v>
      </c>
      <c r="K137" s="30">
        <v>16</v>
      </c>
      <c r="L137" s="31">
        <f t="shared" si="15"/>
        <v>5.4243777499999997</v>
      </c>
      <c r="M137" s="32">
        <v>6.5117090000000006</v>
      </c>
      <c r="N137" s="32">
        <v>4.0394439999999996</v>
      </c>
      <c r="O137" s="32">
        <v>6.8590989999999996</v>
      </c>
      <c r="P137" s="33">
        <v>2.0937589999999999</v>
      </c>
      <c r="Q137" s="31">
        <f t="shared" si="16"/>
        <v>2.4706014999999999</v>
      </c>
      <c r="R137" s="32">
        <v>3.7172839999999998</v>
      </c>
      <c r="S137" s="32">
        <v>2.52054</v>
      </c>
      <c r="T137" s="32">
        <v>3.1434669999999998</v>
      </c>
      <c r="U137" s="33">
        <v>0.50111499999999998</v>
      </c>
      <c r="V137" s="31">
        <f t="shared" si="17"/>
        <v>0.58970999999999996</v>
      </c>
      <c r="W137" s="32">
        <v>0</v>
      </c>
      <c r="X137" s="32">
        <v>0</v>
      </c>
      <c r="Y137" s="32">
        <v>2.3588399999999998</v>
      </c>
      <c r="Z137" s="33">
        <v>0</v>
      </c>
      <c r="AA137" s="31">
        <f t="shared" si="18"/>
        <v>1.0967500000000001</v>
      </c>
      <c r="AB137" s="32">
        <v>1.697438</v>
      </c>
      <c r="AC137" s="33">
        <v>0.496062</v>
      </c>
      <c r="AD137" s="31">
        <f t="shared" si="19"/>
        <v>1.0923162499999999</v>
      </c>
      <c r="AE137" s="32">
        <v>1.0969869999999999</v>
      </c>
      <c r="AF137" s="32">
        <v>0.52284200000000003</v>
      </c>
      <c r="AG137" s="32">
        <v>1.356792</v>
      </c>
      <c r="AH137" s="33">
        <v>1.392644</v>
      </c>
      <c r="AI137" s="31">
        <f t="shared" si="20"/>
        <v>0.17499999999999991</v>
      </c>
      <c r="AJ137" s="32">
        <v>0</v>
      </c>
      <c r="AK137" s="32">
        <v>0.49999999999999961</v>
      </c>
      <c r="AL137" s="32">
        <v>0</v>
      </c>
      <c r="AM137" s="34">
        <v>0.2</v>
      </c>
    </row>
    <row r="138" spans="1:39" x14ac:dyDescent="0.3">
      <c r="A138" s="24" t="s">
        <v>202</v>
      </c>
      <c r="B138" s="25" t="s">
        <v>17</v>
      </c>
      <c r="C138" s="25" t="s">
        <v>18</v>
      </c>
      <c r="D138" s="25" t="s">
        <v>235</v>
      </c>
      <c r="E138" s="26" t="s">
        <v>236</v>
      </c>
      <c r="F138" s="27">
        <v>94</v>
      </c>
      <c r="G138" s="28">
        <f t="shared" si="14"/>
        <v>41</v>
      </c>
      <c r="H138" s="29">
        <v>26</v>
      </c>
      <c r="I138" s="29">
        <v>55</v>
      </c>
      <c r="J138" s="29">
        <v>38</v>
      </c>
      <c r="K138" s="30">
        <v>45</v>
      </c>
      <c r="L138" s="31">
        <f t="shared" si="15"/>
        <v>27.724125750000002</v>
      </c>
      <c r="M138" s="32">
        <v>9.2227040000000002</v>
      </c>
      <c r="N138" s="32">
        <v>43.528820000000003</v>
      </c>
      <c r="O138" s="32">
        <v>24.626639999999998</v>
      </c>
      <c r="P138" s="33">
        <v>31.562269000000001</v>
      </c>
      <c r="Q138" s="31">
        <f t="shared" si="16"/>
        <v>6.1849092500000005</v>
      </c>
      <c r="R138" s="32">
        <v>1.7183679999999999</v>
      </c>
      <c r="S138" s="32">
        <v>6.0751799999999996</v>
      </c>
      <c r="T138" s="32">
        <v>11.302281000000001</v>
      </c>
      <c r="U138" s="33">
        <v>5.643807999999999</v>
      </c>
      <c r="V138" s="31">
        <f t="shared" si="17"/>
        <v>18.058888000000003</v>
      </c>
      <c r="W138" s="32">
        <v>2.6269100000000001</v>
      </c>
      <c r="X138" s="32">
        <v>35.560872000000003</v>
      </c>
      <c r="Y138" s="32">
        <v>10.273910000000001</v>
      </c>
      <c r="Z138" s="33">
        <v>23.773859999999999</v>
      </c>
      <c r="AA138" s="31">
        <f t="shared" si="18"/>
        <v>0.97803499999999999</v>
      </c>
      <c r="AB138" s="32">
        <v>1.255509</v>
      </c>
      <c r="AC138" s="33">
        <v>0.70056099999999999</v>
      </c>
      <c r="AD138" s="31">
        <f t="shared" si="19"/>
        <v>2.2022934999999997</v>
      </c>
      <c r="AE138" s="32">
        <v>2.6219169999999998</v>
      </c>
      <c r="AF138" s="32">
        <v>1.192207</v>
      </c>
      <c r="AG138" s="32">
        <v>2.8504489999999998</v>
      </c>
      <c r="AH138" s="33">
        <v>2.1446010000000002</v>
      </c>
      <c r="AI138" s="31">
        <f t="shared" si="20"/>
        <v>0.29999999999999971</v>
      </c>
      <c r="AJ138" s="32">
        <v>1</v>
      </c>
      <c r="AK138" s="32">
        <v>0</v>
      </c>
      <c r="AL138" s="32">
        <v>0.19999999999999879</v>
      </c>
      <c r="AM138" s="34">
        <v>0</v>
      </c>
    </row>
    <row r="139" spans="1:39" x14ac:dyDescent="0.3">
      <c r="A139" s="24" t="s">
        <v>202</v>
      </c>
      <c r="B139" s="25" t="s">
        <v>17</v>
      </c>
      <c r="C139" s="25" t="s">
        <v>18</v>
      </c>
      <c r="D139" s="25" t="s">
        <v>235</v>
      </c>
      <c r="E139" s="26" t="s">
        <v>237</v>
      </c>
      <c r="F139" s="27">
        <v>3</v>
      </c>
      <c r="G139" s="28">
        <f t="shared" si="14"/>
        <v>0</v>
      </c>
      <c r="H139" s="29">
        <v>0</v>
      </c>
      <c r="I139" s="29">
        <v>0</v>
      </c>
      <c r="J139" s="29">
        <v>0</v>
      </c>
      <c r="K139" s="30">
        <v>0</v>
      </c>
      <c r="L139" s="31">
        <f t="shared" si="15"/>
        <v>0</v>
      </c>
      <c r="M139" s="32">
        <v>0</v>
      </c>
      <c r="N139" s="32">
        <v>0</v>
      </c>
      <c r="O139" s="32">
        <v>0</v>
      </c>
      <c r="P139" s="33">
        <v>0</v>
      </c>
      <c r="Q139" s="31">
        <f t="shared" si="16"/>
        <v>0</v>
      </c>
      <c r="R139" s="32">
        <v>0</v>
      </c>
      <c r="S139" s="32">
        <v>0</v>
      </c>
      <c r="T139" s="32">
        <v>0</v>
      </c>
      <c r="U139" s="33">
        <v>0</v>
      </c>
      <c r="V139" s="31">
        <f t="shared" si="17"/>
        <v>0</v>
      </c>
      <c r="W139" s="32">
        <v>0</v>
      </c>
      <c r="X139" s="32">
        <v>0</v>
      </c>
      <c r="Y139" s="32">
        <v>0</v>
      </c>
      <c r="Z139" s="33">
        <v>0</v>
      </c>
      <c r="AA139" s="31">
        <f t="shared" si="18"/>
        <v>0</v>
      </c>
      <c r="AB139" s="32">
        <v>0</v>
      </c>
      <c r="AC139" s="33">
        <v>0</v>
      </c>
      <c r="AD139" s="31">
        <f t="shared" si="19"/>
        <v>0</v>
      </c>
      <c r="AE139" s="32">
        <v>0</v>
      </c>
      <c r="AF139" s="32">
        <v>0</v>
      </c>
      <c r="AG139" s="32">
        <v>0</v>
      </c>
      <c r="AH139" s="33">
        <v>0</v>
      </c>
      <c r="AI139" s="31">
        <f t="shared" si="20"/>
        <v>0</v>
      </c>
      <c r="AJ139" s="32">
        <v>0</v>
      </c>
      <c r="AK139" s="32">
        <v>0</v>
      </c>
      <c r="AL139" s="32">
        <v>0</v>
      </c>
      <c r="AM139" s="34">
        <v>0</v>
      </c>
    </row>
    <row r="140" spans="1:39" x14ac:dyDescent="0.3">
      <c r="A140" s="24" t="s">
        <v>202</v>
      </c>
      <c r="B140" s="25" t="s">
        <v>17</v>
      </c>
      <c r="C140" s="25" t="s">
        <v>18</v>
      </c>
      <c r="D140" s="25" t="s">
        <v>235</v>
      </c>
      <c r="E140" s="26" t="s">
        <v>238</v>
      </c>
      <c r="F140" s="27">
        <v>4</v>
      </c>
      <c r="G140" s="28">
        <f t="shared" si="14"/>
        <v>0.5</v>
      </c>
      <c r="H140" s="29">
        <v>0</v>
      </c>
      <c r="I140" s="29">
        <v>1</v>
      </c>
      <c r="J140" s="29">
        <v>1</v>
      </c>
      <c r="K140" s="30">
        <v>0</v>
      </c>
      <c r="L140" s="31">
        <f t="shared" si="15"/>
        <v>0.1353</v>
      </c>
      <c r="M140" s="32">
        <v>0</v>
      </c>
      <c r="N140" s="32">
        <v>0.51083999999999996</v>
      </c>
      <c r="O140" s="32">
        <v>3.0360000000000002E-2</v>
      </c>
      <c r="P140" s="33">
        <v>0</v>
      </c>
      <c r="Q140" s="31">
        <f t="shared" si="16"/>
        <v>0.12770999999999999</v>
      </c>
      <c r="R140" s="32">
        <v>0</v>
      </c>
      <c r="S140" s="32">
        <v>0.51083999999999996</v>
      </c>
      <c r="T140" s="32">
        <v>0</v>
      </c>
      <c r="U140" s="33">
        <v>0</v>
      </c>
      <c r="V140" s="31">
        <f t="shared" si="17"/>
        <v>0</v>
      </c>
      <c r="W140" s="32">
        <v>0</v>
      </c>
      <c r="X140" s="32">
        <v>0</v>
      </c>
      <c r="Y140" s="32">
        <v>0</v>
      </c>
      <c r="Z140" s="33">
        <v>0</v>
      </c>
      <c r="AA140" s="31">
        <f t="shared" si="18"/>
        <v>0</v>
      </c>
      <c r="AB140" s="32">
        <v>0</v>
      </c>
      <c r="AC140" s="33">
        <v>0</v>
      </c>
      <c r="AD140" s="31">
        <f t="shared" si="19"/>
        <v>7.5900000000000004E-3</v>
      </c>
      <c r="AE140" s="32">
        <v>0</v>
      </c>
      <c r="AF140" s="32">
        <v>0</v>
      </c>
      <c r="AG140" s="32">
        <v>3.0360000000000002E-2</v>
      </c>
      <c r="AH140" s="33">
        <v>0</v>
      </c>
      <c r="AI140" s="31">
        <f t="shared" si="20"/>
        <v>0</v>
      </c>
      <c r="AJ140" s="32">
        <v>0</v>
      </c>
      <c r="AK140" s="32">
        <v>0</v>
      </c>
      <c r="AL140" s="32">
        <v>0</v>
      </c>
      <c r="AM140" s="34">
        <v>0</v>
      </c>
    </row>
    <row r="141" spans="1:39" x14ac:dyDescent="0.3">
      <c r="A141" s="24" t="s">
        <v>202</v>
      </c>
      <c r="B141" s="25" t="s">
        <v>17</v>
      </c>
      <c r="C141" s="25" t="s">
        <v>18</v>
      </c>
      <c r="D141" s="25" t="s">
        <v>235</v>
      </c>
      <c r="E141" s="26" t="s">
        <v>239</v>
      </c>
      <c r="F141" s="27">
        <v>2</v>
      </c>
      <c r="G141" s="28">
        <f t="shared" si="14"/>
        <v>0</v>
      </c>
      <c r="H141" s="29">
        <v>0</v>
      </c>
      <c r="I141" s="29">
        <v>0</v>
      </c>
      <c r="J141" s="29">
        <v>0</v>
      </c>
      <c r="K141" s="30">
        <v>0</v>
      </c>
      <c r="L141" s="31">
        <f t="shared" si="15"/>
        <v>0</v>
      </c>
      <c r="M141" s="32">
        <v>0</v>
      </c>
      <c r="N141" s="32">
        <v>0</v>
      </c>
      <c r="O141" s="32">
        <v>0</v>
      </c>
      <c r="P141" s="33">
        <v>0</v>
      </c>
      <c r="Q141" s="31">
        <f t="shared" si="16"/>
        <v>0</v>
      </c>
      <c r="R141" s="32">
        <v>0</v>
      </c>
      <c r="S141" s="32">
        <v>0</v>
      </c>
      <c r="T141" s="32">
        <v>0</v>
      </c>
      <c r="U141" s="33">
        <v>0</v>
      </c>
      <c r="V141" s="31">
        <f t="shared" si="17"/>
        <v>0</v>
      </c>
      <c r="W141" s="32">
        <v>0</v>
      </c>
      <c r="X141" s="32">
        <v>0</v>
      </c>
      <c r="Y141" s="32">
        <v>0</v>
      </c>
      <c r="Z141" s="33">
        <v>0</v>
      </c>
      <c r="AA141" s="31">
        <f t="shared" si="18"/>
        <v>0</v>
      </c>
      <c r="AB141" s="32">
        <v>0</v>
      </c>
      <c r="AC141" s="33">
        <v>0</v>
      </c>
      <c r="AD141" s="31">
        <f t="shared" si="19"/>
        <v>0</v>
      </c>
      <c r="AE141" s="32">
        <v>0</v>
      </c>
      <c r="AF141" s="32">
        <v>0</v>
      </c>
      <c r="AG141" s="32">
        <v>0</v>
      </c>
      <c r="AH141" s="33">
        <v>0</v>
      </c>
      <c r="AI141" s="31">
        <f t="shared" si="20"/>
        <v>0</v>
      </c>
      <c r="AJ141" s="32">
        <v>0</v>
      </c>
      <c r="AK141" s="32">
        <v>0</v>
      </c>
      <c r="AL141" s="32">
        <v>0</v>
      </c>
      <c r="AM141" s="34">
        <v>0</v>
      </c>
    </row>
    <row r="142" spans="1:39" x14ac:dyDescent="0.3">
      <c r="A142" s="24" t="s">
        <v>202</v>
      </c>
      <c r="B142" s="25" t="s">
        <v>17</v>
      </c>
      <c r="C142" s="25" t="s">
        <v>18</v>
      </c>
      <c r="D142" s="25" t="s">
        <v>235</v>
      </c>
      <c r="E142" s="26" t="s">
        <v>240</v>
      </c>
      <c r="F142" s="27">
        <v>18</v>
      </c>
      <c r="G142" s="28">
        <f t="shared" si="14"/>
        <v>12.75</v>
      </c>
      <c r="H142" s="29">
        <v>15</v>
      </c>
      <c r="I142" s="29">
        <v>13</v>
      </c>
      <c r="J142" s="29">
        <v>12</v>
      </c>
      <c r="K142" s="30">
        <v>11</v>
      </c>
      <c r="L142" s="31">
        <f t="shared" si="15"/>
        <v>6.0236939999999999</v>
      </c>
      <c r="M142" s="32">
        <v>5.4173790000000004</v>
      </c>
      <c r="N142" s="32">
        <v>7.4149599999999998</v>
      </c>
      <c r="O142" s="32">
        <v>3.8967969999999998</v>
      </c>
      <c r="P142" s="33">
        <v>4.6730020000000003</v>
      </c>
      <c r="Q142" s="31">
        <f t="shared" si="16"/>
        <v>1.143308</v>
      </c>
      <c r="R142" s="32">
        <v>2.3823400000000001</v>
      </c>
      <c r="S142" s="32">
        <v>0.80093199999999998</v>
      </c>
      <c r="T142" s="32">
        <v>1.3899600000000001</v>
      </c>
      <c r="U142" s="33">
        <v>0</v>
      </c>
      <c r="V142" s="31">
        <f t="shared" si="17"/>
        <v>2.4047349999999996</v>
      </c>
      <c r="W142" s="32">
        <v>0</v>
      </c>
      <c r="X142" s="32">
        <v>5.87662</v>
      </c>
      <c r="Y142" s="32">
        <v>1.3368899999999999</v>
      </c>
      <c r="Z142" s="33">
        <v>2.40543</v>
      </c>
      <c r="AA142" s="31">
        <f t="shared" si="18"/>
        <v>1.346319</v>
      </c>
      <c r="AB142" s="32">
        <v>2.5997870000000001</v>
      </c>
      <c r="AC142" s="33">
        <v>9.2851000000000003E-2</v>
      </c>
      <c r="AD142" s="31">
        <f t="shared" si="19"/>
        <v>0.92933200000000005</v>
      </c>
      <c r="AE142" s="32">
        <v>0.13525200000000001</v>
      </c>
      <c r="AF142" s="32">
        <v>0.14455699999999999</v>
      </c>
      <c r="AG142" s="32">
        <v>1.1699470000000001</v>
      </c>
      <c r="AH142" s="33">
        <v>2.2675719999999999</v>
      </c>
      <c r="AI142" s="31">
        <f t="shared" si="20"/>
        <v>0.2</v>
      </c>
      <c r="AJ142" s="32">
        <v>0.3000000000000006</v>
      </c>
      <c r="AK142" s="32">
        <v>0.49999999999999939</v>
      </c>
      <c r="AL142" s="32">
        <v>0</v>
      </c>
      <c r="AM142" s="34">
        <v>0</v>
      </c>
    </row>
    <row r="143" spans="1:39" x14ac:dyDescent="0.3">
      <c r="A143" s="24" t="s">
        <v>202</v>
      </c>
      <c r="B143" s="25" t="s">
        <v>17</v>
      </c>
      <c r="C143" s="25" t="s">
        <v>18</v>
      </c>
      <c r="D143" s="25" t="s">
        <v>181</v>
      </c>
      <c r="E143" s="26" t="s">
        <v>241</v>
      </c>
      <c r="F143" s="27">
        <v>27</v>
      </c>
      <c r="G143" s="28">
        <f t="shared" si="14"/>
        <v>8.25</v>
      </c>
      <c r="H143" s="29">
        <v>7</v>
      </c>
      <c r="I143" s="29">
        <v>4</v>
      </c>
      <c r="J143" s="29">
        <v>8</v>
      </c>
      <c r="K143" s="30">
        <v>14</v>
      </c>
      <c r="L143" s="31">
        <f t="shared" si="15"/>
        <v>3.6148755000000001</v>
      </c>
      <c r="M143" s="32">
        <v>0.80342999999999998</v>
      </c>
      <c r="N143" s="32">
        <v>0.84368900000000002</v>
      </c>
      <c r="O143" s="32">
        <v>3.5895139999999999</v>
      </c>
      <c r="P143" s="33">
        <v>8.4709000000000003</v>
      </c>
      <c r="Q143" s="31">
        <f t="shared" si="16"/>
        <v>1.0048305</v>
      </c>
      <c r="R143" s="32">
        <v>0.33679999999999999</v>
      </c>
      <c r="S143" s="32">
        <v>0</v>
      </c>
      <c r="T143" s="32">
        <v>1.872298</v>
      </c>
      <c r="U143" s="33">
        <v>1.8102240000000001</v>
      </c>
      <c r="V143" s="31">
        <f t="shared" si="17"/>
        <v>1.2726549999999999</v>
      </c>
      <c r="W143" s="32">
        <v>0</v>
      </c>
      <c r="X143" s="32">
        <v>0.50871</v>
      </c>
      <c r="Y143" s="32">
        <v>1.3076000000000001</v>
      </c>
      <c r="Z143" s="33">
        <v>3.2743099999999998</v>
      </c>
      <c r="AA143" s="31">
        <f t="shared" si="18"/>
        <v>0.37598450000000005</v>
      </c>
      <c r="AB143" s="32">
        <v>0.41699000000000003</v>
      </c>
      <c r="AC143" s="33">
        <v>0.33497900000000003</v>
      </c>
      <c r="AD143" s="31">
        <f t="shared" si="19"/>
        <v>0.23640549999999999</v>
      </c>
      <c r="AE143" s="32">
        <v>4.9639999999999997E-2</v>
      </c>
      <c r="AF143" s="32">
        <v>0</v>
      </c>
      <c r="AG143" s="32">
        <v>0.209616</v>
      </c>
      <c r="AH143" s="33">
        <v>0.68636600000000003</v>
      </c>
      <c r="AI143" s="31">
        <f t="shared" si="20"/>
        <v>0.72500000000000031</v>
      </c>
      <c r="AJ143" s="32">
        <v>0</v>
      </c>
      <c r="AK143" s="32">
        <v>0</v>
      </c>
      <c r="AL143" s="32">
        <v>0.20000000000000021</v>
      </c>
      <c r="AM143" s="34">
        <v>2.7000000000000011</v>
      </c>
    </row>
    <row r="144" spans="1:39" x14ac:dyDescent="0.3">
      <c r="A144" s="24" t="s">
        <v>202</v>
      </c>
      <c r="B144" s="25" t="s">
        <v>17</v>
      </c>
      <c r="C144" s="25" t="s">
        <v>18</v>
      </c>
      <c r="D144" s="25" t="s">
        <v>181</v>
      </c>
      <c r="E144" s="26" t="s">
        <v>242</v>
      </c>
      <c r="F144" s="27">
        <v>3</v>
      </c>
      <c r="G144" s="28">
        <f t="shared" si="14"/>
        <v>0</v>
      </c>
      <c r="H144" s="29">
        <v>0</v>
      </c>
      <c r="I144" s="29">
        <v>0</v>
      </c>
      <c r="J144" s="29">
        <v>0</v>
      </c>
      <c r="K144" s="30">
        <v>0</v>
      </c>
      <c r="L144" s="31">
        <f t="shared" si="15"/>
        <v>0</v>
      </c>
      <c r="M144" s="32">
        <v>0</v>
      </c>
      <c r="N144" s="32">
        <v>0</v>
      </c>
      <c r="O144" s="32">
        <v>0</v>
      </c>
      <c r="P144" s="33">
        <v>0</v>
      </c>
      <c r="Q144" s="31">
        <f t="shared" si="16"/>
        <v>0</v>
      </c>
      <c r="R144" s="32">
        <v>0</v>
      </c>
      <c r="S144" s="32">
        <v>0</v>
      </c>
      <c r="T144" s="32">
        <v>0</v>
      </c>
      <c r="U144" s="33">
        <v>0</v>
      </c>
      <c r="V144" s="31">
        <f t="shared" si="17"/>
        <v>0</v>
      </c>
      <c r="W144" s="32">
        <v>0</v>
      </c>
      <c r="X144" s="32">
        <v>0</v>
      </c>
      <c r="Y144" s="32">
        <v>0</v>
      </c>
      <c r="Z144" s="33">
        <v>0</v>
      </c>
      <c r="AA144" s="31">
        <f t="shared" si="18"/>
        <v>0</v>
      </c>
      <c r="AB144" s="32">
        <v>0</v>
      </c>
      <c r="AC144" s="33">
        <v>0</v>
      </c>
      <c r="AD144" s="31">
        <f t="shared" si="19"/>
        <v>0</v>
      </c>
      <c r="AE144" s="32">
        <v>0</v>
      </c>
      <c r="AF144" s="32">
        <v>0</v>
      </c>
      <c r="AG144" s="32">
        <v>0</v>
      </c>
      <c r="AH144" s="33">
        <v>0</v>
      </c>
      <c r="AI144" s="31">
        <f t="shared" si="20"/>
        <v>0</v>
      </c>
      <c r="AJ144" s="32">
        <v>0</v>
      </c>
      <c r="AK144" s="32">
        <v>0</v>
      </c>
      <c r="AL144" s="32">
        <v>0</v>
      </c>
      <c r="AM144" s="34">
        <v>0</v>
      </c>
    </row>
    <row r="145" spans="1:39" x14ac:dyDescent="0.3">
      <c r="A145" s="24" t="s">
        <v>202</v>
      </c>
      <c r="B145" s="25" t="s">
        <v>17</v>
      </c>
      <c r="C145" s="25" t="s">
        <v>18</v>
      </c>
      <c r="D145" s="25" t="s">
        <v>181</v>
      </c>
      <c r="E145" s="26" t="s">
        <v>243</v>
      </c>
      <c r="F145" s="27">
        <v>55</v>
      </c>
      <c r="G145" s="28">
        <f t="shared" si="14"/>
        <v>13.75</v>
      </c>
      <c r="H145" s="29">
        <v>17</v>
      </c>
      <c r="I145" s="29">
        <v>11</v>
      </c>
      <c r="J145" s="29">
        <v>11</v>
      </c>
      <c r="K145" s="30">
        <v>16</v>
      </c>
      <c r="L145" s="31">
        <f t="shared" si="15"/>
        <v>7.4003162500000004</v>
      </c>
      <c r="M145" s="32">
        <v>3.0786180000000001</v>
      </c>
      <c r="N145" s="32">
        <v>6.0830310000000001</v>
      </c>
      <c r="O145" s="32">
        <v>3.7642380000000002</v>
      </c>
      <c r="P145" s="33">
        <v>14.475956</v>
      </c>
      <c r="Q145" s="31">
        <f t="shared" si="16"/>
        <v>1.57899075</v>
      </c>
      <c r="R145" s="32">
        <v>1.5629200000000001</v>
      </c>
      <c r="S145" s="32">
        <v>0.301172</v>
      </c>
      <c r="T145" s="32">
        <v>2.808916</v>
      </c>
      <c r="U145" s="33">
        <v>1.6429549999999999</v>
      </c>
      <c r="V145" s="31">
        <f t="shared" si="17"/>
        <v>1.8583425</v>
      </c>
      <c r="W145" s="32">
        <v>0</v>
      </c>
      <c r="X145" s="32">
        <v>0</v>
      </c>
      <c r="Y145" s="32">
        <v>0</v>
      </c>
      <c r="Z145" s="33">
        <v>7.43337</v>
      </c>
      <c r="AA145" s="31">
        <f t="shared" si="18"/>
        <v>1.0997110000000001</v>
      </c>
      <c r="AB145" s="32">
        <v>1.180823</v>
      </c>
      <c r="AC145" s="33">
        <v>1.018599</v>
      </c>
      <c r="AD145" s="31">
        <f t="shared" si="19"/>
        <v>0.72502449999999996</v>
      </c>
      <c r="AE145" s="32">
        <v>0.33487499999999998</v>
      </c>
      <c r="AF145" s="32">
        <v>0.24501000000000001</v>
      </c>
      <c r="AG145" s="32">
        <v>0.955322</v>
      </c>
      <c r="AH145" s="33">
        <v>1.3648910000000001</v>
      </c>
      <c r="AI145" s="31">
        <f t="shared" si="20"/>
        <v>2.1382475000000003</v>
      </c>
      <c r="AJ145" s="32">
        <v>0</v>
      </c>
      <c r="AK145" s="32">
        <v>4.5182500000000001</v>
      </c>
      <c r="AL145" s="32">
        <v>0</v>
      </c>
      <c r="AM145" s="34">
        <v>4.0347400000000011</v>
      </c>
    </row>
    <row r="146" spans="1:39" x14ac:dyDescent="0.3">
      <c r="A146" s="24" t="s">
        <v>202</v>
      </c>
      <c r="B146" s="25" t="s">
        <v>17</v>
      </c>
      <c r="C146" s="25" t="s">
        <v>18</v>
      </c>
      <c r="D146" s="25" t="s">
        <v>181</v>
      </c>
      <c r="E146" s="26" t="s">
        <v>244</v>
      </c>
      <c r="F146" s="27">
        <v>26</v>
      </c>
      <c r="G146" s="28">
        <f t="shared" si="14"/>
        <v>8.25</v>
      </c>
      <c r="H146" s="29">
        <v>13</v>
      </c>
      <c r="I146" s="29">
        <v>6</v>
      </c>
      <c r="J146" s="29">
        <v>7</v>
      </c>
      <c r="K146" s="30">
        <v>7</v>
      </c>
      <c r="L146" s="31">
        <f t="shared" si="15"/>
        <v>3.4664109999999999</v>
      </c>
      <c r="M146" s="32">
        <v>4.020467</v>
      </c>
      <c r="N146" s="32">
        <v>1.1282760000000001</v>
      </c>
      <c r="O146" s="32">
        <v>6.0038589999999994</v>
      </c>
      <c r="P146" s="33">
        <v>2.0505800000000001</v>
      </c>
      <c r="Q146" s="31">
        <f t="shared" si="16"/>
        <v>0.55816699999999997</v>
      </c>
      <c r="R146" s="32">
        <v>1.0025200000000001</v>
      </c>
      <c r="S146" s="32">
        <v>0</v>
      </c>
      <c r="T146" s="32">
        <v>0.91194799999999998</v>
      </c>
      <c r="U146" s="33">
        <v>0.31819999999999998</v>
      </c>
      <c r="V146" s="31">
        <f t="shared" si="17"/>
        <v>0.63255000000000006</v>
      </c>
      <c r="W146" s="32">
        <v>1.7101200000000001</v>
      </c>
      <c r="X146" s="32">
        <v>0</v>
      </c>
      <c r="Y146" s="32">
        <v>0.82008000000000003</v>
      </c>
      <c r="Z146" s="33">
        <v>0</v>
      </c>
      <c r="AA146" s="31">
        <f t="shared" si="18"/>
        <v>0.331231</v>
      </c>
      <c r="AB146" s="32">
        <v>0.37142199999999997</v>
      </c>
      <c r="AC146" s="33">
        <v>0.29104000000000002</v>
      </c>
      <c r="AD146" s="31">
        <f t="shared" si="19"/>
        <v>0.49446299999999999</v>
      </c>
      <c r="AE146" s="32">
        <v>0.636405</v>
      </c>
      <c r="AF146" s="32">
        <v>0.53723600000000005</v>
      </c>
      <c r="AG146" s="32">
        <v>0.27183099999999999</v>
      </c>
      <c r="AH146" s="33">
        <v>0.53238000000000008</v>
      </c>
      <c r="AI146" s="31">
        <f t="shared" si="20"/>
        <v>1.45</v>
      </c>
      <c r="AJ146" s="32">
        <v>0.29999999999999988</v>
      </c>
      <c r="AK146" s="32">
        <v>0.3</v>
      </c>
      <c r="AL146" s="32">
        <v>4</v>
      </c>
      <c r="AM146" s="34">
        <v>1.2</v>
      </c>
    </row>
    <row r="147" spans="1:39" x14ac:dyDescent="0.3">
      <c r="A147" s="24" t="s">
        <v>202</v>
      </c>
      <c r="B147" s="25" t="s">
        <v>17</v>
      </c>
      <c r="C147" s="25" t="s">
        <v>18</v>
      </c>
      <c r="D147" s="25" t="s">
        <v>181</v>
      </c>
      <c r="E147" s="26" t="s">
        <v>182</v>
      </c>
      <c r="F147" s="27">
        <v>1</v>
      </c>
      <c r="G147" s="28">
        <f t="shared" si="14"/>
        <v>37</v>
      </c>
      <c r="H147" s="29">
        <v>70</v>
      </c>
      <c r="I147" s="29">
        <v>32</v>
      </c>
      <c r="J147" s="29">
        <v>23</v>
      </c>
      <c r="K147" s="30">
        <v>23</v>
      </c>
      <c r="L147" s="31">
        <f t="shared" si="15"/>
        <v>51.710548500000009</v>
      </c>
      <c r="M147" s="32">
        <v>98.941405000000003</v>
      </c>
      <c r="N147" s="32">
        <v>43.750596000000002</v>
      </c>
      <c r="O147" s="32">
        <v>41.399270000000001</v>
      </c>
      <c r="P147" s="33">
        <v>20.939598</v>
      </c>
      <c r="Q147" s="31">
        <f t="shared" si="16"/>
        <v>0.100011</v>
      </c>
      <c r="R147" s="32">
        <v>0</v>
      </c>
      <c r="S147" s="32">
        <v>0.40004400000000001</v>
      </c>
      <c r="T147" s="32">
        <v>0</v>
      </c>
      <c r="U147" s="33">
        <v>0</v>
      </c>
      <c r="V147" s="31">
        <f t="shared" si="17"/>
        <v>50.363175000000005</v>
      </c>
      <c r="W147" s="32">
        <v>97.114410000000007</v>
      </c>
      <c r="X147" s="32">
        <v>42.569665999999998</v>
      </c>
      <c r="Y147" s="32">
        <v>41.330550000000002</v>
      </c>
      <c r="Z147" s="33">
        <v>20.438074</v>
      </c>
      <c r="AA147" s="31">
        <f t="shared" si="18"/>
        <v>0.90566250000000004</v>
      </c>
      <c r="AB147" s="32">
        <v>1.529979</v>
      </c>
      <c r="AC147" s="33">
        <v>0.28134599999999998</v>
      </c>
      <c r="AD147" s="31">
        <f t="shared" si="19"/>
        <v>0.3417</v>
      </c>
      <c r="AE147" s="32">
        <v>0.297016</v>
      </c>
      <c r="AF147" s="32">
        <v>0.49953999999999998</v>
      </c>
      <c r="AG147" s="32">
        <v>6.8720000000000003E-2</v>
      </c>
      <c r="AH147" s="33">
        <v>0.50152399999999997</v>
      </c>
      <c r="AI147" s="31">
        <f t="shared" si="20"/>
        <v>6.10622663543836E-16</v>
      </c>
      <c r="AJ147" s="32">
        <v>0</v>
      </c>
      <c r="AK147" s="32">
        <v>2.442490654175344E-15</v>
      </c>
      <c r="AL147" s="32">
        <v>0</v>
      </c>
      <c r="AM147" s="34">
        <v>0</v>
      </c>
    </row>
    <row r="148" spans="1:39" x14ac:dyDescent="0.3">
      <c r="A148" s="24" t="s">
        <v>202</v>
      </c>
      <c r="B148" s="25" t="s">
        <v>17</v>
      </c>
      <c r="C148" s="25" t="s">
        <v>18</v>
      </c>
      <c r="D148" s="25" t="s">
        <v>181</v>
      </c>
      <c r="E148" s="26" t="s">
        <v>245</v>
      </c>
      <c r="F148" s="27">
        <v>33</v>
      </c>
      <c r="G148" s="28">
        <f t="shared" si="14"/>
        <v>7.75</v>
      </c>
      <c r="H148" s="29">
        <v>6</v>
      </c>
      <c r="I148" s="29">
        <v>8</v>
      </c>
      <c r="J148" s="29">
        <v>7</v>
      </c>
      <c r="K148" s="30">
        <v>10</v>
      </c>
      <c r="L148" s="31">
        <f t="shared" si="15"/>
        <v>3.6368277500000001</v>
      </c>
      <c r="M148" s="32">
        <v>1.844117</v>
      </c>
      <c r="N148" s="32">
        <v>2.3502040000000002</v>
      </c>
      <c r="O148" s="32">
        <v>4.278384</v>
      </c>
      <c r="P148" s="33">
        <v>5.0437720000000006</v>
      </c>
      <c r="Q148" s="31">
        <f t="shared" si="16"/>
        <v>1.8793009999999999</v>
      </c>
      <c r="R148" s="32">
        <v>1.3021389999999999</v>
      </c>
      <c r="S148" s="32">
        <v>1.0032300000000001</v>
      </c>
      <c r="T148" s="32">
        <v>2.560254</v>
      </c>
      <c r="U148" s="33">
        <v>2.6515810000000002</v>
      </c>
      <c r="V148" s="31">
        <f t="shared" si="17"/>
        <v>0.12610925000000001</v>
      </c>
      <c r="W148" s="32">
        <v>0</v>
      </c>
      <c r="X148" s="32">
        <v>0</v>
      </c>
      <c r="Y148" s="32">
        <v>0.20177500000000001</v>
      </c>
      <c r="Z148" s="33">
        <v>0.30266199999999999</v>
      </c>
      <c r="AA148" s="31">
        <f t="shared" si="18"/>
        <v>0.51541700000000001</v>
      </c>
      <c r="AB148" s="32">
        <v>0.40045900000000001</v>
      </c>
      <c r="AC148" s="33">
        <v>0.63037500000000002</v>
      </c>
      <c r="AD148" s="31">
        <f t="shared" si="19"/>
        <v>0.36600050000000001</v>
      </c>
      <c r="AE148" s="32">
        <v>0.14151900000000001</v>
      </c>
      <c r="AF148" s="32">
        <v>0.21659900000000001</v>
      </c>
      <c r="AG148" s="32">
        <v>0.51635500000000001</v>
      </c>
      <c r="AH148" s="33">
        <v>0.58952899999999997</v>
      </c>
      <c r="AI148" s="31">
        <f t="shared" si="20"/>
        <v>0.75000000000000022</v>
      </c>
      <c r="AJ148" s="32">
        <v>0</v>
      </c>
      <c r="AK148" s="32">
        <v>0.49999999999999972</v>
      </c>
      <c r="AL148" s="32">
        <v>0.99999999999999989</v>
      </c>
      <c r="AM148" s="34">
        <v>1.5000000000000011</v>
      </c>
    </row>
    <row r="149" spans="1:39" x14ac:dyDescent="0.3">
      <c r="A149" s="24" t="s">
        <v>202</v>
      </c>
      <c r="B149" s="25" t="s">
        <v>19</v>
      </c>
      <c r="C149" s="25" t="s">
        <v>20</v>
      </c>
      <c r="D149" s="25" t="s">
        <v>178</v>
      </c>
      <c r="E149" s="26" t="s">
        <v>246</v>
      </c>
      <c r="F149" s="27">
        <v>3</v>
      </c>
      <c r="G149" s="28">
        <f t="shared" si="14"/>
        <v>0.75</v>
      </c>
      <c r="H149" s="29">
        <v>0</v>
      </c>
      <c r="I149" s="29">
        <v>0</v>
      </c>
      <c r="J149" s="29">
        <v>2</v>
      </c>
      <c r="K149" s="30">
        <v>1</v>
      </c>
      <c r="L149" s="31">
        <f t="shared" si="15"/>
        <v>1.8093474999999999</v>
      </c>
      <c r="M149" s="32">
        <v>0</v>
      </c>
      <c r="N149" s="32">
        <v>0</v>
      </c>
      <c r="O149" s="32">
        <v>2.7191100000000001</v>
      </c>
      <c r="P149" s="33">
        <v>4.5182799999999999</v>
      </c>
      <c r="Q149" s="31">
        <f t="shared" si="16"/>
        <v>0.50097749999999996</v>
      </c>
      <c r="R149" s="32">
        <v>0</v>
      </c>
      <c r="S149" s="32">
        <v>0</v>
      </c>
      <c r="T149" s="32">
        <v>2.0039099999999999</v>
      </c>
      <c r="U149" s="33">
        <v>0</v>
      </c>
      <c r="V149" s="31">
        <f t="shared" si="17"/>
        <v>1.30837</v>
      </c>
      <c r="W149" s="32">
        <v>0</v>
      </c>
      <c r="X149" s="32">
        <v>0</v>
      </c>
      <c r="Y149" s="32">
        <v>0.71519999999999995</v>
      </c>
      <c r="Z149" s="33">
        <v>4.5182799999999999</v>
      </c>
      <c r="AA149" s="31">
        <f t="shared" si="18"/>
        <v>0</v>
      </c>
      <c r="AB149" s="32">
        <v>0</v>
      </c>
      <c r="AC149" s="33">
        <v>0</v>
      </c>
      <c r="AD149" s="31">
        <f t="shared" si="19"/>
        <v>0</v>
      </c>
      <c r="AE149" s="32">
        <v>0</v>
      </c>
      <c r="AF149" s="32">
        <v>0</v>
      </c>
      <c r="AG149" s="32">
        <v>0</v>
      </c>
      <c r="AH149" s="33">
        <v>0</v>
      </c>
      <c r="AI149" s="31">
        <f t="shared" si="20"/>
        <v>8.3266726846886753E-17</v>
      </c>
      <c r="AJ149" s="32">
        <v>0</v>
      </c>
      <c r="AK149" s="32">
        <v>0</v>
      </c>
      <c r="AL149" s="32">
        <v>3.3306690738754701E-16</v>
      </c>
      <c r="AM149" s="34">
        <v>0</v>
      </c>
    </row>
    <row r="150" spans="1:39" x14ac:dyDescent="0.3">
      <c r="A150" s="24" t="s">
        <v>202</v>
      </c>
      <c r="B150" s="25" t="s">
        <v>19</v>
      </c>
      <c r="C150" s="25" t="s">
        <v>20</v>
      </c>
      <c r="D150" s="25" t="s">
        <v>178</v>
      </c>
      <c r="E150" s="26" t="s">
        <v>247</v>
      </c>
      <c r="F150" s="27">
        <v>4</v>
      </c>
      <c r="G150" s="28">
        <f t="shared" si="14"/>
        <v>0.25</v>
      </c>
      <c r="H150" s="29">
        <v>0</v>
      </c>
      <c r="I150" s="29">
        <v>0</v>
      </c>
      <c r="J150" s="29">
        <v>0</v>
      </c>
      <c r="K150" s="30">
        <v>1</v>
      </c>
      <c r="L150" s="31">
        <f t="shared" si="15"/>
        <v>5.9534999999999998E-2</v>
      </c>
      <c r="M150" s="32">
        <v>0</v>
      </c>
      <c r="N150" s="32">
        <v>0</v>
      </c>
      <c r="O150" s="32">
        <v>0</v>
      </c>
      <c r="P150" s="33">
        <v>0.23813999999999999</v>
      </c>
      <c r="Q150" s="31">
        <f t="shared" si="16"/>
        <v>0</v>
      </c>
      <c r="R150" s="32">
        <v>0</v>
      </c>
      <c r="S150" s="32">
        <v>0</v>
      </c>
      <c r="T150" s="32">
        <v>0</v>
      </c>
      <c r="U150" s="33">
        <v>0</v>
      </c>
      <c r="V150" s="31">
        <f t="shared" si="17"/>
        <v>0</v>
      </c>
      <c r="W150" s="32">
        <v>0</v>
      </c>
      <c r="X150" s="32">
        <v>0</v>
      </c>
      <c r="Y150" s="32">
        <v>0</v>
      </c>
      <c r="Z150" s="33">
        <v>0</v>
      </c>
      <c r="AA150" s="31">
        <f t="shared" si="18"/>
        <v>0</v>
      </c>
      <c r="AB150" s="32">
        <v>0</v>
      </c>
      <c r="AC150" s="33">
        <v>0</v>
      </c>
      <c r="AD150" s="31">
        <f t="shared" si="19"/>
        <v>0</v>
      </c>
      <c r="AE150" s="32">
        <v>0</v>
      </c>
      <c r="AF150" s="32">
        <v>0</v>
      </c>
      <c r="AG150" s="32">
        <v>0</v>
      </c>
      <c r="AH150" s="33">
        <v>0</v>
      </c>
      <c r="AI150" s="31">
        <f t="shared" si="20"/>
        <v>5.9534999999999998E-2</v>
      </c>
      <c r="AJ150" s="32">
        <v>0</v>
      </c>
      <c r="AK150" s="32">
        <v>0</v>
      </c>
      <c r="AL150" s="32">
        <v>0</v>
      </c>
      <c r="AM150" s="34">
        <v>0.23813999999999999</v>
      </c>
    </row>
    <row r="151" spans="1:39" x14ac:dyDescent="0.3">
      <c r="A151" s="24" t="s">
        <v>202</v>
      </c>
      <c r="B151" s="25" t="s">
        <v>19</v>
      </c>
      <c r="C151" s="25" t="s">
        <v>20</v>
      </c>
      <c r="D151" s="25" t="s">
        <v>178</v>
      </c>
      <c r="E151" s="26" t="s">
        <v>248</v>
      </c>
      <c r="F151" s="27">
        <v>7</v>
      </c>
      <c r="G151" s="28">
        <f t="shared" si="14"/>
        <v>0</v>
      </c>
      <c r="H151" s="29">
        <v>0</v>
      </c>
      <c r="I151" s="29">
        <v>0</v>
      </c>
      <c r="J151" s="29">
        <v>0</v>
      </c>
      <c r="K151" s="30">
        <v>0</v>
      </c>
      <c r="L151" s="31">
        <f t="shared" si="15"/>
        <v>0</v>
      </c>
      <c r="M151" s="32">
        <v>0</v>
      </c>
      <c r="N151" s="32">
        <v>0</v>
      </c>
      <c r="O151" s="32">
        <v>0</v>
      </c>
      <c r="P151" s="33">
        <v>0</v>
      </c>
      <c r="Q151" s="31">
        <f t="shared" si="16"/>
        <v>0</v>
      </c>
      <c r="R151" s="32">
        <v>0</v>
      </c>
      <c r="S151" s="32">
        <v>0</v>
      </c>
      <c r="T151" s="32">
        <v>0</v>
      </c>
      <c r="U151" s="33">
        <v>0</v>
      </c>
      <c r="V151" s="31">
        <f t="shared" si="17"/>
        <v>0</v>
      </c>
      <c r="W151" s="32">
        <v>0</v>
      </c>
      <c r="X151" s="32">
        <v>0</v>
      </c>
      <c r="Y151" s="32">
        <v>0</v>
      </c>
      <c r="Z151" s="33">
        <v>0</v>
      </c>
      <c r="AA151" s="31">
        <f t="shared" si="18"/>
        <v>0</v>
      </c>
      <c r="AB151" s="32">
        <v>0</v>
      </c>
      <c r="AC151" s="33">
        <v>0</v>
      </c>
      <c r="AD151" s="31">
        <f t="shared" si="19"/>
        <v>0</v>
      </c>
      <c r="AE151" s="32">
        <v>0</v>
      </c>
      <c r="AF151" s="32">
        <v>0</v>
      </c>
      <c r="AG151" s="32">
        <v>0</v>
      </c>
      <c r="AH151" s="33">
        <v>0</v>
      </c>
      <c r="AI151" s="31">
        <f t="shared" si="20"/>
        <v>0</v>
      </c>
      <c r="AJ151" s="32">
        <v>0</v>
      </c>
      <c r="AK151" s="32">
        <v>0</v>
      </c>
      <c r="AL151" s="32">
        <v>0</v>
      </c>
      <c r="AM151" s="34">
        <v>0</v>
      </c>
    </row>
    <row r="152" spans="1:39" x14ac:dyDescent="0.3">
      <c r="A152" s="24" t="s">
        <v>202</v>
      </c>
      <c r="B152" s="25" t="s">
        <v>19</v>
      </c>
      <c r="C152" s="25" t="s">
        <v>20</v>
      </c>
      <c r="D152" s="25" t="s">
        <v>178</v>
      </c>
      <c r="E152" s="26" t="s">
        <v>179</v>
      </c>
      <c r="F152" s="27">
        <v>76</v>
      </c>
      <c r="G152" s="28">
        <f t="shared" si="14"/>
        <v>45.5</v>
      </c>
      <c r="H152" s="29">
        <v>40</v>
      </c>
      <c r="I152" s="29">
        <v>25</v>
      </c>
      <c r="J152" s="29">
        <v>58</v>
      </c>
      <c r="K152" s="30">
        <v>59</v>
      </c>
      <c r="L152" s="31">
        <f t="shared" si="15"/>
        <v>22.822334999999995</v>
      </c>
      <c r="M152" s="32">
        <v>18.799692</v>
      </c>
      <c r="N152" s="32">
        <v>14.203389</v>
      </c>
      <c r="O152" s="32">
        <v>25.415648000000001</v>
      </c>
      <c r="P152" s="33">
        <v>29.507640999999989</v>
      </c>
      <c r="Q152" s="31">
        <f t="shared" si="16"/>
        <v>7.2449802500000002</v>
      </c>
      <c r="R152" s="32">
        <v>7.1273359999999997</v>
      </c>
      <c r="S152" s="32">
        <v>5.2699639999999999</v>
      </c>
      <c r="T152" s="32">
        <v>7.835928</v>
      </c>
      <c r="U152" s="33">
        <v>8.7466930000000005</v>
      </c>
      <c r="V152" s="31">
        <f t="shared" si="17"/>
        <v>8.691832999999999</v>
      </c>
      <c r="W152" s="32">
        <v>2.2310300000000001</v>
      </c>
      <c r="X152" s="32">
        <v>5.8228599999999986</v>
      </c>
      <c r="Y152" s="32">
        <v>12.270771</v>
      </c>
      <c r="Z152" s="33">
        <v>14.442671000000001</v>
      </c>
      <c r="AA152" s="31">
        <f t="shared" si="18"/>
        <v>1.6814849999999999</v>
      </c>
      <c r="AB152" s="32">
        <v>2.15455</v>
      </c>
      <c r="AC152" s="33">
        <v>1.20842</v>
      </c>
      <c r="AD152" s="31">
        <f t="shared" si="19"/>
        <v>2.7991392500000001</v>
      </c>
      <c r="AE152" s="32">
        <v>0.68677600000000005</v>
      </c>
      <c r="AF152" s="32">
        <v>0.79332500000000006</v>
      </c>
      <c r="AG152" s="32">
        <v>4.0359790000000002</v>
      </c>
      <c r="AH152" s="33">
        <v>5.6804769999999998</v>
      </c>
      <c r="AI152" s="31">
        <f t="shared" si="20"/>
        <v>2.404897499999997</v>
      </c>
      <c r="AJ152" s="32">
        <v>6.6</v>
      </c>
      <c r="AK152" s="32">
        <v>1.1088199999999999</v>
      </c>
      <c r="AL152" s="32">
        <v>1.2729699999999979</v>
      </c>
      <c r="AM152" s="34">
        <v>0.63779999999999148</v>
      </c>
    </row>
    <row r="153" spans="1:39" x14ac:dyDescent="0.3">
      <c r="A153" s="24" t="s">
        <v>202</v>
      </c>
      <c r="B153" s="25" t="s">
        <v>19</v>
      </c>
      <c r="C153" s="25" t="s">
        <v>20</v>
      </c>
      <c r="D153" s="25" t="s">
        <v>178</v>
      </c>
      <c r="E153" s="26" t="s">
        <v>249</v>
      </c>
      <c r="F153" s="27">
        <v>23</v>
      </c>
      <c r="G153" s="28">
        <f t="shared" si="14"/>
        <v>6</v>
      </c>
      <c r="H153" s="29">
        <v>8</v>
      </c>
      <c r="I153" s="29">
        <v>7</v>
      </c>
      <c r="J153" s="29">
        <v>7</v>
      </c>
      <c r="K153" s="30">
        <v>2</v>
      </c>
      <c r="L153" s="31">
        <f t="shared" si="15"/>
        <v>3.7154842499999998</v>
      </c>
      <c r="M153" s="32">
        <v>5.1728930000000002</v>
      </c>
      <c r="N153" s="32">
        <v>3.272732</v>
      </c>
      <c r="O153" s="32">
        <v>4.9392069999999997</v>
      </c>
      <c r="P153" s="33">
        <v>1.0648899999999999</v>
      </c>
      <c r="Q153" s="31">
        <f t="shared" si="16"/>
        <v>2.5098067500000001</v>
      </c>
      <c r="R153" s="32">
        <v>5.0021399999999998</v>
      </c>
      <c r="S153" s="32">
        <v>3.0312700000000001</v>
      </c>
      <c r="T153" s="32">
        <v>2.005817</v>
      </c>
      <c r="U153" s="33">
        <v>0</v>
      </c>
      <c r="V153" s="31">
        <f t="shared" si="17"/>
        <v>0.35581249999999998</v>
      </c>
      <c r="W153" s="32">
        <v>0</v>
      </c>
      <c r="X153" s="32">
        <v>0</v>
      </c>
      <c r="Y153" s="32">
        <v>0.51065000000000005</v>
      </c>
      <c r="Z153" s="33">
        <v>0.91259999999999997</v>
      </c>
      <c r="AA153" s="31">
        <f t="shared" si="18"/>
        <v>0.2061075</v>
      </c>
      <c r="AB153" s="32">
        <v>0.17075299999999999</v>
      </c>
      <c r="AC153" s="33">
        <v>0.24146200000000001</v>
      </c>
      <c r="AD153" s="31">
        <f t="shared" si="19"/>
        <v>0.1415575</v>
      </c>
      <c r="AE153" s="32">
        <v>0</v>
      </c>
      <c r="AF153" s="32">
        <v>0</v>
      </c>
      <c r="AG153" s="32">
        <v>0.41393999999999997</v>
      </c>
      <c r="AH153" s="33">
        <v>0.15229000000000001</v>
      </c>
      <c r="AI153" s="31">
        <f t="shared" si="20"/>
        <v>0.50219999999999987</v>
      </c>
      <c r="AJ153" s="32">
        <v>3.8857805861880479E-16</v>
      </c>
      <c r="AK153" s="32">
        <v>0</v>
      </c>
      <c r="AL153" s="32">
        <v>2.008799999999999</v>
      </c>
      <c r="AM153" s="34">
        <v>0</v>
      </c>
    </row>
    <row r="154" spans="1:39" x14ac:dyDescent="0.3">
      <c r="A154" s="24" t="s">
        <v>202</v>
      </c>
      <c r="B154" s="25" t="s">
        <v>19</v>
      </c>
      <c r="C154" s="25" t="s">
        <v>20</v>
      </c>
      <c r="D154" s="25" t="s">
        <v>178</v>
      </c>
      <c r="E154" s="26" t="s">
        <v>250</v>
      </c>
      <c r="F154" s="27">
        <v>8</v>
      </c>
      <c r="G154" s="28">
        <f t="shared" si="14"/>
        <v>4</v>
      </c>
      <c r="H154" s="29">
        <v>7</v>
      </c>
      <c r="I154" s="29">
        <v>5</v>
      </c>
      <c r="J154" s="29">
        <v>2</v>
      </c>
      <c r="K154" s="30">
        <v>2</v>
      </c>
      <c r="L154" s="31">
        <f t="shared" si="15"/>
        <v>11.60567125</v>
      </c>
      <c r="M154" s="32">
        <v>27.983642</v>
      </c>
      <c r="N154" s="32">
        <v>10.205351</v>
      </c>
      <c r="O154" s="32">
        <v>4.4598909999999998</v>
      </c>
      <c r="P154" s="33">
        <v>3.51898</v>
      </c>
      <c r="Q154" s="31">
        <f t="shared" si="16"/>
        <v>0.50199300000000002</v>
      </c>
      <c r="R154" s="32">
        <v>1.0004820000000001</v>
      </c>
      <c r="S154" s="32">
        <v>0</v>
      </c>
      <c r="T154" s="32">
        <v>0</v>
      </c>
      <c r="U154" s="33">
        <v>1.00749</v>
      </c>
      <c r="V154" s="31">
        <f t="shared" si="17"/>
        <v>10.39311</v>
      </c>
      <c r="W154" s="32">
        <v>26.983160000000002</v>
      </c>
      <c r="X154" s="32">
        <v>8.4352</v>
      </c>
      <c r="Y154" s="32">
        <v>3.6425900000000002</v>
      </c>
      <c r="Z154" s="33">
        <v>2.5114899999999998</v>
      </c>
      <c r="AA154" s="31">
        <f t="shared" si="18"/>
        <v>0.12741050000000001</v>
      </c>
      <c r="AB154" s="32">
        <v>0</v>
      </c>
      <c r="AC154" s="33">
        <v>0.25482100000000002</v>
      </c>
      <c r="AD154" s="31">
        <f t="shared" si="19"/>
        <v>0.20432525000000001</v>
      </c>
      <c r="AE154" s="32">
        <v>0</v>
      </c>
      <c r="AF154" s="32">
        <v>0</v>
      </c>
      <c r="AG154" s="32">
        <v>0.81730100000000006</v>
      </c>
      <c r="AH154" s="33">
        <v>0</v>
      </c>
      <c r="AI154" s="31">
        <f t="shared" si="20"/>
        <v>0.37883250000000013</v>
      </c>
      <c r="AJ154" s="32">
        <v>0</v>
      </c>
      <c r="AK154" s="32">
        <v>1.5153300000000001</v>
      </c>
      <c r="AL154" s="32">
        <v>0</v>
      </c>
      <c r="AM154" s="34">
        <v>4.4408920985006262E-16</v>
      </c>
    </row>
    <row r="155" spans="1:39" x14ac:dyDescent="0.3">
      <c r="A155" s="24" t="s">
        <v>202</v>
      </c>
      <c r="B155" s="25" t="s">
        <v>19</v>
      </c>
      <c r="C155" s="25" t="s">
        <v>20</v>
      </c>
      <c r="D155" s="25" t="s">
        <v>178</v>
      </c>
      <c r="E155" s="26" t="s">
        <v>251</v>
      </c>
      <c r="F155" s="27">
        <v>88</v>
      </c>
      <c r="G155" s="28">
        <f t="shared" si="14"/>
        <v>41.5</v>
      </c>
      <c r="H155" s="29">
        <v>46</v>
      </c>
      <c r="I155" s="29">
        <v>30</v>
      </c>
      <c r="J155" s="29">
        <v>46</v>
      </c>
      <c r="K155" s="30">
        <v>44</v>
      </c>
      <c r="L155" s="31">
        <f t="shared" si="15"/>
        <v>28.612033499999995</v>
      </c>
      <c r="M155" s="32">
        <v>15.250690000000001</v>
      </c>
      <c r="N155" s="32">
        <v>17.373934999999999</v>
      </c>
      <c r="O155" s="32">
        <v>41.646247000000002</v>
      </c>
      <c r="P155" s="33">
        <v>35.558674999999987</v>
      </c>
      <c r="Q155" s="31">
        <f t="shared" si="16"/>
        <v>9.5425439999999995</v>
      </c>
      <c r="R155" s="32">
        <v>5.733428</v>
      </c>
      <c r="S155" s="32">
        <v>7.1034170000000003</v>
      </c>
      <c r="T155" s="32">
        <v>15.9251</v>
      </c>
      <c r="U155" s="33">
        <v>9.4082310000000007</v>
      </c>
      <c r="V155" s="31">
        <f t="shared" si="17"/>
        <v>12.602885000000001</v>
      </c>
      <c r="W155" s="32">
        <v>3.9239700000000002</v>
      </c>
      <c r="X155" s="32">
        <v>6.0301200000000001</v>
      </c>
      <c r="Y155" s="32">
        <v>20.551939999999998</v>
      </c>
      <c r="Z155" s="33">
        <v>19.90551</v>
      </c>
      <c r="AA155" s="31">
        <f t="shared" si="18"/>
        <v>2.3092934999999999</v>
      </c>
      <c r="AB155" s="32">
        <v>3.4187370000000001</v>
      </c>
      <c r="AC155" s="33">
        <v>1.1998500000000001</v>
      </c>
      <c r="AD155" s="31">
        <f t="shared" si="19"/>
        <v>2.0823109999999998</v>
      </c>
      <c r="AE155" s="32">
        <v>0.57455500000000004</v>
      </c>
      <c r="AF155" s="32">
        <v>0.44054800000000011</v>
      </c>
      <c r="AG155" s="32">
        <v>2.6692070000000001</v>
      </c>
      <c r="AH155" s="33">
        <v>4.6449340000000001</v>
      </c>
      <c r="AI155" s="31">
        <f t="shared" si="20"/>
        <v>2.0749999999999953</v>
      </c>
      <c r="AJ155" s="32">
        <v>1.599999999999999</v>
      </c>
      <c r="AK155" s="32">
        <v>2.5999999999999992</v>
      </c>
      <c r="AL155" s="32">
        <v>2.4999999999999929</v>
      </c>
      <c r="AM155" s="34">
        <v>1.5999999999999901</v>
      </c>
    </row>
    <row r="156" spans="1:39" x14ac:dyDescent="0.3">
      <c r="A156" s="24" t="s">
        <v>202</v>
      </c>
      <c r="B156" s="25" t="s">
        <v>19</v>
      </c>
      <c r="C156" s="25" t="s">
        <v>20</v>
      </c>
      <c r="D156" s="25" t="s">
        <v>235</v>
      </c>
      <c r="E156" s="26" t="s">
        <v>236</v>
      </c>
      <c r="F156" s="27">
        <v>1</v>
      </c>
      <c r="G156" s="28">
        <f t="shared" si="14"/>
        <v>13.75</v>
      </c>
      <c r="H156" s="29">
        <v>2</v>
      </c>
      <c r="I156" s="29">
        <v>21</v>
      </c>
      <c r="J156" s="29">
        <v>16</v>
      </c>
      <c r="K156" s="30">
        <v>16</v>
      </c>
      <c r="L156" s="31">
        <f t="shared" si="15"/>
        <v>6.1729574999999999</v>
      </c>
      <c r="M156" s="32">
        <v>0.653447</v>
      </c>
      <c r="N156" s="32">
        <v>10.073537</v>
      </c>
      <c r="O156" s="32">
        <v>6.8929669999999996</v>
      </c>
      <c r="P156" s="33">
        <v>6.4184320000000001</v>
      </c>
      <c r="Q156" s="31">
        <f t="shared" si="16"/>
        <v>0.39927899999999994</v>
      </c>
      <c r="R156" s="32">
        <v>0</v>
      </c>
      <c r="S156" s="32">
        <v>0</v>
      </c>
      <c r="T156" s="32">
        <v>1.2007159999999999</v>
      </c>
      <c r="U156" s="33">
        <v>0.39639999999999997</v>
      </c>
      <c r="V156" s="31">
        <f t="shared" si="17"/>
        <v>0.14677499999999999</v>
      </c>
      <c r="W156" s="32">
        <v>0</v>
      </c>
      <c r="X156" s="32">
        <v>0</v>
      </c>
      <c r="Y156" s="32">
        <v>0.58709999999999996</v>
      </c>
      <c r="Z156" s="33">
        <v>0</v>
      </c>
      <c r="AA156" s="31">
        <f t="shared" si="18"/>
        <v>0.3267235</v>
      </c>
      <c r="AB156" s="32">
        <v>0.653447</v>
      </c>
      <c r="AC156" s="33">
        <v>0</v>
      </c>
      <c r="AD156" s="31">
        <f t="shared" si="19"/>
        <v>5.3001800000000001</v>
      </c>
      <c r="AE156" s="32">
        <v>0</v>
      </c>
      <c r="AF156" s="32">
        <v>10.073537</v>
      </c>
      <c r="AG156" s="32">
        <v>5.1051510000000002</v>
      </c>
      <c r="AH156" s="33">
        <v>6.0220320000000003</v>
      </c>
      <c r="AI156" s="31">
        <f t="shared" si="20"/>
        <v>0</v>
      </c>
      <c r="AJ156" s="32">
        <v>0</v>
      </c>
      <c r="AK156" s="32">
        <v>0</v>
      </c>
      <c r="AL156" s="32">
        <v>0</v>
      </c>
      <c r="AM156" s="34">
        <v>0</v>
      </c>
    </row>
    <row r="157" spans="1:39" x14ac:dyDescent="0.3">
      <c r="A157" s="24" t="s">
        <v>202</v>
      </c>
      <c r="B157" s="25" t="s">
        <v>19</v>
      </c>
      <c r="C157" s="25" t="s">
        <v>20</v>
      </c>
      <c r="D157" s="25" t="s">
        <v>181</v>
      </c>
      <c r="E157" s="26" t="s">
        <v>252</v>
      </c>
      <c r="F157" s="27">
        <v>7</v>
      </c>
      <c r="G157" s="28">
        <f t="shared" si="14"/>
        <v>2.25</v>
      </c>
      <c r="H157" s="29">
        <v>1</v>
      </c>
      <c r="I157" s="29">
        <v>1</v>
      </c>
      <c r="J157" s="29">
        <v>4</v>
      </c>
      <c r="K157" s="30">
        <v>3</v>
      </c>
      <c r="L157" s="31">
        <f t="shared" si="15"/>
        <v>0.27031149999999998</v>
      </c>
      <c r="M157" s="32">
        <v>5.348E-2</v>
      </c>
      <c r="N157" s="32">
        <v>5.552E-2</v>
      </c>
      <c r="O157" s="32">
        <v>0.63221300000000002</v>
      </c>
      <c r="P157" s="33">
        <v>0.34003299999999997</v>
      </c>
      <c r="Q157" s="31">
        <f t="shared" si="16"/>
        <v>0</v>
      </c>
      <c r="R157" s="32">
        <v>0</v>
      </c>
      <c r="S157" s="32">
        <v>0</v>
      </c>
      <c r="T157" s="32">
        <v>0</v>
      </c>
      <c r="U157" s="33">
        <v>0</v>
      </c>
      <c r="V157" s="31">
        <f t="shared" si="17"/>
        <v>0</v>
      </c>
      <c r="W157" s="32">
        <v>0</v>
      </c>
      <c r="X157" s="32">
        <v>0</v>
      </c>
      <c r="Y157" s="32">
        <v>0</v>
      </c>
      <c r="Z157" s="33">
        <v>0</v>
      </c>
      <c r="AA157" s="31">
        <f t="shared" si="18"/>
        <v>0</v>
      </c>
      <c r="AB157" s="32">
        <v>0</v>
      </c>
      <c r="AC157" s="33">
        <v>0</v>
      </c>
      <c r="AD157" s="31">
        <f t="shared" si="19"/>
        <v>0.27031149999999998</v>
      </c>
      <c r="AE157" s="32">
        <v>5.348E-2</v>
      </c>
      <c r="AF157" s="32">
        <v>5.552E-2</v>
      </c>
      <c r="AG157" s="32">
        <v>0.63221300000000002</v>
      </c>
      <c r="AH157" s="33">
        <v>0.34003299999999997</v>
      </c>
      <c r="AI157" s="31">
        <f t="shared" si="20"/>
        <v>0</v>
      </c>
      <c r="AJ157" s="32">
        <v>0</v>
      </c>
      <c r="AK157" s="32">
        <v>0</v>
      </c>
      <c r="AL157" s="32">
        <v>0</v>
      </c>
      <c r="AM157" s="34">
        <v>0</v>
      </c>
    </row>
    <row r="158" spans="1:39" x14ac:dyDescent="0.3">
      <c r="A158" s="24" t="s">
        <v>202</v>
      </c>
      <c r="B158" s="25" t="s">
        <v>19</v>
      </c>
      <c r="C158" s="25" t="s">
        <v>20</v>
      </c>
      <c r="D158" s="25" t="s">
        <v>181</v>
      </c>
      <c r="E158" s="26" t="s">
        <v>253</v>
      </c>
      <c r="F158" s="27">
        <v>2</v>
      </c>
      <c r="G158" s="28">
        <f t="shared" si="14"/>
        <v>0.25</v>
      </c>
      <c r="H158" s="29">
        <v>1</v>
      </c>
      <c r="I158" s="29">
        <v>0</v>
      </c>
      <c r="J158" s="29">
        <v>0</v>
      </c>
      <c r="K158" s="30">
        <v>0</v>
      </c>
      <c r="L158" s="31">
        <f t="shared" si="15"/>
        <v>1.3646E-2</v>
      </c>
      <c r="M158" s="32">
        <v>5.4584000000000001E-2</v>
      </c>
      <c r="N158" s="32">
        <v>0</v>
      </c>
      <c r="O158" s="32">
        <v>0</v>
      </c>
      <c r="P158" s="33">
        <v>0</v>
      </c>
      <c r="Q158" s="31">
        <f t="shared" si="16"/>
        <v>0</v>
      </c>
      <c r="R158" s="32">
        <v>0</v>
      </c>
      <c r="S158" s="32">
        <v>0</v>
      </c>
      <c r="T158" s="32">
        <v>0</v>
      </c>
      <c r="U158" s="33">
        <v>0</v>
      </c>
      <c r="V158" s="31">
        <f t="shared" si="17"/>
        <v>0</v>
      </c>
      <c r="W158" s="32">
        <v>0</v>
      </c>
      <c r="X158" s="32">
        <v>0</v>
      </c>
      <c r="Y158" s="32">
        <v>0</v>
      </c>
      <c r="Z158" s="33">
        <v>0</v>
      </c>
      <c r="AA158" s="31">
        <f t="shared" si="18"/>
        <v>0</v>
      </c>
      <c r="AB158" s="32">
        <v>0</v>
      </c>
      <c r="AC158" s="33">
        <v>0</v>
      </c>
      <c r="AD158" s="31">
        <f t="shared" si="19"/>
        <v>1.3646E-2</v>
      </c>
      <c r="AE158" s="32">
        <v>5.4584000000000001E-2</v>
      </c>
      <c r="AF158" s="32">
        <v>0</v>
      </c>
      <c r="AG158" s="32">
        <v>0</v>
      </c>
      <c r="AH158" s="33">
        <v>0</v>
      </c>
      <c r="AI158" s="31">
        <f t="shared" si="20"/>
        <v>0</v>
      </c>
      <c r="AJ158" s="32">
        <v>0</v>
      </c>
      <c r="AK158" s="32">
        <v>0</v>
      </c>
      <c r="AL158" s="32">
        <v>0</v>
      </c>
      <c r="AM158" s="34">
        <v>0</v>
      </c>
    </row>
    <row r="159" spans="1:39" x14ac:dyDescent="0.3">
      <c r="A159" s="24" t="s">
        <v>202</v>
      </c>
      <c r="B159" s="25" t="s">
        <v>19</v>
      </c>
      <c r="C159" s="25" t="s">
        <v>20</v>
      </c>
      <c r="D159" s="25" t="s">
        <v>181</v>
      </c>
      <c r="E159" s="26" t="s">
        <v>254</v>
      </c>
      <c r="F159" s="27">
        <v>12</v>
      </c>
      <c r="G159" s="28">
        <f t="shared" si="14"/>
        <v>1.75</v>
      </c>
      <c r="H159" s="29">
        <v>0</v>
      </c>
      <c r="I159" s="29">
        <v>1</v>
      </c>
      <c r="J159" s="29">
        <v>2</v>
      </c>
      <c r="K159" s="30">
        <v>4</v>
      </c>
      <c r="L159" s="31">
        <f t="shared" si="15"/>
        <v>0.32092274999999998</v>
      </c>
      <c r="M159" s="32">
        <v>0</v>
      </c>
      <c r="N159" s="32">
        <v>0.16405900000000001</v>
      </c>
      <c r="O159" s="32">
        <v>0.205206</v>
      </c>
      <c r="P159" s="33">
        <v>0.75036700000000001</v>
      </c>
      <c r="Q159" s="31">
        <f t="shared" si="16"/>
        <v>7.5060000000000002E-2</v>
      </c>
      <c r="R159" s="32">
        <v>0</v>
      </c>
      <c r="S159" s="32">
        <v>0</v>
      </c>
      <c r="T159" s="32">
        <v>0</v>
      </c>
      <c r="U159" s="33">
        <v>0.30024000000000001</v>
      </c>
      <c r="V159" s="31">
        <f t="shared" si="17"/>
        <v>0</v>
      </c>
      <c r="W159" s="32">
        <v>0</v>
      </c>
      <c r="X159" s="32">
        <v>0</v>
      </c>
      <c r="Y159" s="32">
        <v>0</v>
      </c>
      <c r="Z159" s="33">
        <v>0</v>
      </c>
      <c r="AA159" s="31">
        <f t="shared" si="18"/>
        <v>8.2029500000000005E-2</v>
      </c>
      <c r="AB159" s="32">
        <v>0</v>
      </c>
      <c r="AC159" s="33">
        <v>0.16405900000000001</v>
      </c>
      <c r="AD159" s="31">
        <f t="shared" si="19"/>
        <v>0.16383324999999999</v>
      </c>
      <c r="AE159" s="32">
        <v>0</v>
      </c>
      <c r="AF159" s="32">
        <v>0</v>
      </c>
      <c r="AG159" s="32">
        <v>0.205206</v>
      </c>
      <c r="AH159" s="33">
        <v>0.450127</v>
      </c>
      <c r="AI159" s="31">
        <f t="shared" si="20"/>
        <v>0</v>
      </c>
      <c r="AJ159" s="32">
        <v>0</v>
      </c>
      <c r="AK159" s="32">
        <v>0</v>
      </c>
      <c r="AL159" s="32">
        <v>0</v>
      </c>
      <c r="AM159" s="34">
        <v>0</v>
      </c>
    </row>
    <row r="160" spans="1:39" x14ac:dyDescent="0.3">
      <c r="A160" s="24" t="s">
        <v>202</v>
      </c>
      <c r="B160" s="25" t="s">
        <v>19</v>
      </c>
      <c r="C160" s="25" t="s">
        <v>20</v>
      </c>
      <c r="D160" s="25" t="s">
        <v>181</v>
      </c>
      <c r="E160" s="26" t="s">
        <v>255</v>
      </c>
      <c r="F160" s="27">
        <v>11</v>
      </c>
      <c r="G160" s="28">
        <f t="shared" si="14"/>
        <v>0.25</v>
      </c>
      <c r="H160" s="29">
        <v>0</v>
      </c>
      <c r="I160" s="29">
        <v>0</v>
      </c>
      <c r="J160" s="29">
        <v>1</v>
      </c>
      <c r="K160" s="30">
        <v>0</v>
      </c>
      <c r="L160" s="31">
        <f t="shared" si="15"/>
        <v>1.3849999999999999E-2</v>
      </c>
      <c r="M160" s="32">
        <v>0</v>
      </c>
      <c r="N160" s="32">
        <v>0</v>
      </c>
      <c r="O160" s="32">
        <v>5.5399999999999998E-2</v>
      </c>
      <c r="P160" s="33">
        <v>0</v>
      </c>
      <c r="Q160" s="31">
        <f t="shared" si="16"/>
        <v>0</v>
      </c>
      <c r="R160" s="32">
        <v>0</v>
      </c>
      <c r="S160" s="32">
        <v>0</v>
      </c>
      <c r="T160" s="32">
        <v>0</v>
      </c>
      <c r="U160" s="33">
        <v>0</v>
      </c>
      <c r="V160" s="31">
        <f t="shared" si="17"/>
        <v>0</v>
      </c>
      <c r="W160" s="32">
        <v>0</v>
      </c>
      <c r="X160" s="32">
        <v>0</v>
      </c>
      <c r="Y160" s="32">
        <v>0</v>
      </c>
      <c r="Z160" s="33">
        <v>0</v>
      </c>
      <c r="AA160" s="31">
        <f t="shared" si="18"/>
        <v>0</v>
      </c>
      <c r="AB160" s="32">
        <v>0</v>
      </c>
      <c r="AC160" s="33">
        <v>0</v>
      </c>
      <c r="AD160" s="31">
        <f t="shared" si="19"/>
        <v>1.3849999999999999E-2</v>
      </c>
      <c r="AE160" s="32">
        <v>0</v>
      </c>
      <c r="AF160" s="32">
        <v>0</v>
      </c>
      <c r="AG160" s="32">
        <v>5.5399999999999998E-2</v>
      </c>
      <c r="AH160" s="33">
        <v>0</v>
      </c>
      <c r="AI160" s="31">
        <f t="shared" si="20"/>
        <v>0</v>
      </c>
      <c r="AJ160" s="32">
        <v>0</v>
      </c>
      <c r="AK160" s="32">
        <v>0</v>
      </c>
      <c r="AL160" s="32">
        <v>0</v>
      </c>
      <c r="AM160" s="34">
        <v>0</v>
      </c>
    </row>
    <row r="161" spans="1:39" x14ac:dyDescent="0.3">
      <c r="A161" s="24" t="s">
        <v>202</v>
      </c>
      <c r="B161" s="25" t="s">
        <v>19</v>
      </c>
      <c r="C161" s="25" t="s">
        <v>20</v>
      </c>
      <c r="D161" s="25" t="s">
        <v>181</v>
      </c>
      <c r="E161" s="26" t="s">
        <v>256</v>
      </c>
      <c r="F161" s="27">
        <v>1</v>
      </c>
      <c r="G161" s="28">
        <f t="shared" si="14"/>
        <v>0</v>
      </c>
      <c r="H161" s="29">
        <v>0</v>
      </c>
      <c r="I161" s="29">
        <v>0</v>
      </c>
      <c r="J161" s="29">
        <v>0</v>
      </c>
      <c r="K161" s="30">
        <v>0</v>
      </c>
      <c r="L161" s="31">
        <f t="shared" si="15"/>
        <v>0</v>
      </c>
      <c r="M161" s="32">
        <v>0</v>
      </c>
      <c r="N161" s="32">
        <v>0</v>
      </c>
      <c r="O161" s="32">
        <v>0</v>
      </c>
      <c r="P161" s="33">
        <v>0</v>
      </c>
      <c r="Q161" s="31">
        <f t="shared" si="16"/>
        <v>0</v>
      </c>
      <c r="R161" s="32">
        <v>0</v>
      </c>
      <c r="S161" s="32">
        <v>0</v>
      </c>
      <c r="T161" s="32">
        <v>0</v>
      </c>
      <c r="U161" s="33">
        <v>0</v>
      </c>
      <c r="V161" s="31">
        <f t="shared" si="17"/>
        <v>0</v>
      </c>
      <c r="W161" s="32">
        <v>0</v>
      </c>
      <c r="X161" s="32">
        <v>0</v>
      </c>
      <c r="Y161" s="32">
        <v>0</v>
      </c>
      <c r="Z161" s="33">
        <v>0</v>
      </c>
      <c r="AA161" s="31">
        <f t="shared" si="18"/>
        <v>0</v>
      </c>
      <c r="AB161" s="32">
        <v>0</v>
      </c>
      <c r="AC161" s="33">
        <v>0</v>
      </c>
      <c r="AD161" s="31">
        <f t="shared" si="19"/>
        <v>0</v>
      </c>
      <c r="AE161" s="32">
        <v>0</v>
      </c>
      <c r="AF161" s="32">
        <v>0</v>
      </c>
      <c r="AG161" s="32">
        <v>0</v>
      </c>
      <c r="AH161" s="33">
        <v>0</v>
      </c>
      <c r="AI161" s="31">
        <f t="shared" si="20"/>
        <v>0</v>
      </c>
      <c r="AJ161" s="32">
        <v>0</v>
      </c>
      <c r="AK161" s="32">
        <v>0</v>
      </c>
      <c r="AL161" s="32">
        <v>0</v>
      </c>
      <c r="AM161" s="34">
        <v>0</v>
      </c>
    </row>
    <row r="162" spans="1:39" x14ac:dyDescent="0.3">
      <c r="A162" s="24" t="s">
        <v>202</v>
      </c>
      <c r="B162" s="25" t="s">
        <v>19</v>
      </c>
      <c r="C162" s="25" t="s">
        <v>20</v>
      </c>
      <c r="D162" s="25" t="s">
        <v>181</v>
      </c>
      <c r="E162" s="26" t="s">
        <v>257</v>
      </c>
      <c r="F162" s="27">
        <v>55</v>
      </c>
      <c r="G162" s="28">
        <f t="shared" si="14"/>
        <v>19.75</v>
      </c>
      <c r="H162" s="29">
        <v>16</v>
      </c>
      <c r="I162" s="29">
        <v>27</v>
      </c>
      <c r="J162" s="29">
        <v>18</v>
      </c>
      <c r="K162" s="30">
        <v>18</v>
      </c>
      <c r="L162" s="31">
        <f t="shared" si="15"/>
        <v>6.4538095000000002</v>
      </c>
      <c r="M162" s="32">
        <v>4.1018920000000003</v>
      </c>
      <c r="N162" s="32">
        <v>6.4345500000000007</v>
      </c>
      <c r="O162" s="32">
        <v>5.8561239999999994</v>
      </c>
      <c r="P162" s="33">
        <v>6.6931079999999996</v>
      </c>
      <c r="Q162" s="31">
        <f t="shared" si="16"/>
        <v>2.2720277500000003</v>
      </c>
      <c r="R162" s="32">
        <v>1.0001249999999999</v>
      </c>
      <c r="S162" s="32">
        <v>3.8018079999999999</v>
      </c>
      <c r="T162" s="32">
        <v>1.2661560000000001</v>
      </c>
      <c r="U162" s="33">
        <v>3.020022</v>
      </c>
      <c r="V162" s="31">
        <f t="shared" si="17"/>
        <v>1.1141774999999998</v>
      </c>
      <c r="W162" s="32">
        <v>0</v>
      </c>
      <c r="X162" s="32">
        <v>0</v>
      </c>
      <c r="Y162" s="32">
        <v>2.3392499999999998</v>
      </c>
      <c r="Z162" s="33">
        <v>2.1174599999999999</v>
      </c>
      <c r="AA162" s="31">
        <f t="shared" si="18"/>
        <v>1.3647819999999999</v>
      </c>
      <c r="AB162" s="32">
        <v>1.03186</v>
      </c>
      <c r="AC162" s="33">
        <v>1.6977040000000001</v>
      </c>
      <c r="AD162" s="31">
        <f t="shared" si="19"/>
        <v>1.4528222500000001</v>
      </c>
      <c r="AE162" s="32">
        <v>1.0699069999999999</v>
      </c>
      <c r="AF162" s="32">
        <v>0.93503799999999981</v>
      </c>
      <c r="AG162" s="32">
        <v>2.250718</v>
      </c>
      <c r="AH162" s="33">
        <v>1.555626</v>
      </c>
      <c r="AI162" s="31">
        <f t="shared" si="20"/>
        <v>0.25000000000000033</v>
      </c>
      <c r="AJ162" s="32">
        <v>1</v>
      </c>
      <c r="AK162" s="32">
        <v>1.332267629550188E-15</v>
      </c>
      <c r="AL162" s="32">
        <v>0</v>
      </c>
      <c r="AM162" s="34">
        <v>0</v>
      </c>
    </row>
    <row r="163" spans="1:39" x14ac:dyDescent="0.3">
      <c r="A163" s="24" t="s">
        <v>202</v>
      </c>
      <c r="B163" s="25" t="s">
        <v>19</v>
      </c>
      <c r="C163" s="25" t="s">
        <v>20</v>
      </c>
      <c r="D163" s="25" t="s">
        <v>181</v>
      </c>
      <c r="E163" s="26" t="s">
        <v>258</v>
      </c>
      <c r="F163" s="27">
        <v>2</v>
      </c>
      <c r="G163" s="28">
        <f t="shared" si="14"/>
        <v>0.5</v>
      </c>
      <c r="H163" s="29">
        <v>0</v>
      </c>
      <c r="I163" s="29">
        <v>0</v>
      </c>
      <c r="J163" s="29">
        <v>1</v>
      </c>
      <c r="K163" s="30">
        <v>1</v>
      </c>
      <c r="L163" s="31">
        <f t="shared" si="15"/>
        <v>6.8183500000000008E-2</v>
      </c>
      <c r="M163" s="32">
        <v>0</v>
      </c>
      <c r="N163" s="32">
        <v>0</v>
      </c>
      <c r="O163" s="32">
        <v>0.21143200000000001</v>
      </c>
      <c r="P163" s="33">
        <v>6.1302000000000002E-2</v>
      </c>
      <c r="Q163" s="31">
        <f t="shared" si="16"/>
        <v>0</v>
      </c>
      <c r="R163" s="32">
        <v>0</v>
      </c>
      <c r="S163" s="32">
        <v>0</v>
      </c>
      <c r="T163" s="32">
        <v>0</v>
      </c>
      <c r="U163" s="33">
        <v>0</v>
      </c>
      <c r="V163" s="31">
        <f t="shared" si="17"/>
        <v>0</v>
      </c>
      <c r="W163" s="32">
        <v>0</v>
      </c>
      <c r="X163" s="32">
        <v>0</v>
      </c>
      <c r="Y163" s="32">
        <v>0</v>
      </c>
      <c r="Z163" s="33">
        <v>0</v>
      </c>
      <c r="AA163" s="31">
        <f t="shared" si="18"/>
        <v>0</v>
      </c>
      <c r="AB163" s="32">
        <v>0</v>
      </c>
      <c r="AC163" s="33">
        <v>0</v>
      </c>
      <c r="AD163" s="31">
        <f t="shared" si="19"/>
        <v>6.8183500000000008E-2</v>
      </c>
      <c r="AE163" s="32">
        <v>0</v>
      </c>
      <c r="AF163" s="32">
        <v>0</v>
      </c>
      <c r="AG163" s="32">
        <v>0.21143200000000001</v>
      </c>
      <c r="AH163" s="33">
        <v>6.1302000000000002E-2</v>
      </c>
      <c r="AI163" s="31">
        <f t="shared" si="20"/>
        <v>0</v>
      </c>
      <c r="AJ163" s="32">
        <v>0</v>
      </c>
      <c r="AK163" s="32">
        <v>0</v>
      </c>
      <c r="AL163" s="32">
        <v>0</v>
      </c>
      <c r="AM163" s="34">
        <v>0</v>
      </c>
    </row>
    <row r="164" spans="1:39" x14ac:dyDescent="0.3">
      <c r="A164" s="24" t="s">
        <v>202</v>
      </c>
      <c r="B164" s="25" t="s">
        <v>19</v>
      </c>
      <c r="C164" s="25" t="s">
        <v>20</v>
      </c>
      <c r="D164" s="25" t="s">
        <v>181</v>
      </c>
      <c r="E164" s="26" t="s">
        <v>182</v>
      </c>
      <c r="F164" s="27">
        <v>155</v>
      </c>
      <c r="G164" s="28">
        <f t="shared" si="14"/>
        <v>71.5</v>
      </c>
      <c r="H164" s="29">
        <v>85</v>
      </c>
      <c r="I164" s="29">
        <v>72</v>
      </c>
      <c r="J164" s="29">
        <v>62</v>
      </c>
      <c r="K164" s="30">
        <v>67</v>
      </c>
      <c r="L164" s="31">
        <f t="shared" si="15"/>
        <v>49.041775749999985</v>
      </c>
      <c r="M164" s="32">
        <v>44.592459999999981</v>
      </c>
      <c r="N164" s="32">
        <v>54.291086</v>
      </c>
      <c r="O164" s="32">
        <v>54.43180799999999</v>
      </c>
      <c r="P164" s="33">
        <v>31.490347</v>
      </c>
      <c r="Q164" s="31">
        <f t="shared" si="16"/>
        <v>18.754714</v>
      </c>
      <c r="R164" s="32">
        <v>15.557663</v>
      </c>
      <c r="S164" s="32">
        <v>23.236944000000001</v>
      </c>
      <c r="T164" s="32">
        <v>21.807601999999999</v>
      </c>
      <c r="U164" s="33">
        <v>14.416646999999999</v>
      </c>
      <c r="V164" s="31">
        <f t="shared" si="17"/>
        <v>15.90954125</v>
      </c>
      <c r="W164" s="32">
        <v>11.65842</v>
      </c>
      <c r="X164" s="32">
        <v>14.798282</v>
      </c>
      <c r="Y164" s="32">
        <v>23.657173</v>
      </c>
      <c r="Z164" s="33">
        <v>13.524290000000001</v>
      </c>
      <c r="AA164" s="31">
        <f t="shared" si="18"/>
        <v>5.6807010000000009</v>
      </c>
      <c r="AB164" s="32">
        <v>7.9106270000000007</v>
      </c>
      <c r="AC164" s="33">
        <v>3.450775000000001</v>
      </c>
      <c r="AD164" s="31">
        <f t="shared" si="19"/>
        <v>2.5843194999999999</v>
      </c>
      <c r="AE164" s="32">
        <v>1.7157500000000001</v>
      </c>
      <c r="AF164" s="32">
        <v>1.6050850000000001</v>
      </c>
      <c r="AG164" s="32">
        <v>3.4670329999999998</v>
      </c>
      <c r="AH164" s="33">
        <v>3.54941</v>
      </c>
      <c r="AI164" s="31">
        <f t="shared" si="20"/>
        <v>6.1124999999999936</v>
      </c>
      <c r="AJ164" s="32">
        <v>7.7499999999999822</v>
      </c>
      <c r="AK164" s="32">
        <v>11.2</v>
      </c>
      <c r="AL164" s="32">
        <v>5.4999999999999902</v>
      </c>
      <c r="AM164" s="34">
        <v>5.3290705182007514E-15</v>
      </c>
    </row>
    <row r="165" spans="1:39" x14ac:dyDescent="0.3">
      <c r="A165" s="24" t="s">
        <v>202</v>
      </c>
      <c r="B165" s="25" t="s">
        <v>19</v>
      </c>
      <c r="C165" s="25" t="s">
        <v>20</v>
      </c>
      <c r="D165" s="25" t="s">
        <v>181</v>
      </c>
      <c r="E165" s="26" t="s">
        <v>259</v>
      </c>
      <c r="F165" s="27">
        <v>2</v>
      </c>
      <c r="G165" s="28">
        <f t="shared" si="14"/>
        <v>0.25</v>
      </c>
      <c r="H165" s="29">
        <v>0</v>
      </c>
      <c r="I165" s="29">
        <v>1</v>
      </c>
      <c r="J165" s="29">
        <v>0</v>
      </c>
      <c r="K165" s="30">
        <v>0</v>
      </c>
      <c r="L165" s="31">
        <f t="shared" si="15"/>
        <v>2.0684999999999999E-2</v>
      </c>
      <c r="M165" s="32">
        <v>0</v>
      </c>
      <c r="N165" s="32">
        <v>8.2739999999999994E-2</v>
      </c>
      <c r="O165" s="32">
        <v>0</v>
      </c>
      <c r="P165" s="33">
        <v>0</v>
      </c>
      <c r="Q165" s="31">
        <f t="shared" si="16"/>
        <v>0</v>
      </c>
      <c r="R165" s="32">
        <v>0</v>
      </c>
      <c r="S165" s="32">
        <v>0</v>
      </c>
      <c r="T165" s="32">
        <v>0</v>
      </c>
      <c r="U165" s="33">
        <v>0</v>
      </c>
      <c r="V165" s="31">
        <f t="shared" si="17"/>
        <v>0</v>
      </c>
      <c r="W165" s="32">
        <v>0</v>
      </c>
      <c r="X165" s="32">
        <v>0</v>
      </c>
      <c r="Y165" s="32">
        <v>0</v>
      </c>
      <c r="Z165" s="33">
        <v>0</v>
      </c>
      <c r="AA165" s="31">
        <f t="shared" si="18"/>
        <v>0</v>
      </c>
      <c r="AB165" s="32">
        <v>0</v>
      </c>
      <c r="AC165" s="33">
        <v>0</v>
      </c>
      <c r="AD165" s="31">
        <f t="shared" si="19"/>
        <v>2.0684999999999999E-2</v>
      </c>
      <c r="AE165" s="32">
        <v>0</v>
      </c>
      <c r="AF165" s="32">
        <v>8.2739999999999994E-2</v>
      </c>
      <c r="AG165" s="32">
        <v>0</v>
      </c>
      <c r="AH165" s="33">
        <v>0</v>
      </c>
      <c r="AI165" s="31">
        <f t="shared" si="20"/>
        <v>0</v>
      </c>
      <c r="AJ165" s="32">
        <v>0</v>
      </c>
      <c r="AK165" s="32">
        <v>0</v>
      </c>
      <c r="AL165" s="32">
        <v>0</v>
      </c>
      <c r="AM165" s="34">
        <v>0</v>
      </c>
    </row>
    <row r="166" spans="1:39" x14ac:dyDescent="0.3">
      <c r="A166" s="24" t="s">
        <v>202</v>
      </c>
      <c r="B166" s="25" t="s">
        <v>19</v>
      </c>
      <c r="C166" s="25" t="s">
        <v>20</v>
      </c>
      <c r="D166" s="25" t="s">
        <v>181</v>
      </c>
      <c r="E166" s="26" t="s">
        <v>260</v>
      </c>
      <c r="F166" s="27">
        <v>3</v>
      </c>
      <c r="G166" s="28">
        <f t="shared" si="14"/>
        <v>0</v>
      </c>
      <c r="H166" s="29">
        <v>0</v>
      </c>
      <c r="I166" s="29">
        <v>0</v>
      </c>
      <c r="J166" s="29">
        <v>0</v>
      </c>
      <c r="K166" s="30">
        <v>0</v>
      </c>
      <c r="L166" s="31">
        <f t="shared" si="15"/>
        <v>0</v>
      </c>
      <c r="M166" s="32">
        <v>0</v>
      </c>
      <c r="N166" s="32">
        <v>0</v>
      </c>
      <c r="O166" s="32">
        <v>0</v>
      </c>
      <c r="P166" s="33">
        <v>0</v>
      </c>
      <c r="Q166" s="31">
        <f t="shared" si="16"/>
        <v>0</v>
      </c>
      <c r="R166" s="32">
        <v>0</v>
      </c>
      <c r="S166" s="32">
        <v>0</v>
      </c>
      <c r="T166" s="32">
        <v>0</v>
      </c>
      <c r="U166" s="33">
        <v>0</v>
      </c>
      <c r="V166" s="31">
        <f t="shared" si="17"/>
        <v>0</v>
      </c>
      <c r="W166" s="32">
        <v>0</v>
      </c>
      <c r="X166" s="32">
        <v>0</v>
      </c>
      <c r="Y166" s="32">
        <v>0</v>
      </c>
      <c r="Z166" s="33">
        <v>0</v>
      </c>
      <c r="AA166" s="31">
        <f t="shared" si="18"/>
        <v>0</v>
      </c>
      <c r="AB166" s="32">
        <v>0</v>
      </c>
      <c r="AC166" s="33">
        <v>0</v>
      </c>
      <c r="AD166" s="31">
        <f t="shared" si="19"/>
        <v>0</v>
      </c>
      <c r="AE166" s="32">
        <v>0</v>
      </c>
      <c r="AF166" s="32">
        <v>0</v>
      </c>
      <c r="AG166" s="32">
        <v>0</v>
      </c>
      <c r="AH166" s="33">
        <v>0</v>
      </c>
      <c r="AI166" s="31">
        <f t="shared" si="20"/>
        <v>0</v>
      </c>
      <c r="AJ166" s="32">
        <v>0</v>
      </c>
      <c r="AK166" s="32">
        <v>0</v>
      </c>
      <c r="AL166" s="32">
        <v>0</v>
      </c>
      <c r="AM166" s="34">
        <v>0</v>
      </c>
    </row>
    <row r="167" spans="1:39" x14ac:dyDescent="0.3">
      <c r="A167" s="24" t="s">
        <v>202</v>
      </c>
      <c r="B167" s="25" t="s">
        <v>19</v>
      </c>
      <c r="C167" s="25" t="s">
        <v>20</v>
      </c>
      <c r="D167" s="25" t="s">
        <v>181</v>
      </c>
      <c r="E167" s="26" t="s">
        <v>261</v>
      </c>
      <c r="F167" s="27">
        <v>4</v>
      </c>
      <c r="G167" s="28">
        <f t="shared" si="14"/>
        <v>0</v>
      </c>
      <c r="H167" s="29">
        <v>0</v>
      </c>
      <c r="I167" s="29">
        <v>0</v>
      </c>
      <c r="J167" s="29">
        <v>0</v>
      </c>
      <c r="K167" s="30">
        <v>0</v>
      </c>
      <c r="L167" s="31">
        <f t="shared" si="15"/>
        <v>0</v>
      </c>
      <c r="M167" s="32">
        <v>0</v>
      </c>
      <c r="N167" s="32">
        <v>0</v>
      </c>
      <c r="O167" s="32">
        <v>0</v>
      </c>
      <c r="P167" s="33">
        <v>0</v>
      </c>
      <c r="Q167" s="31">
        <f t="shared" si="16"/>
        <v>0</v>
      </c>
      <c r="R167" s="32">
        <v>0</v>
      </c>
      <c r="S167" s="32">
        <v>0</v>
      </c>
      <c r="T167" s="32">
        <v>0</v>
      </c>
      <c r="U167" s="33">
        <v>0</v>
      </c>
      <c r="V167" s="31">
        <f t="shared" si="17"/>
        <v>0</v>
      </c>
      <c r="W167" s="32">
        <v>0</v>
      </c>
      <c r="X167" s="32">
        <v>0</v>
      </c>
      <c r="Y167" s="32">
        <v>0</v>
      </c>
      <c r="Z167" s="33">
        <v>0</v>
      </c>
      <c r="AA167" s="31">
        <f t="shared" si="18"/>
        <v>0</v>
      </c>
      <c r="AB167" s="32">
        <v>0</v>
      </c>
      <c r="AC167" s="33">
        <v>0</v>
      </c>
      <c r="AD167" s="31">
        <f t="shared" si="19"/>
        <v>0</v>
      </c>
      <c r="AE167" s="32">
        <v>0</v>
      </c>
      <c r="AF167" s="32">
        <v>0</v>
      </c>
      <c r="AG167" s="32">
        <v>0</v>
      </c>
      <c r="AH167" s="33">
        <v>0</v>
      </c>
      <c r="AI167" s="31">
        <f t="shared" si="20"/>
        <v>0</v>
      </c>
      <c r="AJ167" s="32">
        <v>0</v>
      </c>
      <c r="AK167" s="32">
        <v>0</v>
      </c>
      <c r="AL167" s="32">
        <v>0</v>
      </c>
      <c r="AM167" s="34">
        <v>0</v>
      </c>
    </row>
    <row r="168" spans="1:39" x14ac:dyDescent="0.3">
      <c r="A168" s="24" t="s">
        <v>202</v>
      </c>
      <c r="B168" s="25" t="s">
        <v>19</v>
      </c>
      <c r="C168" s="25" t="s">
        <v>20</v>
      </c>
      <c r="D168" s="25" t="s">
        <v>181</v>
      </c>
      <c r="E168" s="26" t="s">
        <v>262</v>
      </c>
      <c r="F168" s="27">
        <v>3</v>
      </c>
      <c r="G168" s="28">
        <f t="shared" si="14"/>
        <v>0</v>
      </c>
      <c r="H168" s="29">
        <v>0</v>
      </c>
      <c r="I168" s="29">
        <v>0</v>
      </c>
      <c r="J168" s="29">
        <v>0</v>
      </c>
      <c r="K168" s="30">
        <v>0</v>
      </c>
      <c r="L168" s="31">
        <f t="shared" si="15"/>
        <v>0</v>
      </c>
      <c r="M168" s="32">
        <v>0</v>
      </c>
      <c r="N168" s="32">
        <v>0</v>
      </c>
      <c r="O168" s="32">
        <v>0</v>
      </c>
      <c r="P168" s="33">
        <v>0</v>
      </c>
      <c r="Q168" s="31">
        <f t="shared" si="16"/>
        <v>0</v>
      </c>
      <c r="R168" s="32">
        <v>0</v>
      </c>
      <c r="S168" s="32">
        <v>0</v>
      </c>
      <c r="T168" s="32">
        <v>0</v>
      </c>
      <c r="U168" s="33">
        <v>0</v>
      </c>
      <c r="V168" s="31">
        <f t="shared" si="17"/>
        <v>0</v>
      </c>
      <c r="W168" s="32">
        <v>0</v>
      </c>
      <c r="X168" s="32">
        <v>0</v>
      </c>
      <c r="Y168" s="32">
        <v>0</v>
      </c>
      <c r="Z168" s="33">
        <v>0</v>
      </c>
      <c r="AA168" s="31">
        <f t="shared" si="18"/>
        <v>0</v>
      </c>
      <c r="AB168" s="32">
        <v>0</v>
      </c>
      <c r="AC168" s="33">
        <v>0</v>
      </c>
      <c r="AD168" s="31">
        <f t="shared" si="19"/>
        <v>0</v>
      </c>
      <c r="AE168" s="32">
        <v>0</v>
      </c>
      <c r="AF168" s="32">
        <v>0</v>
      </c>
      <c r="AG168" s="32">
        <v>0</v>
      </c>
      <c r="AH168" s="33">
        <v>0</v>
      </c>
      <c r="AI168" s="31">
        <f t="shared" si="20"/>
        <v>0</v>
      </c>
      <c r="AJ168" s="32">
        <v>0</v>
      </c>
      <c r="AK168" s="32">
        <v>0</v>
      </c>
      <c r="AL168" s="32">
        <v>0</v>
      </c>
      <c r="AM168" s="34">
        <v>0</v>
      </c>
    </row>
    <row r="169" spans="1:39" x14ac:dyDescent="0.3">
      <c r="A169" s="24" t="s">
        <v>202</v>
      </c>
      <c r="B169" s="25" t="s">
        <v>11</v>
      </c>
      <c r="C169" s="25" t="s">
        <v>12</v>
      </c>
      <c r="D169" s="25" t="s">
        <v>263</v>
      </c>
      <c r="E169" s="26" t="s">
        <v>264</v>
      </c>
      <c r="F169" s="27">
        <v>4</v>
      </c>
      <c r="G169" s="28">
        <f t="shared" si="14"/>
        <v>0</v>
      </c>
      <c r="H169" s="29">
        <v>0</v>
      </c>
      <c r="I169" s="29">
        <v>0</v>
      </c>
      <c r="J169" s="29">
        <v>0</v>
      </c>
      <c r="K169" s="30">
        <v>0</v>
      </c>
      <c r="L169" s="31">
        <f t="shared" si="15"/>
        <v>0</v>
      </c>
      <c r="M169" s="32">
        <v>0</v>
      </c>
      <c r="N169" s="32">
        <v>0</v>
      </c>
      <c r="O169" s="32">
        <v>0</v>
      </c>
      <c r="P169" s="33">
        <v>0</v>
      </c>
      <c r="Q169" s="31">
        <f t="shared" si="16"/>
        <v>0</v>
      </c>
      <c r="R169" s="32">
        <v>0</v>
      </c>
      <c r="S169" s="32">
        <v>0</v>
      </c>
      <c r="T169" s="32">
        <v>0</v>
      </c>
      <c r="U169" s="33">
        <v>0</v>
      </c>
      <c r="V169" s="31">
        <f t="shared" si="17"/>
        <v>0</v>
      </c>
      <c r="W169" s="32">
        <v>0</v>
      </c>
      <c r="X169" s="32">
        <v>0</v>
      </c>
      <c r="Y169" s="32">
        <v>0</v>
      </c>
      <c r="Z169" s="33">
        <v>0</v>
      </c>
      <c r="AA169" s="31">
        <f t="shared" si="18"/>
        <v>0</v>
      </c>
      <c r="AB169" s="32">
        <v>0</v>
      </c>
      <c r="AC169" s="33">
        <v>0</v>
      </c>
      <c r="AD169" s="31">
        <f t="shared" si="19"/>
        <v>0</v>
      </c>
      <c r="AE169" s="32">
        <v>0</v>
      </c>
      <c r="AF169" s="32">
        <v>0</v>
      </c>
      <c r="AG169" s="32">
        <v>0</v>
      </c>
      <c r="AH169" s="33">
        <v>0</v>
      </c>
      <c r="AI169" s="31">
        <f t="shared" si="20"/>
        <v>0</v>
      </c>
      <c r="AJ169" s="32">
        <v>0</v>
      </c>
      <c r="AK169" s="32">
        <v>0</v>
      </c>
      <c r="AL169" s="32">
        <v>0</v>
      </c>
      <c r="AM169" s="34">
        <v>0</v>
      </c>
    </row>
    <row r="170" spans="1:39" x14ac:dyDescent="0.3">
      <c r="A170" s="24" t="s">
        <v>202</v>
      </c>
      <c r="B170" s="25" t="s">
        <v>11</v>
      </c>
      <c r="C170" s="25" t="s">
        <v>12</v>
      </c>
      <c r="D170" s="25" t="s">
        <v>263</v>
      </c>
      <c r="E170" s="26" t="s">
        <v>265</v>
      </c>
      <c r="F170" s="27">
        <v>48</v>
      </c>
      <c r="G170" s="28">
        <f t="shared" si="14"/>
        <v>43</v>
      </c>
      <c r="H170" s="29">
        <v>46</v>
      </c>
      <c r="I170" s="29">
        <v>51</v>
      </c>
      <c r="J170" s="29">
        <v>31</v>
      </c>
      <c r="K170" s="30">
        <v>44</v>
      </c>
      <c r="L170" s="31">
        <f t="shared" si="15"/>
        <v>18.2428715</v>
      </c>
      <c r="M170" s="32">
        <v>17.324911</v>
      </c>
      <c r="N170" s="32">
        <v>23.271128999999998</v>
      </c>
      <c r="O170" s="32">
        <v>10.102848</v>
      </c>
      <c r="P170" s="33">
        <v>18.073494</v>
      </c>
      <c r="Q170" s="31">
        <f t="shared" si="16"/>
        <v>5.1351300000000002</v>
      </c>
      <c r="R170" s="32">
        <v>5.4935270000000012</v>
      </c>
      <c r="S170" s="32">
        <v>6.4445699999999997</v>
      </c>
      <c r="T170" s="32">
        <v>3.2492369999999999</v>
      </c>
      <c r="U170" s="33">
        <v>5.3531859999999991</v>
      </c>
      <c r="V170" s="31">
        <f t="shared" si="17"/>
        <v>5.08223</v>
      </c>
      <c r="W170" s="32">
        <v>3.7464499999999998</v>
      </c>
      <c r="X170" s="32">
        <v>10.520770000000001</v>
      </c>
      <c r="Y170" s="32">
        <v>0.25573000000000001</v>
      </c>
      <c r="Z170" s="33">
        <v>5.8059699999999994</v>
      </c>
      <c r="AA170" s="31">
        <f t="shared" si="18"/>
        <v>2.0995520000000001</v>
      </c>
      <c r="AB170" s="32">
        <v>2.5534910000000002</v>
      </c>
      <c r="AC170" s="33">
        <v>1.645613</v>
      </c>
      <c r="AD170" s="31">
        <f t="shared" si="19"/>
        <v>2.1337669999999997</v>
      </c>
      <c r="AE170" s="32">
        <v>1.1633230000000001</v>
      </c>
      <c r="AF170" s="32">
        <v>1.8940360000000001</v>
      </c>
      <c r="AG170" s="32">
        <v>2.7970109999999999</v>
      </c>
      <c r="AH170" s="33">
        <v>2.680698</v>
      </c>
      <c r="AI170" s="31">
        <f t="shared" si="20"/>
        <v>3.7921925000000014</v>
      </c>
      <c r="AJ170" s="32">
        <v>4.3681200000000002</v>
      </c>
      <c r="AK170" s="32">
        <v>2.7661400000000018</v>
      </c>
      <c r="AL170" s="32">
        <v>3.800870000000002</v>
      </c>
      <c r="AM170" s="34">
        <v>4.2336400000000012</v>
      </c>
    </row>
    <row r="171" spans="1:39" x14ac:dyDescent="0.3">
      <c r="A171" s="24" t="s">
        <v>202</v>
      </c>
      <c r="B171" s="25" t="s">
        <v>11</v>
      </c>
      <c r="C171" s="25" t="s">
        <v>12</v>
      </c>
      <c r="D171" s="25" t="s">
        <v>263</v>
      </c>
      <c r="E171" s="26" t="s">
        <v>266</v>
      </c>
      <c r="F171" s="27">
        <v>6</v>
      </c>
      <c r="G171" s="28">
        <f t="shared" si="14"/>
        <v>0.75</v>
      </c>
      <c r="H171" s="29">
        <v>1</v>
      </c>
      <c r="I171" s="29">
        <v>1</v>
      </c>
      <c r="J171" s="29">
        <v>1</v>
      </c>
      <c r="K171" s="30">
        <v>0</v>
      </c>
      <c r="L171" s="31">
        <f t="shared" si="15"/>
        <v>0.28628425000000002</v>
      </c>
      <c r="M171" s="32">
        <v>0.17896999999999999</v>
      </c>
      <c r="N171" s="32">
        <v>0.14308999999999999</v>
      </c>
      <c r="O171" s="32">
        <v>0.50101700000000005</v>
      </c>
      <c r="P171" s="33">
        <v>0</v>
      </c>
      <c r="Q171" s="31">
        <f t="shared" si="16"/>
        <v>0.12525425000000001</v>
      </c>
      <c r="R171" s="32">
        <v>0</v>
      </c>
      <c r="S171" s="32">
        <v>0</v>
      </c>
      <c r="T171" s="32">
        <v>0.50101700000000005</v>
      </c>
      <c r="U171" s="33">
        <v>0</v>
      </c>
      <c r="V171" s="31">
        <f t="shared" si="17"/>
        <v>0</v>
      </c>
      <c r="W171" s="32">
        <v>0</v>
      </c>
      <c r="X171" s="32">
        <v>0</v>
      </c>
      <c r="Y171" s="32">
        <v>0</v>
      </c>
      <c r="Z171" s="33">
        <v>0</v>
      </c>
      <c r="AA171" s="31">
        <f t="shared" si="18"/>
        <v>0.16103000000000001</v>
      </c>
      <c r="AB171" s="32">
        <v>0.17896999999999999</v>
      </c>
      <c r="AC171" s="33">
        <v>0.14308999999999999</v>
      </c>
      <c r="AD171" s="31">
        <f t="shared" si="19"/>
        <v>0</v>
      </c>
      <c r="AE171" s="32">
        <v>0</v>
      </c>
      <c r="AF171" s="32">
        <v>0</v>
      </c>
      <c r="AG171" s="32">
        <v>0</v>
      </c>
      <c r="AH171" s="33">
        <v>0</v>
      </c>
      <c r="AI171" s="31">
        <f t="shared" si="20"/>
        <v>0</v>
      </c>
      <c r="AJ171" s="32">
        <v>0</v>
      </c>
      <c r="AK171" s="32">
        <v>0</v>
      </c>
      <c r="AL171" s="32">
        <v>0</v>
      </c>
      <c r="AM171" s="34">
        <v>0</v>
      </c>
    </row>
    <row r="172" spans="1:39" x14ac:dyDescent="0.3">
      <c r="A172" s="24" t="s">
        <v>202</v>
      </c>
      <c r="B172" s="25" t="s">
        <v>11</v>
      </c>
      <c r="C172" s="25" t="s">
        <v>12</v>
      </c>
      <c r="D172" s="25" t="s">
        <v>263</v>
      </c>
      <c r="E172" s="26" t="s">
        <v>267</v>
      </c>
      <c r="F172" s="27">
        <v>8</v>
      </c>
      <c r="G172" s="28">
        <f t="shared" si="14"/>
        <v>1</v>
      </c>
      <c r="H172" s="29">
        <v>1</v>
      </c>
      <c r="I172" s="29">
        <v>1</v>
      </c>
      <c r="J172" s="29">
        <v>1</v>
      </c>
      <c r="K172" s="30">
        <v>1</v>
      </c>
      <c r="L172" s="31">
        <f t="shared" si="15"/>
        <v>1.5263654999999998</v>
      </c>
      <c r="M172" s="32">
        <v>1.0037700000000001</v>
      </c>
      <c r="N172" s="32">
        <v>1.0004820000000001</v>
      </c>
      <c r="O172" s="32">
        <v>2.0988500000000001</v>
      </c>
      <c r="P172" s="33">
        <v>2.0023599999999999</v>
      </c>
      <c r="Q172" s="31">
        <f t="shared" si="16"/>
        <v>1.0257755</v>
      </c>
      <c r="R172" s="32">
        <v>1.0037700000000001</v>
      </c>
      <c r="S172" s="32">
        <v>1.0004820000000001</v>
      </c>
      <c r="T172" s="32">
        <v>2.0988500000000001</v>
      </c>
      <c r="U172" s="33">
        <v>0</v>
      </c>
      <c r="V172" s="31">
        <f t="shared" si="17"/>
        <v>0.50058999999999998</v>
      </c>
      <c r="W172" s="32">
        <v>0</v>
      </c>
      <c r="X172" s="32">
        <v>0</v>
      </c>
      <c r="Y172" s="32">
        <v>0</v>
      </c>
      <c r="Z172" s="33">
        <v>2.0023599999999999</v>
      </c>
      <c r="AA172" s="31">
        <f t="shared" si="18"/>
        <v>0</v>
      </c>
      <c r="AB172" s="32">
        <v>0</v>
      </c>
      <c r="AC172" s="33">
        <v>0</v>
      </c>
      <c r="AD172" s="31">
        <f t="shared" si="19"/>
        <v>0</v>
      </c>
      <c r="AE172" s="32">
        <v>0</v>
      </c>
      <c r="AF172" s="32">
        <v>0</v>
      </c>
      <c r="AG172" s="32">
        <v>0</v>
      </c>
      <c r="AH172" s="33">
        <v>0</v>
      </c>
      <c r="AI172" s="31">
        <f t="shared" si="20"/>
        <v>0</v>
      </c>
      <c r="AJ172" s="32">
        <v>0</v>
      </c>
      <c r="AK172" s="32">
        <v>0</v>
      </c>
      <c r="AL172" s="32">
        <v>0</v>
      </c>
      <c r="AM172" s="34">
        <v>0</v>
      </c>
    </row>
    <row r="173" spans="1:39" x14ac:dyDescent="0.3">
      <c r="A173" s="24" t="s">
        <v>202</v>
      </c>
      <c r="B173" s="25" t="s">
        <v>11</v>
      </c>
      <c r="C173" s="25" t="s">
        <v>12</v>
      </c>
      <c r="D173" s="25" t="s">
        <v>263</v>
      </c>
      <c r="E173" s="26" t="s">
        <v>268</v>
      </c>
      <c r="F173" s="27">
        <v>7</v>
      </c>
      <c r="G173" s="28">
        <f t="shared" si="14"/>
        <v>0</v>
      </c>
      <c r="H173" s="29">
        <v>0</v>
      </c>
      <c r="I173" s="29">
        <v>0</v>
      </c>
      <c r="J173" s="29">
        <v>0</v>
      </c>
      <c r="K173" s="30">
        <v>0</v>
      </c>
      <c r="L173" s="31">
        <f t="shared" si="15"/>
        <v>0</v>
      </c>
      <c r="M173" s="32">
        <v>0</v>
      </c>
      <c r="N173" s="32">
        <v>0</v>
      </c>
      <c r="O173" s="32">
        <v>0</v>
      </c>
      <c r="P173" s="33">
        <v>0</v>
      </c>
      <c r="Q173" s="31">
        <f t="shared" si="16"/>
        <v>0</v>
      </c>
      <c r="R173" s="32">
        <v>0</v>
      </c>
      <c r="S173" s="32">
        <v>0</v>
      </c>
      <c r="T173" s="32">
        <v>0</v>
      </c>
      <c r="U173" s="33">
        <v>0</v>
      </c>
      <c r="V173" s="31">
        <f t="shared" si="17"/>
        <v>0</v>
      </c>
      <c r="W173" s="32">
        <v>0</v>
      </c>
      <c r="X173" s="32">
        <v>0</v>
      </c>
      <c r="Y173" s="32">
        <v>0</v>
      </c>
      <c r="Z173" s="33">
        <v>0</v>
      </c>
      <c r="AA173" s="31">
        <f t="shared" si="18"/>
        <v>0</v>
      </c>
      <c r="AB173" s="32">
        <v>0</v>
      </c>
      <c r="AC173" s="33">
        <v>0</v>
      </c>
      <c r="AD173" s="31">
        <f t="shared" si="19"/>
        <v>0</v>
      </c>
      <c r="AE173" s="32">
        <v>0</v>
      </c>
      <c r="AF173" s="32">
        <v>0</v>
      </c>
      <c r="AG173" s="32">
        <v>0</v>
      </c>
      <c r="AH173" s="33">
        <v>0</v>
      </c>
      <c r="AI173" s="31">
        <f t="shared" si="20"/>
        <v>0</v>
      </c>
      <c r="AJ173" s="32">
        <v>0</v>
      </c>
      <c r="AK173" s="32">
        <v>0</v>
      </c>
      <c r="AL173" s="32">
        <v>0</v>
      </c>
      <c r="AM173" s="34">
        <v>0</v>
      </c>
    </row>
    <row r="174" spans="1:39" x14ac:dyDescent="0.3">
      <c r="A174" s="24" t="s">
        <v>202</v>
      </c>
      <c r="B174" s="25" t="s">
        <v>11</v>
      </c>
      <c r="C174" s="25" t="s">
        <v>12</v>
      </c>
      <c r="D174" s="25" t="s">
        <v>263</v>
      </c>
      <c r="E174" s="26" t="s">
        <v>269</v>
      </c>
      <c r="F174" s="27">
        <v>2</v>
      </c>
      <c r="G174" s="28">
        <f t="shared" si="14"/>
        <v>0</v>
      </c>
      <c r="H174" s="29">
        <v>0</v>
      </c>
      <c r="I174" s="29">
        <v>0</v>
      </c>
      <c r="J174" s="29">
        <v>0</v>
      </c>
      <c r="K174" s="30">
        <v>0</v>
      </c>
      <c r="L174" s="31">
        <f t="shared" si="15"/>
        <v>0</v>
      </c>
      <c r="M174" s="32">
        <v>0</v>
      </c>
      <c r="N174" s="32">
        <v>0</v>
      </c>
      <c r="O174" s="32">
        <v>0</v>
      </c>
      <c r="P174" s="33">
        <v>0</v>
      </c>
      <c r="Q174" s="31">
        <f t="shared" si="16"/>
        <v>0</v>
      </c>
      <c r="R174" s="32">
        <v>0</v>
      </c>
      <c r="S174" s="32">
        <v>0</v>
      </c>
      <c r="T174" s="32">
        <v>0</v>
      </c>
      <c r="U174" s="33">
        <v>0</v>
      </c>
      <c r="V174" s="31">
        <f t="shared" si="17"/>
        <v>0</v>
      </c>
      <c r="W174" s="32">
        <v>0</v>
      </c>
      <c r="X174" s="32">
        <v>0</v>
      </c>
      <c r="Y174" s="32">
        <v>0</v>
      </c>
      <c r="Z174" s="33">
        <v>0</v>
      </c>
      <c r="AA174" s="31">
        <f t="shared" si="18"/>
        <v>0</v>
      </c>
      <c r="AB174" s="32">
        <v>0</v>
      </c>
      <c r="AC174" s="33">
        <v>0</v>
      </c>
      <c r="AD174" s="31">
        <f t="shared" si="19"/>
        <v>0</v>
      </c>
      <c r="AE174" s="32">
        <v>0</v>
      </c>
      <c r="AF174" s="32">
        <v>0</v>
      </c>
      <c r="AG174" s="32">
        <v>0</v>
      </c>
      <c r="AH174" s="33">
        <v>0</v>
      </c>
      <c r="AI174" s="31">
        <f t="shared" si="20"/>
        <v>0</v>
      </c>
      <c r="AJ174" s="32">
        <v>0</v>
      </c>
      <c r="AK174" s="32">
        <v>0</v>
      </c>
      <c r="AL174" s="32">
        <v>0</v>
      </c>
      <c r="AM174" s="34">
        <v>0</v>
      </c>
    </row>
    <row r="175" spans="1:39" x14ac:dyDescent="0.3">
      <c r="A175" s="24" t="s">
        <v>202</v>
      </c>
      <c r="B175" s="25" t="s">
        <v>11</v>
      </c>
      <c r="C175" s="25" t="s">
        <v>12</v>
      </c>
      <c r="D175" s="25" t="s">
        <v>263</v>
      </c>
      <c r="E175" s="26" t="s">
        <v>270</v>
      </c>
      <c r="F175" s="27">
        <v>5</v>
      </c>
      <c r="G175" s="28">
        <f t="shared" si="14"/>
        <v>1</v>
      </c>
      <c r="H175" s="29">
        <v>1</v>
      </c>
      <c r="I175" s="29">
        <v>0</v>
      </c>
      <c r="J175" s="29">
        <v>2</v>
      </c>
      <c r="K175" s="30">
        <v>1</v>
      </c>
      <c r="L175" s="31">
        <f t="shared" si="15"/>
        <v>0.24321900000000002</v>
      </c>
      <c r="M175" s="32">
        <v>7.0459999999999995E-2</v>
      </c>
      <c r="N175" s="32">
        <v>0</v>
      </c>
      <c r="O175" s="32">
        <v>0.73519800000000002</v>
      </c>
      <c r="P175" s="33">
        <v>0.16721800000000001</v>
      </c>
      <c r="Q175" s="31">
        <f t="shared" si="16"/>
        <v>0.15790000000000001</v>
      </c>
      <c r="R175" s="32">
        <v>0</v>
      </c>
      <c r="S175" s="32">
        <v>0</v>
      </c>
      <c r="T175" s="32">
        <v>0.63160000000000005</v>
      </c>
      <c r="U175" s="33">
        <v>0</v>
      </c>
      <c r="V175" s="31">
        <f t="shared" si="17"/>
        <v>0</v>
      </c>
      <c r="W175" s="32">
        <v>0</v>
      </c>
      <c r="X175" s="32">
        <v>0</v>
      </c>
      <c r="Y175" s="32">
        <v>0</v>
      </c>
      <c r="Z175" s="33">
        <v>0</v>
      </c>
      <c r="AA175" s="31">
        <f t="shared" si="18"/>
        <v>0</v>
      </c>
      <c r="AB175" s="32">
        <v>0</v>
      </c>
      <c r="AC175" s="33">
        <v>0</v>
      </c>
      <c r="AD175" s="31">
        <f t="shared" si="19"/>
        <v>8.5319000000000006E-2</v>
      </c>
      <c r="AE175" s="32">
        <v>7.0459999999999995E-2</v>
      </c>
      <c r="AF175" s="32">
        <v>0</v>
      </c>
      <c r="AG175" s="32">
        <v>0.103598</v>
      </c>
      <c r="AH175" s="33">
        <v>0.16721800000000001</v>
      </c>
      <c r="AI175" s="31">
        <f t="shared" si="20"/>
        <v>0</v>
      </c>
      <c r="AJ175" s="32">
        <v>0</v>
      </c>
      <c r="AK175" s="32">
        <v>0</v>
      </c>
      <c r="AL175" s="32">
        <v>0</v>
      </c>
      <c r="AM175" s="34">
        <v>0</v>
      </c>
    </row>
    <row r="176" spans="1:39" x14ac:dyDescent="0.3">
      <c r="A176" s="24" t="s">
        <v>202</v>
      </c>
      <c r="B176" s="25" t="s">
        <v>11</v>
      </c>
      <c r="C176" s="25" t="s">
        <v>12</v>
      </c>
      <c r="D176" s="25" t="s">
        <v>263</v>
      </c>
      <c r="E176" s="26" t="s">
        <v>271</v>
      </c>
      <c r="F176" s="27">
        <v>64</v>
      </c>
      <c r="G176" s="28">
        <f t="shared" si="14"/>
        <v>53.75</v>
      </c>
      <c r="H176" s="29">
        <v>52</v>
      </c>
      <c r="I176" s="29">
        <v>60</v>
      </c>
      <c r="J176" s="29">
        <v>51</v>
      </c>
      <c r="K176" s="30">
        <v>52</v>
      </c>
      <c r="L176" s="31">
        <f t="shared" si="15"/>
        <v>33.589912999999996</v>
      </c>
      <c r="M176" s="32">
        <v>39.731839000000001</v>
      </c>
      <c r="N176" s="32">
        <v>31.481254</v>
      </c>
      <c r="O176" s="32">
        <v>30.630158999999999</v>
      </c>
      <c r="P176" s="33">
        <v>29.001155000000001</v>
      </c>
      <c r="Q176" s="31">
        <f t="shared" si="16"/>
        <v>4.0922429999999999</v>
      </c>
      <c r="R176" s="32">
        <v>5.5626829999999998</v>
      </c>
      <c r="S176" s="32">
        <v>2.9765299999999999</v>
      </c>
      <c r="T176" s="32">
        <v>2.9804050000000002</v>
      </c>
      <c r="U176" s="33">
        <v>4.8493539999999999</v>
      </c>
      <c r="V176" s="31">
        <f t="shared" si="17"/>
        <v>11.520298</v>
      </c>
      <c r="W176" s="32">
        <v>15.37486</v>
      </c>
      <c r="X176" s="32">
        <v>13.302110000000001</v>
      </c>
      <c r="Y176" s="32">
        <v>14.86656</v>
      </c>
      <c r="Z176" s="33">
        <v>2.5376620000000001</v>
      </c>
      <c r="AA176" s="31">
        <f t="shared" si="18"/>
        <v>1.7576225000000001</v>
      </c>
      <c r="AB176" s="32">
        <v>2.7087530000000002</v>
      </c>
      <c r="AC176" s="33">
        <v>0.8064920000000001</v>
      </c>
      <c r="AD176" s="31">
        <f t="shared" si="19"/>
        <v>3.6172494999999998</v>
      </c>
      <c r="AE176" s="32">
        <v>3.0855429999999999</v>
      </c>
      <c r="AF176" s="32">
        <v>2.5361220000000002</v>
      </c>
      <c r="AG176" s="32">
        <v>3.9331940000000012</v>
      </c>
      <c r="AH176" s="33">
        <v>4.9141389999999996</v>
      </c>
      <c r="AI176" s="31">
        <f t="shared" si="20"/>
        <v>12.602499999999999</v>
      </c>
      <c r="AJ176" s="32">
        <v>13</v>
      </c>
      <c r="AK176" s="32">
        <v>11.86</v>
      </c>
      <c r="AL176" s="32">
        <v>8.8500000000000014</v>
      </c>
      <c r="AM176" s="34">
        <v>16.7</v>
      </c>
    </row>
    <row r="177" spans="1:39" x14ac:dyDescent="0.3">
      <c r="A177" s="24" t="s">
        <v>202</v>
      </c>
      <c r="B177" s="25" t="s">
        <v>11</v>
      </c>
      <c r="C177" s="25" t="s">
        <v>12</v>
      </c>
      <c r="D177" s="25" t="s">
        <v>263</v>
      </c>
      <c r="E177" s="26" t="s">
        <v>272</v>
      </c>
      <c r="F177" s="27">
        <v>181</v>
      </c>
      <c r="G177" s="28">
        <f t="shared" si="14"/>
        <v>123.5</v>
      </c>
      <c r="H177" s="29">
        <v>138</v>
      </c>
      <c r="I177" s="29">
        <v>151</v>
      </c>
      <c r="J177" s="29">
        <v>96</v>
      </c>
      <c r="K177" s="30">
        <v>109</v>
      </c>
      <c r="L177" s="31">
        <f t="shared" si="15"/>
        <v>56.318665000000003</v>
      </c>
      <c r="M177" s="32">
        <v>46.762994000000013</v>
      </c>
      <c r="N177" s="32">
        <v>51.906680999999999</v>
      </c>
      <c r="O177" s="32">
        <v>61.461393000000001</v>
      </c>
      <c r="P177" s="33">
        <v>49.431933000000001</v>
      </c>
      <c r="Q177" s="31">
        <f t="shared" si="16"/>
        <v>21.44672825</v>
      </c>
      <c r="R177" s="32">
        <v>28.751342999999999</v>
      </c>
      <c r="S177" s="32">
        <v>19.563807999999991</v>
      </c>
      <c r="T177" s="32">
        <v>18.813172000000002</v>
      </c>
      <c r="U177" s="33">
        <v>18.65859</v>
      </c>
      <c r="V177" s="31">
        <f t="shared" si="17"/>
        <v>13.384075000000001</v>
      </c>
      <c r="W177" s="32">
        <v>3.66812</v>
      </c>
      <c r="X177" s="32">
        <v>11.15817</v>
      </c>
      <c r="Y177" s="32">
        <v>23.45448</v>
      </c>
      <c r="Z177" s="33">
        <v>15.25553</v>
      </c>
      <c r="AA177" s="31">
        <f t="shared" si="18"/>
        <v>7.8558295000000005</v>
      </c>
      <c r="AB177" s="32">
        <v>6.8368040000000008</v>
      </c>
      <c r="AC177" s="33">
        <v>8.8748550000000002</v>
      </c>
      <c r="AD177" s="31">
        <f t="shared" si="19"/>
        <v>8.5497472499999994</v>
      </c>
      <c r="AE177" s="32">
        <v>6.5306870000000004</v>
      </c>
      <c r="AF177" s="32">
        <v>8.069507999999999</v>
      </c>
      <c r="AG177" s="32">
        <v>9.493741</v>
      </c>
      <c r="AH177" s="33">
        <v>10.105053</v>
      </c>
      <c r="AI177" s="31">
        <f t="shared" si="20"/>
        <v>5.082285000000005</v>
      </c>
      <c r="AJ177" s="32">
        <v>0.97604000000000291</v>
      </c>
      <c r="AK177" s="32">
        <v>4.2403400000000069</v>
      </c>
      <c r="AL177" s="32">
        <v>9.7000000000000064</v>
      </c>
      <c r="AM177" s="34">
        <v>5.412760000000004</v>
      </c>
    </row>
    <row r="178" spans="1:39" x14ac:dyDescent="0.3">
      <c r="A178" s="24" t="s">
        <v>202</v>
      </c>
      <c r="B178" s="25" t="s">
        <v>11</v>
      </c>
      <c r="C178" s="25" t="s">
        <v>12</v>
      </c>
      <c r="D178" s="25" t="s">
        <v>263</v>
      </c>
      <c r="E178" s="26" t="s">
        <v>273</v>
      </c>
      <c r="F178" s="27">
        <v>13</v>
      </c>
      <c r="G178" s="28">
        <f t="shared" si="14"/>
        <v>2</v>
      </c>
      <c r="H178" s="29">
        <v>2</v>
      </c>
      <c r="I178" s="29">
        <v>2</v>
      </c>
      <c r="J178" s="29">
        <v>3</v>
      </c>
      <c r="K178" s="30">
        <v>1</v>
      </c>
      <c r="L178" s="31">
        <f t="shared" si="15"/>
        <v>0.82287874999999999</v>
      </c>
      <c r="M178" s="32">
        <v>0.92152299999999998</v>
      </c>
      <c r="N178" s="32">
        <v>0.77060700000000004</v>
      </c>
      <c r="O178" s="32">
        <v>1.4057789999999999</v>
      </c>
      <c r="P178" s="33">
        <v>0.193606</v>
      </c>
      <c r="Q178" s="31">
        <f t="shared" si="16"/>
        <v>0.67859599999999998</v>
      </c>
      <c r="R178" s="32">
        <v>0.72550999999999999</v>
      </c>
      <c r="S178" s="32">
        <v>0.68444000000000005</v>
      </c>
      <c r="T178" s="32">
        <v>1.3044340000000001</v>
      </c>
      <c r="U178" s="33">
        <v>0</v>
      </c>
      <c r="V178" s="31">
        <f t="shared" si="17"/>
        <v>0</v>
      </c>
      <c r="W178" s="32">
        <v>0</v>
      </c>
      <c r="X178" s="32">
        <v>0</v>
      </c>
      <c r="Y178" s="32">
        <v>0</v>
      </c>
      <c r="Z178" s="33">
        <v>0</v>
      </c>
      <c r="AA178" s="31">
        <f t="shared" si="18"/>
        <v>0</v>
      </c>
      <c r="AB178" s="32">
        <v>0</v>
      </c>
      <c r="AC178" s="33">
        <v>0</v>
      </c>
      <c r="AD178" s="31">
        <f t="shared" si="19"/>
        <v>0.14428275000000002</v>
      </c>
      <c r="AE178" s="32">
        <v>0.19601299999999999</v>
      </c>
      <c r="AF178" s="32">
        <v>8.6166999999999994E-2</v>
      </c>
      <c r="AG178" s="32">
        <v>0.101345</v>
      </c>
      <c r="AH178" s="33">
        <v>0.193606</v>
      </c>
      <c r="AI178" s="31">
        <f t="shared" si="20"/>
        <v>0</v>
      </c>
      <c r="AJ178" s="32">
        <v>0</v>
      </c>
      <c r="AK178" s="32">
        <v>0</v>
      </c>
      <c r="AL178" s="32">
        <v>0</v>
      </c>
      <c r="AM178" s="34">
        <v>0</v>
      </c>
    </row>
    <row r="179" spans="1:39" x14ac:dyDescent="0.3">
      <c r="A179" s="24" t="s">
        <v>202</v>
      </c>
      <c r="B179" s="25" t="s">
        <v>11</v>
      </c>
      <c r="C179" s="25" t="s">
        <v>12</v>
      </c>
      <c r="D179" s="25" t="s">
        <v>263</v>
      </c>
      <c r="E179" s="26" t="s">
        <v>274</v>
      </c>
      <c r="F179" s="27">
        <v>1</v>
      </c>
      <c r="G179" s="28">
        <f t="shared" si="14"/>
        <v>0</v>
      </c>
      <c r="H179" s="29">
        <v>0</v>
      </c>
      <c r="I179" s="29">
        <v>0</v>
      </c>
      <c r="J179" s="29">
        <v>0</v>
      </c>
      <c r="K179" s="30">
        <v>0</v>
      </c>
      <c r="L179" s="31">
        <f t="shared" si="15"/>
        <v>0</v>
      </c>
      <c r="M179" s="32">
        <v>0</v>
      </c>
      <c r="N179" s="32">
        <v>0</v>
      </c>
      <c r="O179" s="32">
        <v>0</v>
      </c>
      <c r="P179" s="33">
        <v>0</v>
      </c>
      <c r="Q179" s="31">
        <f t="shared" si="16"/>
        <v>0</v>
      </c>
      <c r="R179" s="32">
        <v>0</v>
      </c>
      <c r="S179" s="32">
        <v>0</v>
      </c>
      <c r="T179" s="32">
        <v>0</v>
      </c>
      <c r="U179" s="33">
        <v>0</v>
      </c>
      <c r="V179" s="31">
        <f t="shared" si="17"/>
        <v>0</v>
      </c>
      <c r="W179" s="32">
        <v>0</v>
      </c>
      <c r="X179" s="32">
        <v>0</v>
      </c>
      <c r="Y179" s="32">
        <v>0</v>
      </c>
      <c r="Z179" s="33">
        <v>0</v>
      </c>
      <c r="AA179" s="31">
        <f t="shared" si="18"/>
        <v>0</v>
      </c>
      <c r="AB179" s="32">
        <v>0</v>
      </c>
      <c r="AC179" s="33">
        <v>0</v>
      </c>
      <c r="AD179" s="31">
        <f t="shared" si="19"/>
        <v>0</v>
      </c>
      <c r="AE179" s="32">
        <v>0</v>
      </c>
      <c r="AF179" s="32">
        <v>0</v>
      </c>
      <c r="AG179" s="32">
        <v>0</v>
      </c>
      <c r="AH179" s="33">
        <v>0</v>
      </c>
      <c r="AI179" s="31">
        <f t="shared" si="20"/>
        <v>0</v>
      </c>
      <c r="AJ179" s="32">
        <v>0</v>
      </c>
      <c r="AK179" s="32">
        <v>0</v>
      </c>
      <c r="AL179" s="32">
        <v>0</v>
      </c>
      <c r="AM179" s="34">
        <v>0</v>
      </c>
    </row>
    <row r="180" spans="1:39" x14ac:dyDescent="0.3">
      <c r="A180" s="24" t="s">
        <v>202</v>
      </c>
      <c r="B180" s="25" t="s">
        <v>11</v>
      </c>
      <c r="C180" s="25" t="s">
        <v>12</v>
      </c>
      <c r="D180" s="25" t="s">
        <v>275</v>
      </c>
      <c r="E180" s="26" t="s">
        <v>276</v>
      </c>
      <c r="F180" s="27">
        <v>1</v>
      </c>
      <c r="G180" s="28">
        <f t="shared" si="14"/>
        <v>3</v>
      </c>
      <c r="H180" s="29">
        <v>3</v>
      </c>
      <c r="I180" s="29">
        <v>1</v>
      </c>
      <c r="J180" s="29">
        <v>4</v>
      </c>
      <c r="K180" s="30">
        <v>4</v>
      </c>
      <c r="L180" s="31">
        <f t="shared" si="15"/>
        <v>0.41519800000000001</v>
      </c>
      <c r="M180" s="32">
        <v>0.39890500000000001</v>
      </c>
      <c r="N180" s="32">
        <v>6.3701999999999995E-2</v>
      </c>
      <c r="O180" s="32">
        <v>0.67081000000000002</v>
      </c>
      <c r="P180" s="33">
        <v>0.52737500000000004</v>
      </c>
      <c r="Q180" s="31">
        <f t="shared" si="16"/>
        <v>0.16170000000000001</v>
      </c>
      <c r="R180" s="32">
        <v>0.3024</v>
      </c>
      <c r="S180" s="32">
        <v>0</v>
      </c>
      <c r="T180" s="32">
        <v>0.34439999999999998</v>
      </c>
      <c r="U180" s="33">
        <v>0</v>
      </c>
      <c r="V180" s="31">
        <f t="shared" si="17"/>
        <v>0</v>
      </c>
      <c r="W180" s="32">
        <v>0</v>
      </c>
      <c r="X180" s="32">
        <v>0</v>
      </c>
      <c r="Y180" s="32">
        <v>0</v>
      </c>
      <c r="Z180" s="33">
        <v>0</v>
      </c>
      <c r="AA180" s="31">
        <f t="shared" si="18"/>
        <v>0</v>
      </c>
      <c r="AB180" s="32">
        <v>0</v>
      </c>
      <c r="AC180" s="33">
        <v>0</v>
      </c>
      <c r="AD180" s="31">
        <f t="shared" si="19"/>
        <v>0.253498</v>
      </c>
      <c r="AE180" s="32">
        <v>9.6504999999999994E-2</v>
      </c>
      <c r="AF180" s="32">
        <v>6.3701999999999995E-2</v>
      </c>
      <c r="AG180" s="32">
        <v>0.32640999999999998</v>
      </c>
      <c r="AH180" s="33">
        <v>0.52737500000000004</v>
      </c>
      <c r="AI180" s="31">
        <f t="shared" si="20"/>
        <v>0</v>
      </c>
      <c r="AJ180" s="32">
        <v>0</v>
      </c>
      <c r="AK180" s="32">
        <v>0</v>
      </c>
      <c r="AL180" s="32">
        <v>0</v>
      </c>
      <c r="AM180" s="34">
        <v>0</v>
      </c>
    </row>
    <row r="181" spans="1:39" x14ac:dyDescent="0.3">
      <c r="A181" s="24" t="s">
        <v>202</v>
      </c>
      <c r="B181" s="25" t="s">
        <v>21</v>
      </c>
      <c r="C181" s="25" t="s">
        <v>22</v>
      </c>
      <c r="D181" s="25" t="s">
        <v>277</v>
      </c>
      <c r="E181" s="26" t="s">
        <v>278</v>
      </c>
      <c r="F181" s="27">
        <v>41</v>
      </c>
      <c r="G181" s="28">
        <f t="shared" si="14"/>
        <v>36.75</v>
      </c>
      <c r="H181" s="29">
        <v>22</v>
      </c>
      <c r="I181" s="29">
        <v>38</v>
      </c>
      <c r="J181" s="29">
        <v>43</v>
      </c>
      <c r="K181" s="30">
        <v>44</v>
      </c>
      <c r="L181" s="31">
        <f t="shared" si="15"/>
        <v>17.289666999999998</v>
      </c>
      <c r="M181" s="32">
        <v>4.7169420000000004</v>
      </c>
      <c r="N181" s="32">
        <v>15.576707000000001</v>
      </c>
      <c r="O181" s="32">
        <v>27.868307000000001</v>
      </c>
      <c r="P181" s="33">
        <v>19.313316</v>
      </c>
      <c r="Q181" s="31">
        <f t="shared" si="16"/>
        <v>7.9183162500000002</v>
      </c>
      <c r="R181" s="32">
        <v>2.567412</v>
      </c>
      <c r="S181" s="32">
        <v>9.1012459999999997</v>
      </c>
      <c r="T181" s="32">
        <v>9.3795920000000006</v>
      </c>
      <c r="U181" s="33">
        <v>10.625014999999999</v>
      </c>
      <c r="V181" s="31">
        <f t="shared" si="17"/>
        <v>5.3739624999999993</v>
      </c>
      <c r="W181" s="32">
        <v>0.53205999999999998</v>
      </c>
      <c r="X181" s="32">
        <v>2.1343999999999999</v>
      </c>
      <c r="Y181" s="32">
        <v>13.397740000000001</v>
      </c>
      <c r="Z181" s="33">
        <v>5.4316499999999994</v>
      </c>
      <c r="AA181" s="31">
        <f t="shared" si="18"/>
        <v>0.84169800000000006</v>
      </c>
      <c r="AB181" s="32">
        <v>1.0937429999999999</v>
      </c>
      <c r="AC181" s="33">
        <v>0.58965300000000009</v>
      </c>
      <c r="AD181" s="31">
        <f t="shared" si="19"/>
        <v>3.1556902500000001</v>
      </c>
      <c r="AE181" s="32">
        <v>0.52372700000000005</v>
      </c>
      <c r="AF181" s="32">
        <v>3.7514080000000001</v>
      </c>
      <c r="AG181" s="32">
        <v>5.0909750000000003</v>
      </c>
      <c r="AH181" s="33">
        <v>3.2566510000000002</v>
      </c>
      <c r="AI181" s="31">
        <f t="shared" si="20"/>
        <v>0</v>
      </c>
      <c r="AJ181" s="32">
        <v>0</v>
      </c>
      <c r="AK181" s="32">
        <v>0</v>
      </c>
      <c r="AL181" s="32">
        <v>0</v>
      </c>
      <c r="AM181" s="34">
        <v>0</v>
      </c>
    </row>
    <row r="182" spans="1:39" x14ac:dyDescent="0.3">
      <c r="A182" s="24" t="s">
        <v>202</v>
      </c>
      <c r="B182" s="25" t="s">
        <v>21</v>
      </c>
      <c r="C182" s="25" t="s">
        <v>22</v>
      </c>
      <c r="D182" s="25" t="s">
        <v>277</v>
      </c>
      <c r="E182" s="26" t="s">
        <v>279</v>
      </c>
      <c r="F182" s="27">
        <v>39</v>
      </c>
      <c r="G182" s="28">
        <f t="shared" si="14"/>
        <v>26.5</v>
      </c>
      <c r="H182" s="29">
        <v>20</v>
      </c>
      <c r="I182" s="29">
        <v>12</v>
      </c>
      <c r="J182" s="29">
        <v>35</v>
      </c>
      <c r="K182" s="30">
        <v>39</v>
      </c>
      <c r="L182" s="31">
        <f t="shared" si="15"/>
        <v>11.005809249999999</v>
      </c>
      <c r="M182" s="32">
        <v>4.7949549999999999</v>
      </c>
      <c r="N182" s="32">
        <v>5.9520360000000014</v>
      </c>
      <c r="O182" s="32">
        <v>14.594493</v>
      </c>
      <c r="P182" s="33">
        <v>15.574168</v>
      </c>
      <c r="Q182" s="31">
        <f t="shared" si="16"/>
        <v>2.2213205</v>
      </c>
      <c r="R182" s="32">
        <v>0.2094</v>
      </c>
      <c r="S182" s="32">
        <v>2.8356520000000001</v>
      </c>
      <c r="T182" s="32">
        <v>3.0288119999999998</v>
      </c>
      <c r="U182" s="33">
        <v>2.8114180000000002</v>
      </c>
      <c r="V182" s="31">
        <f t="shared" si="17"/>
        <v>5.1342349999999994</v>
      </c>
      <c r="W182" s="32">
        <v>1.3504400000000001</v>
      </c>
      <c r="X182" s="32">
        <v>2.3936799999999998</v>
      </c>
      <c r="Y182" s="32">
        <v>7.9729899999999994</v>
      </c>
      <c r="Z182" s="33">
        <v>8.8198299999999996</v>
      </c>
      <c r="AA182" s="31">
        <f t="shared" si="18"/>
        <v>1.5537924999999999</v>
      </c>
      <c r="AB182" s="32">
        <v>2.8139639999999999</v>
      </c>
      <c r="AC182" s="33">
        <v>0.29362100000000002</v>
      </c>
      <c r="AD182" s="31">
        <f t="shared" si="19"/>
        <v>2.0964612499999999</v>
      </c>
      <c r="AE182" s="32">
        <v>0.421151</v>
      </c>
      <c r="AF182" s="32">
        <v>0.42908299999999999</v>
      </c>
      <c r="AG182" s="32">
        <v>3.5926909999999999</v>
      </c>
      <c r="AH182" s="33">
        <v>3.94292</v>
      </c>
      <c r="AI182" s="31">
        <f t="shared" si="20"/>
        <v>2.9143354396410359E-16</v>
      </c>
      <c r="AJ182" s="32">
        <v>4.9960036108132044E-16</v>
      </c>
      <c r="AK182" s="32">
        <v>6.6613381477509392E-16</v>
      </c>
      <c r="AL182" s="32">
        <v>0</v>
      </c>
      <c r="AM182" s="34">
        <v>0</v>
      </c>
    </row>
    <row r="183" spans="1:39" x14ac:dyDescent="0.3">
      <c r="A183" s="24" t="s">
        <v>202</v>
      </c>
      <c r="B183" s="25" t="s">
        <v>21</v>
      </c>
      <c r="C183" s="25" t="s">
        <v>22</v>
      </c>
      <c r="D183" s="25" t="s">
        <v>277</v>
      </c>
      <c r="E183" s="26" t="s">
        <v>280</v>
      </c>
      <c r="F183" s="27">
        <v>97</v>
      </c>
      <c r="G183" s="28">
        <f t="shared" si="14"/>
        <v>83.25</v>
      </c>
      <c r="H183" s="29">
        <v>77</v>
      </c>
      <c r="I183" s="29">
        <v>97</v>
      </c>
      <c r="J183" s="29">
        <v>83</v>
      </c>
      <c r="K183" s="30">
        <v>76</v>
      </c>
      <c r="L183" s="31">
        <f t="shared" si="15"/>
        <v>48.507463750000007</v>
      </c>
      <c r="M183" s="32">
        <v>53.584621000000013</v>
      </c>
      <c r="N183" s="32">
        <v>44.080404999999999</v>
      </c>
      <c r="O183" s="32">
        <v>47.721339999999998</v>
      </c>
      <c r="P183" s="33">
        <v>30.706115</v>
      </c>
      <c r="Q183" s="31">
        <f t="shared" si="16"/>
        <v>30.905808499999999</v>
      </c>
      <c r="R183" s="32">
        <v>41.966649999999987</v>
      </c>
      <c r="S183" s="32">
        <v>28.601627000000001</v>
      </c>
      <c r="T183" s="32">
        <v>32.026009999999999</v>
      </c>
      <c r="U183" s="33">
        <v>21.028946999999999</v>
      </c>
      <c r="V183" s="31">
        <f t="shared" si="17"/>
        <v>2.9171374999999999</v>
      </c>
      <c r="W183" s="32">
        <v>0.81176000000000004</v>
      </c>
      <c r="X183" s="32">
        <v>1.1455</v>
      </c>
      <c r="Y183" s="32">
        <v>7.5837300000000001</v>
      </c>
      <c r="Z183" s="33">
        <v>2.1275599999999999</v>
      </c>
      <c r="AA183" s="31">
        <f t="shared" si="18"/>
        <v>8.9686869999999992</v>
      </c>
      <c r="AB183" s="32">
        <v>9.9884979999999999</v>
      </c>
      <c r="AC183" s="33">
        <v>7.9488760000000003</v>
      </c>
      <c r="AD183" s="31">
        <f t="shared" si="19"/>
        <v>5.1033357500000003</v>
      </c>
      <c r="AE183" s="32">
        <v>0.61771299999999996</v>
      </c>
      <c r="AF183" s="32">
        <v>4.9406020000000002</v>
      </c>
      <c r="AG183" s="32">
        <v>7.50542</v>
      </c>
      <c r="AH183" s="33">
        <v>7.3496079999999999</v>
      </c>
      <c r="AI183" s="31">
        <f t="shared" si="20"/>
        <v>0.61249500000000268</v>
      </c>
      <c r="AJ183" s="32">
        <v>0.20000000000001911</v>
      </c>
      <c r="AK183" s="32">
        <v>1.443799999999994</v>
      </c>
      <c r="AL183" s="32">
        <v>0.60617999999999927</v>
      </c>
      <c r="AM183" s="34">
        <v>0.1999999999999984</v>
      </c>
    </row>
    <row r="184" spans="1:39" x14ac:dyDescent="0.3">
      <c r="A184" s="24" t="s">
        <v>202</v>
      </c>
      <c r="B184" s="25" t="s">
        <v>21</v>
      </c>
      <c r="C184" s="25" t="s">
        <v>22</v>
      </c>
      <c r="D184" s="25" t="s">
        <v>275</v>
      </c>
      <c r="E184" s="26" t="s">
        <v>281</v>
      </c>
      <c r="F184" s="27">
        <v>2</v>
      </c>
      <c r="G184" s="28">
        <f t="shared" si="14"/>
        <v>0</v>
      </c>
      <c r="H184" s="29">
        <v>0</v>
      </c>
      <c r="I184" s="29">
        <v>0</v>
      </c>
      <c r="J184" s="29">
        <v>0</v>
      </c>
      <c r="K184" s="30">
        <v>0</v>
      </c>
      <c r="L184" s="31">
        <f t="shared" si="15"/>
        <v>0</v>
      </c>
      <c r="M184" s="32">
        <v>0</v>
      </c>
      <c r="N184" s="32">
        <v>0</v>
      </c>
      <c r="O184" s="32">
        <v>0</v>
      </c>
      <c r="P184" s="33">
        <v>0</v>
      </c>
      <c r="Q184" s="31">
        <f t="shared" si="16"/>
        <v>0</v>
      </c>
      <c r="R184" s="32">
        <v>0</v>
      </c>
      <c r="S184" s="32">
        <v>0</v>
      </c>
      <c r="T184" s="32">
        <v>0</v>
      </c>
      <c r="U184" s="33">
        <v>0</v>
      </c>
      <c r="V184" s="31">
        <f t="shared" si="17"/>
        <v>0</v>
      </c>
      <c r="W184" s="32">
        <v>0</v>
      </c>
      <c r="X184" s="32">
        <v>0</v>
      </c>
      <c r="Y184" s="32">
        <v>0</v>
      </c>
      <c r="Z184" s="33">
        <v>0</v>
      </c>
      <c r="AA184" s="31">
        <f t="shared" si="18"/>
        <v>0</v>
      </c>
      <c r="AB184" s="32">
        <v>0</v>
      </c>
      <c r="AC184" s="33">
        <v>0</v>
      </c>
      <c r="AD184" s="31">
        <f t="shared" si="19"/>
        <v>0</v>
      </c>
      <c r="AE184" s="32">
        <v>0</v>
      </c>
      <c r="AF184" s="32">
        <v>0</v>
      </c>
      <c r="AG184" s="32">
        <v>0</v>
      </c>
      <c r="AH184" s="33">
        <v>0</v>
      </c>
      <c r="AI184" s="31">
        <f t="shared" si="20"/>
        <v>0</v>
      </c>
      <c r="AJ184" s="32">
        <v>0</v>
      </c>
      <c r="AK184" s="32">
        <v>0</v>
      </c>
      <c r="AL184" s="32">
        <v>0</v>
      </c>
      <c r="AM184" s="34">
        <v>0</v>
      </c>
    </row>
    <row r="185" spans="1:39" x14ac:dyDescent="0.3">
      <c r="A185" s="24" t="s">
        <v>202</v>
      </c>
      <c r="B185" s="25" t="s">
        <v>21</v>
      </c>
      <c r="C185" s="25" t="s">
        <v>22</v>
      </c>
      <c r="D185" s="25" t="s">
        <v>275</v>
      </c>
      <c r="E185" s="26" t="s">
        <v>282</v>
      </c>
      <c r="F185" s="27">
        <v>7</v>
      </c>
      <c r="G185" s="28">
        <f t="shared" si="14"/>
        <v>2.75</v>
      </c>
      <c r="H185" s="29">
        <v>5</v>
      </c>
      <c r="I185" s="29">
        <v>2</v>
      </c>
      <c r="J185" s="29">
        <v>1</v>
      </c>
      <c r="K185" s="30">
        <v>3</v>
      </c>
      <c r="L185" s="31">
        <f t="shared" si="15"/>
        <v>0.56621600000000005</v>
      </c>
      <c r="M185" s="32">
        <v>1.014113</v>
      </c>
      <c r="N185" s="32">
        <v>0.27562399999999998</v>
      </c>
      <c r="O185" s="32">
        <v>0.116506</v>
      </c>
      <c r="P185" s="33">
        <v>0.445604</v>
      </c>
      <c r="Q185" s="31">
        <f t="shared" si="16"/>
        <v>0.1932325</v>
      </c>
      <c r="R185" s="32">
        <v>0.77293000000000001</v>
      </c>
      <c r="S185" s="32">
        <v>0</v>
      </c>
      <c r="T185" s="32">
        <v>0</v>
      </c>
      <c r="U185" s="33">
        <v>0</v>
      </c>
      <c r="V185" s="31">
        <f t="shared" si="17"/>
        <v>0</v>
      </c>
      <c r="W185" s="32">
        <v>0</v>
      </c>
      <c r="X185" s="32">
        <v>0</v>
      </c>
      <c r="Y185" s="32">
        <v>0</v>
      </c>
      <c r="Z185" s="33">
        <v>0</v>
      </c>
      <c r="AA185" s="31">
        <f t="shared" si="18"/>
        <v>0.20650849999999998</v>
      </c>
      <c r="AB185" s="32">
        <v>0.18899299999999999</v>
      </c>
      <c r="AC185" s="33">
        <v>0.224024</v>
      </c>
      <c r="AD185" s="31">
        <f t="shared" si="19"/>
        <v>0.16647499999999998</v>
      </c>
      <c r="AE185" s="32">
        <v>5.219E-2</v>
      </c>
      <c r="AF185" s="32">
        <v>5.16E-2</v>
      </c>
      <c r="AG185" s="32">
        <v>0.116506</v>
      </c>
      <c r="AH185" s="33">
        <v>0.445604</v>
      </c>
      <c r="AI185" s="31">
        <f t="shared" si="20"/>
        <v>0</v>
      </c>
      <c r="AJ185" s="32">
        <v>0</v>
      </c>
      <c r="AK185" s="32">
        <v>0</v>
      </c>
      <c r="AL185" s="32">
        <v>0</v>
      </c>
      <c r="AM185" s="34">
        <v>0</v>
      </c>
    </row>
    <row r="186" spans="1:39" x14ac:dyDescent="0.3">
      <c r="A186" s="24" t="s">
        <v>202</v>
      </c>
      <c r="B186" s="25" t="s">
        <v>21</v>
      </c>
      <c r="C186" s="25" t="s">
        <v>22</v>
      </c>
      <c r="D186" s="25" t="s">
        <v>275</v>
      </c>
      <c r="E186" s="26" t="s">
        <v>276</v>
      </c>
      <c r="F186" s="27">
        <v>35</v>
      </c>
      <c r="G186" s="28">
        <f t="shared" si="14"/>
        <v>28.75</v>
      </c>
      <c r="H186" s="29">
        <v>30</v>
      </c>
      <c r="I186" s="29">
        <v>26</v>
      </c>
      <c r="J186" s="29">
        <v>31</v>
      </c>
      <c r="K186" s="30">
        <v>28</v>
      </c>
      <c r="L186" s="31">
        <f t="shared" si="15"/>
        <v>14.016481000000001</v>
      </c>
      <c r="M186" s="32">
        <v>10.615869999999999</v>
      </c>
      <c r="N186" s="32">
        <v>16.359168</v>
      </c>
      <c r="O186" s="32">
        <v>17.834978</v>
      </c>
      <c r="P186" s="33">
        <v>8.8548779999999994</v>
      </c>
      <c r="Q186" s="31">
        <f t="shared" si="16"/>
        <v>2.8757540000000006</v>
      </c>
      <c r="R186" s="32">
        <v>2.9909940000000002</v>
      </c>
      <c r="S186" s="32">
        <v>4.9897220000000004</v>
      </c>
      <c r="T186" s="32">
        <v>2.8654999999999999</v>
      </c>
      <c r="U186" s="33">
        <v>0.65680000000000005</v>
      </c>
      <c r="V186" s="31">
        <f t="shared" si="17"/>
        <v>7.0351175000000001</v>
      </c>
      <c r="W186" s="32">
        <v>3.8581799999999999</v>
      </c>
      <c r="X186" s="32">
        <v>8.6140000000000008</v>
      </c>
      <c r="Y186" s="32">
        <v>10.94365</v>
      </c>
      <c r="Z186" s="33">
        <v>4.72464</v>
      </c>
      <c r="AA186" s="31">
        <f t="shared" si="18"/>
        <v>1.200515</v>
      </c>
      <c r="AB186" s="32">
        <v>1.5047900000000001</v>
      </c>
      <c r="AC186" s="33">
        <v>0.89623999999999993</v>
      </c>
      <c r="AD186" s="31">
        <f t="shared" si="19"/>
        <v>2.9050945000000001</v>
      </c>
      <c r="AE186" s="32">
        <v>2.2619060000000002</v>
      </c>
      <c r="AF186" s="32">
        <v>1.8592059999999999</v>
      </c>
      <c r="AG186" s="32">
        <v>4.0258279999999997</v>
      </c>
      <c r="AH186" s="33">
        <v>3.4734379999999998</v>
      </c>
      <c r="AI186" s="31">
        <f t="shared" si="20"/>
        <v>0</v>
      </c>
      <c r="AJ186" s="32">
        <v>0</v>
      </c>
      <c r="AK186" s="32">
        <v>0</v>
      </c>
      <c r="AL186" s="32">
        <v>0</v>
      </c>
      <c r="AM186" s="34">
        <v>0</v>
      </c>
    </row>
    <row r="187" spans="1:39" x14ac:dyDescent="0.3">
      <c r="A187" s="24" t="s">
        <v>202</v>
      </c>
      <c r="B187" s="25" t="s">
        <v>21</v>
      </c>
      <c r="C187" s="25" t="s">
        <v>22</v>
      </c>
      <c r="D187" s="25" t="s">
        <v>275</v>
      </c>
      <c r="E187" s="26" t="s">
        <v>283</v>
      </c>
      <c r="F187" s="27">
        <v>26</v>
      </c>
      <c r="G187" s="28">
        <f t="shared" si="14"/>
        <v>33.25</v>
      </c>
      <c r="H187" s="29">
        <v>25</v>
      </c>
      <c r="I187" s="29">
        <v>41</v>
      </c>
      <c r="J187" s="29">
        <v>33</v>
      </c>
      <c r="K187" s="30">
        <v>34</v>
      </c>
      <c r="L187" s="31">
        <f t="shared" si="15"/>
        <v>13.490481500000001</v>
      </c>
      <c r="M187" s="32">
        <v>7.1998239999999996</v>
      </c>
      <c r="N187" s="32">
        <v>16.521367999999999</v>
      </c>
      <c r="O187" s="32">
        <v>16.625553</v>
      </c>
      <c r="P187" s="33">
        <v>12.249238999999999</v>
      </c>
      <c r="Q187" s="31">
        <f t="shared" si="16"/>
        <v>2.9228350000000001</v>
      </c>
      <c r="R187" s="32">
        <v>1.7228460000000001</v>
      </c>
      <c r="S187" s="32">
        <v>2.3737349999999999</v>
      </c>
      <c r="T187" s="32">
        <v>4.1276409999999997</v>
      </c>
      <c r="U187" s="33">
        <v>3.4671180000000001</v>
      </c>
      <c r="V187" s="31">
        <f t="shared" si="17"/>
        <v>7.4204275000000006</v>
      </c>
      <c r="W187" s="32">
        <v>4.2291230000000004</v>
      </c>
      <c r="X187" s="32">
        <v>10.256432</v>
      </c>
      <c r="Y187" s="32">
        <v>9.1353150000000003</v>
      </c>
      <c r="Z187" s="33">
        <v>6.0608399999999998</v>
      </c>
      <c r="AA187" s="31">
        <f t="shared" si="18"/>
        <v>0.68297099999999988</v>
      </c>
      <c r="AB187" s="32">
        <v>0.49382399999999987</v>
      </c>
      <c r="AC187" s="33">
        <v>0.87211799999999995</v>
      </c>
      <c r="AD187" s="31">
        <f t="shared" si="19"/>
        <v>2.4142479999999997</v>
      </c>
      <c r="AE187" s="32">
        <v>0.75403100000000001</v>
      </c>
      <c r="AF187" s="32">
        <v>3.0190830000000002</v>
      </c>
      <c r="AG187" s="32">
        <v>3.162596999999999</v>
      </c>
      <c r="AH187" s="33">
        <v>2.7212809999999998</v>
      </c>
      <c r="AI187" s="31">
        <f t="shared" si="20"/>
        <v>4.9999999999999926E-2</v>
      </c>
      <c r="AJ187" s="32">
        <v>0</v>
      </c>
      <c r="AK187" s="32">
        <v>0</v>
      </c>
      <c r="AL187" s="32">
        <v>0.19999999999999971</v>
      </c>
      <c r="AM187" s="34">
        <v>0</v>
      </c>
    </row>
    <row r="188" spans="1:39" x14ac:dyDescent="0.3">
      <c r="A188" s="24" t="s">
        <v>202</v>
      </c>
      <c r="B188" s="25" t="s">
        <v>21</v>
      </c>
      <c r="C188" s="25" t="s">
        <v>22</v>
      </c>
      <c r="D188" s="25" t="s">
        <v>275</v>
      </c>
      <c r="E188" s="26" t="s">
        <v>284</v>
      </c>
      <c r="F188" s="27">
        <v>4</v>
      </c>
      <c r="G188" s="28">
        <f t="shared" si="14"/>
        <v>1.75</v>
      </c>
      <c r="H188" s="29">
        <v>0</v>
      </c>
      <c r="I188" s="29">
        <v>1</v>
      </c>
      <c r="J188" s="29">
        <v>3</v>
      </c>
      <c r="K188" s="30">
        <v>3</v>
      </c>
      <c r="L188" s="31">
        <f t="shared" si="15"/>
        <v>1.1158617499999999</v>
      </c>
      <c r="M188" s="32">
        <v>0</v>
      </c>
      <c r="N188" s="32">
        <v>0.101697</v>
      </c>
      <c r="O188" s="32">
        <v>3.0285299999999999</v>
      </c>
      <c r="P188" s="33">
        <v>1.3332200000000001</v>
      </c>
      <c r="Q188" s="31">
        <f t="shared" si="16"/>
        <v>0</v>
      </c>
      <c r="R188" s="32">
        <v>0</v>
      </c>
      <c r="S188" s="32">
        <v>0</v>
      </c>
      <c r="T188" s="32">
        <v>0</v>
      </c>
      <c r="U188" s="33">
        <v>0</v>
      </c>
      <c r="V188" s="31">
        <f t="shared" si="17"/>
        <v>1.0904374999999999</v>
      </c>
      <c r="W188" s="32">
        <v>0</v>
      </c>
      <c r="X188" s="32">
        <v>0</v>
      </c>
      <c r="Y188" s="32">
        <v>3.0285299999999999</v>
      </c>
      <c r="Z188" s="33">
        <v>1.3332200000000001</v>
      </c>
      <c r="AA188" s="31">
        <f t="shared" si="18"/>
        <v>0</v>
      </c>
      <c r="AB188" s="32">
        <v>0</v>
      </c>
      <c r="AC188" s="33">
        <v>0</v>
      </c>
      <c r="AD188" s="31">
        <f t="shared" si="19"/>
        <v>2.5424249999999999E-2</v>
      </c>
      <c r="AE188" s="32">
        <v>0</v>
      </c>
      <c r="AF188" s="32">
        <v>0.101697</v>
      </c>
      <c r="AG188" s="32">
        <v>0</v>
      </c>
      <c r="AH188" s="33">
        <v>0</v>
      </c>
      <c r="AI188" s="31">
        <f t="shared" si="20"/>
        <v>0</v>
      </c>
      <c r="AJ188" s="32">
        <v>0</v>
      </c>
      <c r="AK188" s="32">
        <v>0</v>
      </c>
      <c r="AL188" s="32">
        <v>0</v>
      </c>
      <c r="AM188" s="34">
        <v>0</v>
      </c>
    </row>
    <row r="189" spans="1:39" x14ac:dyDescent="0.3">
      <c r="A189" s="24" t="s">
        <v>202</v>
      </c>
      <c r="B189" s="25" t="s">
        <v>21</v>
      </c>
      <c r="C189" s="25" t="s">
        <v>22</v>
      </c>
      <c r="D189" s="25" t="s">
        <v>275</v>
      </c>
      <c r="E189" s="26" t="s">
        <v>285</v>
      </c>
      <c r="F189" s="27">
        <v>3</v>
      </c>
      <c r="G189" s="28">
        <f t="shared" si="14"/>
        <v>1</v>
      </c>
      <c r="H189" s="29">
        <v>1</v>
      </c>
      <c r="I189" s="29">
        <v>1</v>
      </c>
      <c r="J189" s="29">
        <v>1</v>
      </c>
      <c r="K189" s="30">
        <v>1</v>
      </c>
      <c r="L189" s="31">
        <f t="shared" si="15"/>
        <v>0.31535800000000003</v>
      </c>
      <c r="M189" s="32">
        <v>0.15576200000000001</v>
      </c>
      <c r="N189" s="32">
        <v>0.32575799999999999</v>
      </c>
      <c r="O189" s="32">
        <v>5.7270000000000001E-2</v>
      </c>
      <c r="P189" s="33">
        <v>0.72264200000000001</v>
      </c>
      <c r="Q189" s="31">
        <f t="shared" si="16"/>
        <v>0.12531200000000001</v>
      </c>
      <c r="R189" s="32">
        <v>0</v>
      </c>
      <c r="S189" s="32">
        <v>0</v>
      </c>
      <c r="T189" s="32">
        <v>0</v>
      </c>
      <c r="U189" s="33">
        <v>0.50124800000000003</v>
      </c>
      <c r="V189" s="31">
        <f t="shared" si="17"/>
        <v>5.1095000000000002E-2</v>
      </c>
      <c r="W189" s="32">
        <v>0</v>
      </c>
      <c r="X189" s="32">
        <v>0.20438000000000001</v>
      </c>
      <c r="Y189" s="32">
        <v>0</v>
      </c>
      <c r="Z189" s="33">
        <v>0</v>
      </c>
      <c r="AA189" s="31">
        <f t="shared" si="18"/>
        <v>0</v>
      </c>
      <c r="AB189" s="32">
        <v>0</v>
      </c>
      <c r="AC189" s="33">
        <v>0</v>
      </c>
      <c r="AD189" s="31">
        <f t="shared" si="19"/>
        <v>0.13895099999999999</v>
      </c>
      <c r="AE189" s="32">
        <v>0.15576200000000001</v>
      </c>
      <c r="AF189" s="32">
        <v>0.121378</v>
      </c>
      <c r="AG189" s="32">
        <v>5.7270000000000001E-2</v>
      </c>
      <c r="AH189" s="33">
        <v>0.22139400000000001</v>
      </c>
      <c r="AI189" s="31">
        <f t="shared" si="20"/>
        <v>0</v>
      </c>
      <c r="AJ189" s="32">
        <v>0</v>
      </c>
      <c r="AK189" s="32">
        <v>0</v>
      </c>
      <c r="AL189" s="32">
        <v>0</v>
      </c>
      <c r="AM189" s="34">
        <v>0</v>
      </c>
    </row>
    <row r="190" spans="1:39" x14ac:dyDescent="0.3">
      <c r="A190" s="24" t="s">
        <v>202</v>
      </c>
      <c r="B190" s="25" t="s">
        <v>21</v>
      </c>
      <c r="C190" s="25" t="s">
        <v>22</v>
      </c>
      <c r="D190" s="25" t="s">
        <v>275</v>
      </c>
      <c r="E190" s="26" t="s">
        <v>286</v>
      </c>
      <c r="F190" s="27">
        <v>4</v>
      </c>
      <c r="G190" s="28">
        <f t="shared" si="14"/>
        <v>3.5</v>
      </c>
      <c r="H190" s="29">
        <v>1</v>
      </c>
      <c r="I190" s="29">
        <v>4</v>
      </c>
      <c r="J190" s="29">
        <v>5</v>
      </c>
      <c r="K190" s="30">
        <v>4</v>
      </c>
      <c r="L190" s="31">
        <f t="shared" si="15"/>
        <v>0.92066950000000003</v>
      </c>
      <c r="M190" s="32">
        <v>9.2939999999999995E-2</v>
      </c>
      <c r="N190" s="32">
        <v>0.39186500000000002</v>
      </c>
      <c r="O190" s="32">
        <v>2.4415779999999998</v>
      </c>
      <c r="P190" s="33">
        <v>0.75629499999999994</v>
      </c>
      <c r="Q190" s="31">
        <f t="shared" si="16"/>
        <v>0.53979250000000001</v>
      </c>
      <c r="R190" s="32">
        <v>0</v>
      </c>
      <c r="S190" s="32">
        <v>0</v>
      </c>
      <c r="T190" s="32">
        <v>1.8077700000000001</v>
      </c>
      <c r="U190" s="33">
        <v>0.35139999999999999</v>
      </c>
      <c r="V190" s="31">
        <f t="shared" si="17"/>
        <v>0</v>
      </c>
      <c r="W190" s="32">
        <v>0</v>
      </c>
      <c r="X190" s="32">
        <v>0</v>
      </c>
      <c r="Y190" s="32">
        <v>0</v>
      </c>
      <c r="Z190" s="33">
        <v>0</v>
      </c>
      <c r="AA190" s="31">
        <f t="shared" si="18"/>
        <v>0</v>
      </c>
      <c r="AB190" s="32">
        <v>0</v>
      </c>
      <c r="AC190" s="33">
        <v>0</v>
      </c>
      <c r="AD190" s="31">
        <f t="shared" si="19"/>
        <v>0.38087700000000002</v>
      </c>
      <c r="AE190" s="32">
        <v>9.2939999999999995E-2</v>
      </c>
      <c r="AF190" s="32">
        <v>0.39186500000000002</v>
      </c>
      <c r="AG190" s="32">
        <v>0.63380800000000004</v>
      </c>
      <c r="AH190" s="33">
        <v>0.404895</v>
      </c>
      <c r="AI190" s="31">
        <f t="shared" si="20"/>
        <v>0</v>
      </c>
      <c r="AJ190" s="32">
        <v>0</v>
      </c>
      <c r="AK190" s="32">
        <v>0</v>
      </c>
      <c r="AL190" s="32">
        <v>0</v>
      </c>
      <c r="AM190" s="34">
        <v>0</v>
      </c>
    </row>
    <row r="191" spans="1:39" x14ac:dyDescent="0.3">
      <c r="A191" s="24" t="s">
        <v>202</v>
      </c>
      <c r="B191" s="25" t="s">
        <v>21</v>
      </c>
      <c r="C191" s="25" t="s">
        <v>22</v>
      </c>
      <c r="D191" s="25" t="s">
        <v>275</v>
      </c>
      <c r="E191" s="26" t="s">
        <v>287</v>
      </c>
      <c r="F191" s="27">
        <v>5</v>
      </c>
      <c r="G191" s="28">
        <f t="shared" si="14"/>
        <v>3</v>
      </c>
      <c r="H191" s="29">
        <v>3</v>
      </c>
      <c r="I191" s="29">
        <v>3</v>
      </c>
      <c r="J191" s="29">
        <v>2</v>
      </c>
      <c r="K191" s="30">
        <v>4</v>
      </c>
      <c r="L191" s="31">
        <f t="shared" si="15"/>
        <v>0.98773624999999998</v>
      </c>
      <c r="M191" s="32">
        <v>0.14780599999999999</v>
      </c>
      <c r="N191" s="32">
        <v>0.45082299999999997</v>
      </c>
      <c r="O191" s="32">
        <v>1.7316819999999999</v>
      </c>
      <c r="P191" s="33">
        <v>1.6206339999999999</v>
      </c>
      <c r="Q191" s="31">
        <f t="shared" si="16"/>
        <v>0.71576125000000002</v>
      </c>
      <c r="R191" s="32">
        <v>0</v>
      </c>
      <c r="S191" s="32">
        <v>0</v>
      </c>
      <c r="T191" s="32">
        <v>1.5023010000000001</v>
      </c>
      <c r="U191" s="33">
        <v>1.360744</v>
      </c>
      <c r="V191" s="31">
        <f t="shared" si="17"/>
        <v>0</v>
      </c>
      <c r="W191" s="32">
        <v>0</v>
      </c>
      <c r="X191" s="32">
        <v>0</v>
      </c>
      <c r="Y191" s="32">
        <v>0</v>
      </c>
      <c r="Z191" s="33">
        <v>0</v>
      </c>
      <c r="AA191" s="31">
        <f t="shared" si="18"/>
        <v>0</v>
      </c>
      <c r="AB191" s="32">
        <v>0</v>
      </c>
      <c r="AC191" s="33">
        <v>0</v>
      </c>
      <c r="AD191" s="31">
        <f t="shared" si="19"/>
        <v>0.27197499999999997</v>
      </c>
      <c r="AE191" s="32">
        <v>0.14780599999999999</v>
      </c>
      <c r="AF191" s="32">
        <v>0.45082299999999997</v>
      </c>
      <c r="AG191" s="32">
        <v>0.229381</v>
      </c>
      <c r="AH191" s="33">
        <v>0.25989000000000001</v>
      </c>
      <c r="AI191" s="31">
        <f t="shared" si="20"/>
        <v>0</v>
      </c>
      <c r="AJ191" s="32">
        <v>0</v>
      </c>
      <c r="AK191" s="32">
        <v>0</v>
      </c>
      <c r="AL191" s="32">
        <v>0</v>
      </c>
      <c r="AM191" s="34">
        <v>0</v>
      </c>
    </row>
    <row r="192" spans="1:39" x14ac:dyDescent="0.3">
      <c r="A192" s="24" t="s">
        <v>202</v>
      </c>
      <c r="B192" s="25" t="s">
        <v>21</v>
      </c>
      <c r="C192" s="25" t="s">
        <v>22</v>
      </c>
      <c r="D192" s="25" t="s">
        <v>275</v>
      </c>
      <c r="E192" s="26" t="s">
        <v>288</v>
      </c>
      <c r="F192" s="27">
        <v>3</v>
      </c>
      <c r="G192" s="28">
        <f t="shared" si="14"/>
        <v>2</v>
      </c>
      <c r="H192" s="29">
        <v>0</v>
      </c>
      <c r="I192" s="29">
        <v>0</v>
      </c>
      <c r="J192" s="29">
        <v>5</v>
      </c>
      <c r="K192" s="30">
        <v>3</v>
      </c>
      <c r="L192" s="31">
        <f t="shared" si="15"/>
        <v>1.0407600000000004</v>
      </c>
      <c r="M192" s="32">
        <v>0</v>
      </c>
      <c r="N192" s="32">
        <v>0</v>
      </c>
      <c r="O192" s="32">
        <v>3.5002499999999999</v>
      </c>
      <c r="P192" s="33">
        <v>0.66278999999999999</v>
      </c>
      <c r="Q192" s="31">
        <f t="shared" si="16"/>
        <v>0.91370550000000006</v>
      </c>
      <c r="R192" s="32">
        <v>0</v>
      </c>
      <c r="S192" s="32">
        <v>0</v>
      </c>
      <c r="T192" s="32">
        <v>3.15408</v>
      </c>
      <c r="U192" s="33">
        <v>0.50074200000000002</v>
      </c>
      <c r="V192" s="31">
        <f t="shared" si="17"/>
        <v>0</v>
      </c>
      <c r="W192" s="32">
        <v>0</v>
      </c>
      <c r="X192" s="32">
        <v>0</v>
      </c>
      <c r="Y192" s="32">
        <v>0</v>
      </c>
      <c r="Z192" s="33">
        <v>0</v>
      </c>
      <c r="AA192" s="31">
        <f t="shared" si="18"/>
        <v>0</v>
      </c>
      <c r="AB192" s="32">
        <v>0</v>
      </c>
      <c r="AC192" s="33">
        <v>0</v>
      </c>
      <c r="AD192" s="31">
        <f t="shared" si="19"/>
        <v>0.12705449999999999</v>
      </c>
      <c r="AE192" s="32">
        <v>0</v>
      </c>
      <c r="AF192" s="32">
        <v>0</v>
      </c>
      <c r="AG192" s="32">
        <v>0.34616999999999998</v>
      </c>
      <c r="AH192" s="33">
        <v>0.162048</v>
      </c>
      <c r="AI192" s="31">
        <f t="shared" si="20"/>
        <v>1.9428902930940239E-16</v>
      </c>
      <c r="AJ192" s="32">
        <v>0</v>
      </c>
      <c r="AK192" s="32">
        <v>0</v>
      </c>
      <c r="AL192" s="32">
        <v>7.7715611723760958E-16</v>
      </c>
      <c r="AM192" s="34">
        <v>0</v>
      </c>
    </row>
    <row r="193" spans="1:39" x14ac:dyDescent="0.3">
      <c r="A193" s="24" t="s">
        <v>202</v>
      </c>
      <c r="B193" s="25" t="s">
        <v>21</v>
      </c>
      <c r="C193" s="25" t="s">
        <v>22</v>
      </c>
      <c r="D193" s="25" t="s">
        <v>275</v>
      </c>
      <c r="E193" s="26" t="s">
        <v>289</v>
      </c>
      <c r="F193" s="27">
        <v>1</v>
      </c>
      <c r="G193" s="28">
        <f t="shared" si="14"/>
        <v>0</v>
      </c>
      <c r="H193" s="29">
        <v>0</v>
      </c>
      <c r="I193" s="29">
        <v>0</v>
      </c>
      <c r="J193" s="29">
        <v>0</v>
      </c>
      <c r="K193" s="30">
        <v>0</v>
      </c>
      <c r="L193" s="31">
        <f t="shared" si="15"/>
        <v>0</v>
      </c>
      <c r="M193" s="32">
        <v>0</v>
      </c>
      <c r="N193" s="32">
        <v>0</v>
      </c>
      <c r="O193" s="32">
        <v>0</v>
      </c>
      <c r="P193" s="33">
        <v>0</v>
      </c>
      <c r="Q193" s="31">
        <f t="shared" si="16"/>
        <v>0</v>
      </c>
      <c r="R193" s="32">
        <v>0</v>
      </c>
      <c r="S193" s="32">
        <v>0</v>
      </c>
      <c r="T193" s="32">
        <v>0</v>
      </c>
      <c r="U193" s="33">
        <v>0</v>
      </c>
      <c r="V193" s="31">
        <f t="shared" si="17"/>
        <v>0</v>
      </c>
      <c r="W193" s="32">
        <v>0</v>
      </c>
      <c r="X193" s="32">
        <v>0</v>
      </c>
      <c r="Y193" s="32">
        <v>0</v>
      </c>
      <c r="Z193" s="33">
        <v>0</v>
      </c>
      <c r="AA193" s="31">
        <f t="shared" si="18"/>
        <v>0</v>
      </c>
      <c r="AB193" s="32">
        <v>0</v>
      </c>
      <c r="AC193" s="33">
        <v>0</v>
      </c>
      <c r="AD193" s="31">
        <f t="shared" si="19"/>
        <v>0</v>
      </c>
      <c r="AE193" s="32">
        <v>0</v>
      </c>
      <c r="AF193" s="32">
        <v>0</v>
      </c>
      <c r="AG193" s="32">
        <v>0</v>
      </c>
      <c r="AH193" s="33">
        <v>0</v>
      </c>
      <c r="AI193" s="31">
        <f t="shared" si="20"/>
        <v>0</v>
      </c>
      <c r="AJ193" s="32">
        <v>0</v>
      </c>
      <c r="AK193" s="32">
        <v>0</v>
      </c>
      <c r="AL193" s="32">
        <v>0</v>
      </c>
      <c r="AM193" s="34">
        <v>0</v>
      </c>
    </row>
    <row r="194" spans="1:39" x14ac:dyDescent="0.3">
      <c r="A194" s="24" t="s">
        <v>202</v>
      </c>
      <c r="B194" s="25" t="s">
        <v>21</v>
      </c>
      <c r="C194" s="25" t="s">
        <v>22</v>
      </c>
      <c r="D194" s="25" t="s">
        <v>275</v>
      </c>
      <c r="E194" s="26" t="s">
        <v>290</v>
      </c>
      <c r="F194" s="27">
        <v>4</v>
      </c>
      <c r="G194" s="28">
        <f t="shared" si="14"/>
        <v>0</v>
      </c>
      <c r="H194" s="29">
        <v>0</v>
      </c>
      <c r="I194" s="29">
        <v>0</v>
      </c>
      <c r="J194" s="29">
        <v>0</v>
      </c>
      <c r="K194" s="30">
        <v>0</v>
      </c>
      <c r="L194" s="31">
        <f t="shared" si="15"/>
        <v>0</v>
      </c>
      <c r="M194" s="32">
        <v>0</v>
      </c>
      <c r="N194" s="32">
        <v>0</v>
      </c>
      <c r="O194" s="32">
        <v>0</v>
      </c>
      <c r="P194" s="33">
        <v>0</v>
      </c>
      <c r="Q194" s="31">
        <f t="shared" si="16"/>
        <v>0</v>
      </c>
      <c r="R194" s="32">
        <v>0</v>
      </c>
      <c r="S194" s="32">
        <v>0</v>
      </c>
      <c r="T194" s="32">
        <v>0</v>
      </c>
      <c r="U194" s="33">
        <v>0</v>
      </c>
      <c r="V194" s="31">
        <f t="shared" si="17"/>
        <v>0</v>
      </c>
      <c r="W194" s="32">
        <v>0</v>
      </c>
      <c r="X194" s="32">
        <v>0</v>
      </c>
      <c r="Y194" s="32">
        <v>0</v>
      </c>
      <c r="Z194" s="33">
        <v>0</v>
      </c>
      <c r="AA194" s="31">
        <f t="shared" si="18"/>
        <v>0</v>
      </c>
      <c r="AB194" s="32">
        <v>0</v>
      </c>
      <c r="AC194" s="33">
        <v>0</v>
      </c>
      <c r="AD194" s="31">
        <f t="shared" si="19"/>
        <v>0</v>
      </c>
      <c r="AE194" s="32">
        <v>0</v>
      </c>
      <c r="AF194" s="32">
        <v>0</v>
      </c>
      <c r="AG194" s="32">
        <v>0</v>
      </c>
      <c r="AH194" s="33">
        <v>0</v>
      </c>
      <c r="AI194" s="31">
        <f t="shared" si="20"/>
        <v>0</v>
      </c>
      <c r="AJ194" s="32">
        <v>0</v>
      </c>
      <c r="AK194" s="32">
        <v>0</v>
      </c>
      <c r="AL194" s="32">
        <v>0</v>
      </c>
      <c r="AM194" s="34">
        <v>0</v>
      </c>
    </row>
    <row r="195" spans="1:39" x14ac:dyDescent="0.3">
      <c r="A195" s="24" t="s">
        <v>202</v>
      </c>
      <c r="B195" s="25" t="s">
        <v>21</v>
      </c>
      <c r="C195" s="25" t="s">
        <v>22</v>
      </c>
      <c r="D195" s="25" t="s">
        <v>291</v>
      </c>
      <c r="E195" s="26" t="s">
        <v>292</v>
      </c>
      <c r="F195" s="27">
        <v>14</v>
      </c>
      <c r="G195" s="28">
        <f t="shared" si="14"/>
        <v>2</v>
      </c>
      <c r="H195" s="29">
        <v>1</v>
      </c>
      <c r="I195" s="29">
        <v>1</v>
      </c>
      <c r="J195" s="29">
        <v>2</v>
      </c>
      <c r="K195" s="30">
        <v>4</v>
      </c>
      <c r="L195" s="31">
        <f t="shared" si="15"/>
        <v>0.33629450000000005</v>
      </c>
      <c r="M195" s="32">
        <v>0.30642000000000003</v>
      </c>
      <c r="N195" s="32">
        <v>0.117372</v>
      </c>
      <c r="O195" s="32">
        <v>0.29860599999999998</v>
      </c>
      <c r="P195" s="33">
        <v>0.50540799999999997</v>
      </c>
      <c r="Q195" s="31">
        <f t="shared" si="16"/>
        <v>0</v>
      </c>
      <c r="R195" s="32">
        <v>0</v>
      </c>
      <c r="S195" s="32">
        <v>0</v>
      </c>
      <c r="T195" s="32">
        <v>0</v>
      </c>
      <c r="U195" s="33">
        <v>0</v>
      </c>
      <c r="V195" s="31">
        <f t="shared" si="17"/>
        <v>0</v>
      </c>
      <c r="W195" s="32">
        <v>0</v>
      </c>
      <c r="X195" s="32">
        <v>0</v>
      </c>
      <c r="Y195" s="32">
        <v>0</v>
      </c>
      <c r="Z195" s="33">
        <v>0</v>
      </c>
      <c r="AA195" s="31">
        <f t="shared" si="18"/>
        <v>5.8686000000000002E-2</v>
      </c>
      <c r="AB195" s="32">
        <v>0</v>
      </c>
      <c r="AC195" s="33">
        <v>0.117372</v>
      </c>
      <c r="AD195" s="31">
        <f t="shared" si="19"/>
        <v>0.27760850000000004</v>
      </c>
      <c r="AE195" s="32">
        <v>0.30642000000000003</v>
      </c>
      <c r="AF195" s="32">
        <v>0</v>
      </c>
      <c r="AG195" s="32">
        <v>0.29860599999999998</v>
      </c>
      <c r="AH195" s="33">
        <v>0.50540799999999997</v>
      </c>
      <c r="AI195" s="31">
        <f t="shared" si="20"/>
        <v>0</v>
      </c>
      <c r="AJ195" s="32">
        <v>0</v>
      </c>
      <c r="AK195" s="32">
        <v>0</v>
      </c>
      <c r="AL195" s="32">
        <v>0</v>
      </c>
      <c r="AM195" s="34">
        <v>0</v>
      </c>
    </row>
    <row r="196" spans="1:39" x14ac:dyDescent="0.3">
      <c r="A196" s="24" t="s">
        <v>202</v>
      </c>
      <c r="B196" s="25" t="s">
        <v>21</v>
      </c>
      <c r="C196" s="25" t="s">
        <v>22</v>
      </c>
      <c r="D196" s="25" t="s">
        <v>291</v>
      </c>
      <c r="E196" s="26" t="s">
        <v>293</v>
      </c>
      <c r="F196" s="27">
        <v>72</v>
      </c>
      <c r="G196" s="28">
        <f t="shared" si="14"/>
        <v>27.25</v>
      </c>
      <c r="H196" s="29">
        <v>34</v>
      </c>
      <c r="I196" s="29">
        <v>38</v>
      </c>
      <c r="J196" s="29">
        <v>21</v>
      </c>
      <c r="K196" s="30">
        <v>16</v>
      </c>
      <c r="L196" s="31">
        <f t="shared" si="15"/>
        <v>14.560727749999998</v>
      </c>
      <c r="M196" s="32">
        <v>13.03918199999999</v>
      </c>
      <c r="N196" s="32">
        <v>19.871641</v>
      </c>
      <c r="O196" s="32">
        <v>13.904574999999999</v>
      </c>
      <c r="P196" s="33">
        <v>7.1166889999999992</v>
      </c>
      <c r="Q196" s="31">
        <f t="shared" si="16"/>
        <v>5.4545365000000006</v>
      </c>
      <c r="R196" s="32">
        <v>2.8165840000000002</v>
      </c>
      <c r="S196" s="32">
        <v>8.0802630000000004</v>
      </c>
      <c r="T196" s="32">
        <v>7.0018250000000002</v>
      </c>
      <c r="U196" s="33">
        <v>3.9194740000000001</v>
      </c>
      <c r="V196" s="31">
        <f t="shared" si="17"/>
        <v>2.3123899999999997</v>
      </c>
      <c r="W196" s="32">
        <v>2.3247800000000001</v>
      </c>
      <c r="X196" s="32">
        <v>4.4101399999999993</v>
      </c>
      <c r="Y196" s="32">
        <v>1.5079</v>
      </c>
      <c r="Z196" s="33">
        <v>1.00674</v>
      </c>
      <c r="AA196" s="31">
        <f t="shared" si="18"/>
        <v>2.1554120000000001</v>
      </c>
      <c r="AB196" s="32">
        <v>3.452331</v>
      </c>
      <c r="AC196" s="33">
        <v>0.85849299999999995</v>
      </c>
      <c r="AD196" s="31">
        <f t="shared" si="19"/>
        <v>0.80088925</v>
      </c>
      <c r="AE196" s="32">
        <v>0.54548700000000006</v>
      </c>
      <c r="AF196" s="32">
        <v>0.52274500000000002</v>
      </c>
      <c r="AG196" s="32">
        <v>1.24485</v>
      </c>
      <c r="AH196" s="33">
        <v>0.89047500000000002</v>
      </c>
      <c r="AI196" s="31">
        <f t="shared" si="20"/>
        <v>3.8374999999999995</v>
      </c>
      <c r="AJ196" s="32">
        <v>3.899999999999995</v>
      </c>
      <c r="AK196" s="32">
        <v>6.0000000000000044</v>
      </c>
      <c r="AL196" s="32">
        <v>4.1500000000000004</v>
      </c>
      <c r="AM196" s="34">
        <v>1.2999999999999989</v>
      </c>
    </row>
    <row r="197" spans="1:39" x14ac:dyDescent="0.3">
      <c r="A197" s="24" t="s">
        <v>202</v>
      </c>
      <c r="B197" s="25" t="s">
        <v>24</v>
      </c>
      <c r="C197" s="25" t="s">
        <v>25</v>
      </c>
      <c r="D197" s="25" t="s">
        <v>277</v>
      </c>
      <c r="E197" s="26" t="s">
        <v>294</v>
      </c>
      <c r="F197" s="27">
        <v>6</v>
      </c>
      <c r="G197" s="28">
        <f t="shared" si="14"/>
        <v>1.5</v>
      </c>
      <c r="H197" s="29">
        <v>1</v>
      </c>
      <c r="I197" s="29">
        <v>0</v>
      </c>
      <c r="J197" s="29">
        <v>1</v>
      </c>
      <c r="K197" s="30">
        <v>4</v>
      </c>
      <c r="L197" s="31">
        <f t="shared" si="15"/>
        <v>0.44256400000000001</v>
      </c>
      <c r="M197" s="32">
        <v>5.1916999999999998E-2</v>
      </c>
      <c r="N197" s="32">
        <v>0</v>
      </c>
      <c r="O197" s="32">
        <v>8.8542999999999997E-2</v>
      </c>
      <c r="P197" s="33">
        <v>1.577879</v>
      </c>
      <c r="Q197" s="31">
        <f t="shared" si="16"/>
        <v>0.35625050000000003</v>
      </c>
      <c r="R197" s="32">
        <v>0</v>
      </c>
      <c r="S197" s="32">
        <v>0</v>
      </c>
      <c r="T197" s="32">
        <v>0</v>
      </c>
      <c r="U197" s="33">
        <v>1.4250020000000001</v>
      </c>
      <c r="V197" s="31">
        <f t="shared" si="17"/>
        <v>0</v>
      </c>
      <c r="W197" s="32">
        <v>0</v>
      </c>
      <c r="X197" s="32">
        <v>0</v>
      </c>
      <c r="Y197" s="32">
        <v>0</v>
      </c>
      <c r="Z197" s="33">
        <v>0</v>
      </c>
      <c r="AA197" s="31">
        <f t="shared" si="18"/>
        <v>2.5958499999999999E-2</v>
      </c>
      <c r="AB197" s="32">
        <v>5.1916999999999998E-2</v>
      </c>
      <c r="AC197" s="33">
        <v>0</v>
      </c>
      <c r="AD197" s="31">
        <f t="shared" si="19"/>
        <v>6.0355000000000006E-2</v>
      </c>
      <c r="AE197" s="32">
        <v>0</v>
      </c>
      <c r="AF197" s="32">
        <v>0</v>
      </c>
      <c r="AG197" s="32">
        <v>8.8542999999999997E-2</v>
      </c>
      <c r="AH197" s="33">
        <v>0.15287700000000001</v>
      </c>
      <c r="AI197" s="31">
        <f t="shared" si="20"/>
        <v>0</v>
      </c>
      <c r="AJ197" s="32">
        <v>0</v>
      </c>
      <c r="AK197" s="32">
        <v>0</v>
      </c>
      <c r="AL197" s="32">
        <v>0</v>
      </c>
      <c r="AM197" s="34">
        <v>0</v>
      </c>
    </row>
    <row r="198" spans="1:39" x14ac:dyDescent="0.3">
      <c r="A198" s="24" t="s">
        <v>202</v>
      </c>
      <c r="B198" s="25" t="s">
        <v>24</v>
      </c>
      <c r="C198" s="25" t="s">
        <v>25</v>
      </c>
      <c r="D198" s="25" t="s">
        <v>277</v>
      </c>
      <c r="E198" s="26" t="s">
        <v>295</v>
      </c>
      <c r="F198" s="27">
        <v>55</v>
      </c>
      <c r="G198" s="28">
        <f t="shared" si="14"/>
        <v>40.25</v>
      </c>
      <c r="H198" s="29">
        <v>39</v>
      </c>
      <c r="I198" s="29">
        <v>39</v>
      </c>
      <c r="J198" s="29">
        <v>39</v>
      </c>
      <c r="K198" s="30">
        <v>44</v>
      </c>
      <c r="L198" s="31">
        <f t="shared" si="15"/>
        <v>13.6833445</v>
      </c>
      <c r="M198" s="32">
        <v>14.224304</v>
      </c>
      <c r="N198" s="32">
        <v>8.5239950000000011</v>
      </c>
      <c r="O198" s="32">
        <v>11.234723000000001</v>
      </c>
      <c r="P198" s="33">
        <v>14.282031999999999</v>
      </c>
      <c r="Q198" s="31">
        <f t="shared" si="16"/>
        <v>4.0701387499999999</v>
      </c>
      <c r="R198" s="32">
        <v>5.0188220000000001</v>
      </c>
      <c r="S198" s="32">
        <v>0.40085999999999999</v>
      </c>
      <c r="T198" s="32">
        <v>5.3581210000000006</v>
      </c>
      <c r="U198" s="33">
        <v>5.5027520000000001</v>
      </c>
      <c r="V198" s="31">
        <f t="shared" si="17"/>
        <v>2.2231682500000001</v>
      </c>
      <c r="W198" s="32">
        <v>0.77024300000000001</v>
      </c>
      <c r="X198" s="32">
        <v>3.01085</v>
      </c>
      <c r="Y198" s="32">
        <v>0.75138000000000005</v>
      </c>
      <c r="Z198" s="33">
        <v>4.3601999999999999</v>
      </c>
      <c r="AA198" s="31">
        <f t="shared" si="18"/>
        <v>3.2341620000000004</v>
      </c>
      <c r="AB198" s="32">
        <v>3.8157649999999999</v>
      </c>
      <c r="AC198" s="33">
        <v>2.652559000000001</v>
      </c>
      <c r="AD198" s="31">
        <f t="shared" si="19"/>
        <v>3.0144905</v>
      </c>
      <c r="AE198" s="32">
        <v>1.0542940000000001</v>
      </c>
      <c r="AF198" s="32">
        <v>2.4597259999999999</v>
      </c>
      <c r="AG198" s="32">
        <v>4.1248620000000003</v>
      </c>
      <c r="AH198" s="33">
        <v>4.4190800000000001</v>
      </c>
      <c r="AI198" s="31">
        <f t="shared" si="20"/>
        <v>1.1413849999999992</v>
      </c>
      <c r="AJ198" s="32">
        <v>3.5651799999999989</v>
      </c>
      <c r="AK198" s="32">
        <v>0</v>
      </c>
      <c r="AL198" s="32">
        <v>1.0003599999999979</v>
      </c>
      <c r="AM198" s="34">
        <v>0</v>
      </c>
    </row>
    <row r="199" spans="1:39" x14ac:dyDescent="0.3">
      <c r="A199" s="24" t="s">
        <v>202</v>
      </c>
      <c r="B199" s="25" t="s">
        <v>24</v>
      </c>
      <c r="C199" s="25" t="s">
        <v>25</v>
      </c>
      <c r="D199" s="25" t="s">
        <v>277</v>
      </c>
      <c r="E199" s="26" t="s">
        <v>280</v>
      </c>
      <c r="F199" s="27">
        <v>113</v>
      </c>
      <c r="G199" s="28">
        <f t="shared" ref="G199:G262" si="21">SUM(H199:K199)/4</f>
        <v>111.5</v>
      </c>
      <c r="H199" s="29">
        <v>105</v>
      </c>
      <c r="I199" s="29">
        <v>116</v>
      </c>
      <c r="J199" s="29">
        <v>100</v>
      </c>
      <c r="K199" s="30">
        <v>125</v>
      </c>
      <c r="L199" s="31">
        <f t="shared" ref="L199:L262" si="22">Q199+V199+AA199+AD199+AI199</f>
        <v>50.51380125</v>
      </c>
      <c r="M199" s="32">
        <v>46.493733000000013</v>
      </c>
      <c r="N199" s="32">
        <v>52.756525999999987</v>
      </c>
      <c r="O199" s="32">
        <v>42.136623000000007</v>
      </c>
      <c r="P199" s="33">
        <v>50.845660000000002</v>
      </c>
      <c r="Q199" s="31">
        <f t="shared" ref="Q199:Q262" si="23">SUM(R199:U199)/4</f>
        <v>24.962519</v>
      </c>
      <c r="R199" s="32">
        <v>21.479514999999999</v>
      </c>
      <c r="S199" s="32">
        <v>30.910772999999999</v>
      </c>
      <c r="T199" s="32">
        <v>22.084975</v>
      </c>
      <c r="U199" s="33">
        <v>25.374813</v>
      </c>
      <c r="V199" s="31">
        <f t="shared" ref="V199:V262" si="24">SUM(W199:Z199)/4</f>
        <v>12.412100500000001</v>
      </c>
      <c r="W199" s="32">
        <v>11.716177</v>
      </c>
      <c r="X199" s="32">
        <v>14.066772</v>
      </c>
      <c r="Y199" s="32">
        <v>9.1167730000000002</v>
      </c>
      <c r="Z199" s="33">
        <v>14.74868</v>
      </c>
      <c r="AA199" s="31">
        <f t="shared" ref="AA199:AA262" si="25">SUM(AB199:AC199)/2</f>
        <v>4.9113314999999993</v>
      </c>
      <c r="AB199" s="32">
        <v>5.5624719999999996</v>
      </c>
      <c r="AC199" s="33">
        <v>4.2601909999999998</v>
      </c>
      <c r="AD199" s="31">
        <f t="shared" ref="AD199:AD262" si="26">SUM(AE199:AH199)/4</f>
        <v>5.1536227500000003</v>
      </c>
      <c r="AE199" s="32">
        <v>2.2468189999999999</v>
      </c>
      <c r="AF199" s="32">
        <v>2.8187899999999999</v>
      </c>
      <c r="AG199" s="32">
        <v>7.1348750000000001</v>
      </c>
      <c r="AH199" s="33">
        <v>8.4140069999999998</v>
      </c>
      <c r="AI199" s="31">
        <f t="shared" ref="AI199:AI262" si="27">SUM(AJ199:AM199)/4</f>
        <v>3.0742275000000046</v>
      </c>
      <c r="AJ199" s="32">
        <v>5.4887500000000067</v>
      </c>
      <c r="AK199" s="32">
        <v>0.69999999999999662</v>
      </c>
      <c r="AL199" s="32">
        <v>3.80000000000001</v>
      </c>
      <c r="AM199" s="34">
        <v>2.308160000000004</v>
      </c>
    </row>
    <row r="200" spans="1:39" x14ac:dyDescent="0.3">
      <c r="A200" s="24" t="s">
        <v>202</v>
      </c>
      <c r="B200" s="25" t="s">
        <v>24</v>
      </c>
      <c r="C200" s="25" t="s">
        <v>25</v>
      </c>
      <c r="D200" s="25" t="s">
        <v>275</v>
      </c>
      <c r="E200" s="26" t="s">
        <v>296</v>
      </c>
      <c r="F200" s="27">
        <v>2</v>
      </c>
      <c r="G200" s="28">
        <f t="shared" si="21"/>
        <v>0</v>
      </c>
      <c r="H200" s="29">
        <v>0</v>
      </c>
      <c r="I200" s="29">
        <v>0</v>
      </c>
      <c r="J200" s="29">
        <v>0</v>
      </c>
      <c r="K200" s="30">
        <v>0</v>
      </c>
      <c r="L200" s="31">
        <f t="shared" si="22"/>
        <v>0</v>
      </c>
      <c r="M200" s="32">
        <v>0</v>
      </c>
      <c r="N200" s="32">
        <v>0</v>
      </c>
      <c r="O200" s="32">
        <v>0</v>
      </c>
      <c r="P200" s="33">
        <v>0</v>
      </c>
      <c r="Q200" s="31">
        <f t="shared" si="23"/>
        <v>0</v>
      </c>
      <c r="R200" s="32">
        <v>0</v>
      </c>
      <c r="S200" s="32">
        <v>0</v>
      </c>
      <c r="T200" s="32">
        <v>0</v>
      </c>
      <c r="U200" s="33">
        <v>0</v>
      </c>
      <c r="V200" s="31">
        <f t="shared" si="24"/>
        <v>0</v>
      </c>
      <c r="W200" s="32">
        <v>0</v>
      </c>
      <c r="X200" s="32">
        <v>0</v>
      </c>
      <c r="Y200" s="32">
        <v>0</v>
      </c>
      <c r="Z200" s="33">
        <v>0</v>
      </c>
      <c r="AA200" s="31">
        <f t="shared" si="25"/>
        <v>0</v>
      </c>
      <c r="AB200" s="32">
        <v>0</v>
      </c>
      <c r="AC200" s="33">
        <v>0</v>
      </c>
      <c r="AD200" s="31">
        <f t="shared" si="26"/>
        <v>0</v>
      </c>
      <c r="AE200" s="32">
        <v>0</v>
      </c>
      <c r="AF200" s="32">
        <v>0</v>
      </c>
      <c r="AG200" s="32">
        <v>0</v>
      </c>
      <c r="AH200" s="33">
        <v>0</v>
      </c>
      <c r="AI200" s="31">
        <f t="shared" si="27"/>
        <v>0</v>
      </c>
      <c r="AJ200" s="32">
        <v>0</v>
      </c>
      <c r="AK200" s="32">
        <v>0</v>
      </c>
      <c r="AL200" s="32">
        <v>0</v>
      </c>
      <c r="AM200" s="34">
        <v>0</v>
      </c>
    </row>
    <row r="201" spans="1:39" x14ac:dyDescent="0.3">
      <c r="A201" s="24" t="s">
        <v>202</v>
      </c>
      <c r="B201" s="25" t="s">
        <v>24</v>
      </c>
      <c r="C201" s="25" t="s">
        <v>25</v>
      </c>
      <c r="D201" s="25" t="s">
        <v>275</v>
      </c>
      <c r="E201" s="26" t="s">
        <v>297</v>
      </c>
      <c r="F201" s="27">
        <v>1</v>
      </c>
      <c r="G201" s="28">
        <f t="shared" si="21"/>
        <v>0</v>
      </c>
      <c r="H201" s="29">
        <v>0</v>
      </c>
      <c r="I201" s="29">
        <v>0</v>
      </c>
      <c r="J201" s="29">
        <v>0</v>
      </c>
      <c r="K201" s="30">
        <v>0</v>
      </c>
      <c r="L201" s="31">
        <f t="shared" si="22"/>
        <v>0</v>
      </c>
      <c r="M201" s="32">
        <v>0</v>
      </c>
      <c r="N201" s="32">
        <v>0</v>
      </c>
      <c r="O201" s="32">
        <v>0</v>
      </c>
      <c r="P201" s="33">
        <v>0</v>
      </c>
      <c r="Q201" s="31">
        <f t="shared" si="23"/>
        <v>0</v>
      </c>
      <c r="R201" s="32">
        <v>0</v>
      </c>
      <c r="S201" s="32">
        <v>0</v>
      </c>
      <c r="T201" s="32">
        <v>0</v>
      </c>
      <c r="U201" s="33">
        <v>0</v>
      </c>
      <c r="V201" s="31">
        <f t="shared" si="24"/>
        <v>0</v>
      </c>
      <c r="W201" s="32">
        <v>0</v>
      </c>
      <c r="X201" s="32">
        <v>0</v>
      </c>
      <c r="Y201" s="32">
        <v>0</v>
      </c>
      <c r="Z201" s="33">
        <v>0</v>
      </c>
      <c r="AA201" s="31">
        <f t="shared" si="25"/>
        <v>0</v>
      </c>
      <c r="AB201" s="32">
        <v>0</v>
      </c>
      <c r="AC201" s="33">
        <v>0</v>
      </c>
      <c r="AD201" s="31">
        <f t="shared" si="26"/>
        <v>0</v>
      </c>
      <c r="AE201" s="32">
        <v>0</v>
      </c>
      <c r="AF201" s="32">
        <v>0</v>
      </c>
      <c r="AG201" s="32">
        <v>0</v>
      </c>
      <c r="AH201" s="33">
        <v>0</v>
      </c>
      <c r="AI201" s="31">
        <f t="shared" si="27"/>
        <v>0</v>
      </c>
      <c r="AJ201" s="32">
        <v>0</v>
      </c>
      <c r="AK201" s="32">
        <v>0</v>
      </c>
      <c r="AL201" s="32">
        <v>0</v>
      </c>
      <c r="AM201" s="34">
        <v>0</v>
      </c>
    </row>
    <row r="202" spans="1:39" x14ac:dyDescent="0.3">
      <c r="A202" s="24" t="s">
        <v>202</v>
      </c>
      <c r="B202" s="25" t="s">
        <v>24</v>
      </c>
      <c r="C202" s="25" t="s">
        <v>25</v>
      </c>
      <c r="D202" s="25" t="s">
        <v>275</v>
      </c>
      <c r="E202" s="26" t="s">
        <v>298</v>
      </c>
      <c r="F202" s="27">
        <v>14</v>
      </c>
      <c r="G202" s="28">
        <f t="shared" si="21"/>
        <v>2.75</v>
      </c>
      <c r="H202" s="29">
        <v>5</v>
      </c>
      <c r="I202" s="29">
        <v>5</v>
      </c>
      <c r="J202" s="29">
        <v>0</v>
      </c>
      <c r="K202" s="30">
        <v>1</v>
      </c>
      <c r="L202" s="31">
        <f t="shared" si="22"/>
        <v>1.382784</v>
      </c>
      <c r="M202" s="32">
        <v>3.0998380000000001</v>
      </c>
      <c r="N202" s="32">
        <v>2.28606</v>
      </c>
      <c r="O202" s="32">
        <v>0</v>
      </c>
      <c r="P202" s="33">
        <v>0.14523800000000001</v>
      </c>
      <c r="Q202" s="31">
        <f t="shared" si="23"/>
        <v>0.13915</v>
      </c>
      <c r="R202" s="32">
        <v>0.55659999999999998</v>
      </c>
      <c r="S202" s="32">
        <v>0</v>
      </c>
      <c r="T202" s="32">
        <v>0</v>
      </c>
      <c r="U202" s="33">
        <v>0</v>
      </c>
      <c r="V202" s="31">
        <f t="shared" si="24"/>
        <v>1.112711</v>
      </c>
      <c r="W202" s="32">
        <v>2.5432380000000001</v>
      </c>
      <c r="X202" s="32">
        <v>1.9076059999999999</v>
      </c>
      <c r="Y202" s="32">
        <v>0</v>
      </c>
      <c r="Z202" s="33">
        <v>0</v>
      </c>
      <c r="AA202" s="31">
        <f t="shared" si="25"/>
        <v>0</v>
      </c>
      <c r="AB202" s="32">
        <v>0</v>
      </c>
      <c r="AC202" s="33">
        <v>0</v>
      </c>
      <c r="AD202" s="31">
        <f t="shared" si="26"/>
        <v>0.13092300000000001</v>
      </c>
      <c r="AE202" s="32">
        <v>0</v>
      </c>
      <c r="AF202" s="32">
        <v>0.37845400000000001</v>
      </c>
      <c r="AG202" s="32">
        <v>0</v>
      </c>
      <c r="AH202" s="33">
        <v>0.14523800000000001</v>
      </c>
      <c r="AI202" s="31">
        <f t="shared" si="27"/>
        <v>0</v>
      </c>
      <c r="AJ202" s="32">
        <v>0</v>
      </c>
      <c r="AK202" s="32">
        <v>0</v>
      </c>
      <c r="AL202" s="32">
        <v>0</v>
      </c>
      <c r="AM202" s="34">
        <v>0</v>
      </c>
    </row>
    <row r="203" spans="1:39" x14ac:dyDescent="0.3">
      <c r="A203" s="24" t="s">
        <v>202</v>
      </c>
      <c r="B203" s="25" t="s">
        <v>24</v>
      </c>
      <c r="C203" s="25" t="s">
        <v>25</v>
      </c>
      <c r="D203" s="25" t="s">
        <v>275</v>
      </c>
      <c r="E203" s="26" t="s">
        <v>299</v>
      </c>
      <c r="F203" s="27">
        <v>4</v>
      </c>
      <c r="G203" s="28">
        <f t="shared" si="21"/>
        <v>0</v>
      </c>
      <c r="H203" s="29">
        <v>0</v>
      </c>
      <c r="I203" s="29">
        <v>0</v>
      </c>
      <c r="J203" s="29">
        <v>0</v>
      </c>
      <c r="K203" s="30">
        <v>0</v>
      </c>
      <c r="L203" s="31">
        <f t="shared" si="22"/>
        <v>0</v>
      </c>
      <c r="M203" s="32">
        <v>0</v>
      </c>
      <c r="N203" s="32">
        <v>0</v>
      </c>
      <c r="O203" s="32">
        <v>0</v>
      </c>
      <c r="P203" s="33">
        <v>0</v>
      </c>
      <c r="Q203" s="31">
        <f t="shared" si="23"/>
        <v>0</v>
      </c>
      <c r="R203" s="32">
        <v>0</v>
      </c>
      <c r="S203" s="32">
        <v>0</v>
      </c>
      <c r="T203" s="32">
        <v>0</v>
      </c>
      <c r="U203" s="33">
        <v>0</v>
      </c>
      <c r="V203" s="31">
        <f t="shared" si="24"/>
        <v>0</v>
      </c>
      <c r="W203" s="32">
        <v>0</v>
      </c>
      <c r="X203" s="32">
        <v>0</v>
      </c>
      <c r="Y203" s="32">
        <v>0</v>
      </c>
      <c r="Z203" s="33">
        <v>0</v>
      </c>
      <c r="AA203" s="31">
        <f t="shared" si="25"/>
        <v>0</v>
      </c>
      <c r="AB203" s="32">
        <v>0</v>
      </c>
      <c r="AC203" s="33">
        <v>0</v>
      </c>
      <c r="AD203" s="31">
        <f t="shared" si="26"/>
        <v>0</v>
      </c>
      <c r="AE203" s="32">
        <v>0</v>
      </c>
      <c r="AF203" s="32">
        <v>0</v>
      </c>
      <c r="AG203" s="32">
        <v>0</v>
      </c>
      <c r="AH203" s="33">
        <v>0</v>
      </c>
      <c r="AI203" s="31">
        <f t="shared" si="27"/>
        <v>0</v>
      </c>
      <c r="AJ203" s="32">
        <v>0</v>
      </c>
      <c r="AK203" s="32">
        <v>0</v>
      </c>
      <c r="AL203" s="32">
        <v>0</v>
      </c>
      <c r="AM203" s="34">
        <v>0</v>
      </c>
    </row>
    <row r="204" spans="1:39" x14ac:dyDescent="0.3">
      <c r="A204" s="24" t="s">
        <v>202</v>
      </c>
      <c r="B204" s="25" t="s">
        <v>24</v>
      </c>
      <c r="C204" s="25" t="s">
        <v>25</v>
      </c>
      <c r="D204" s="25" t="s">
        <v>275</v>
      </c>
      <c r="E204" s="26" t="s">
        <v>300</v>
      </c>
      <c r="F204" s="27">
        <v>2</v>
      </c>
      <c r="G204" s="28">
        <f t="shared" si="21"/>
        <v>0</v>
      </c>
      <c r="H204" s="29">
        <v>0</v>
      </c>
      <c r="I204" s="29">
        <v>0</v>
      </c>
      <c r="J204" s="29">
        <v>0</v>
      </c>
      <c r="K204" s="30">
        <v>0</v>
      </c>
      <c r="L204" s="31">
        <f t="shared" si="22"/>
        <v>0</v>
      </c>
      <c r="M204" s="32">
        <v>0</v>
      </c>
      <c r="N204" s="32">
        <v>0</v>
      </c>
      <c r="O204" s="32">
        <v>0</v>
      </c>
      <c r="P204" s="33">
        <v>0</v>
      </c>
      <c r="Q204" s="31">
        <f t="shared" si="23"/>
        <v>0</v>
      </c>
      <c r="R204" s="32">
        <v>0</v>
      </c>
      <c r="S204" s="32">
        <v>0</v>
      </c>
      <c r="T204" s="32">
        <v>0</v>
      </c>
      <c r="U204" s="33">
        <v>0</v>
      </c>
      <c r="V204" s="31">
        <f t="shared" si="24"/>
        <v>0</v>
      </c>
      <c r="W204" s="32">
        <v>0</v>
      </c>
      <c r="X204" s="32">
        <v>0</v>
      </c>
      <c r="Y204" s="32">
        <v>0</v>
      </c>
      <c r="Z204" s="33">
        <v>0</v>
      </c>
      <c r="AA204" s="31">
        <f t="shared" si="25"/>
        <v>0</v>
      </c>
      <c r="AB204" s="32">
        <v>0</v>
      </c>
      <c r="AC204" s="33">
        <v>0</v>
      </c>
      <c r="AD204" s="31">
        <f t="shared" si="26"/>
        <v>0</v>
      </c>
      <c r="AE204" s="32">
        <v>0</v>
      </c>
      <c r="AF204" s="32">
        <v>0</v>
      </c>
      <c r="AG204" s="32">
        <v>0</v>
      </c>
      <c r="AH204" s="33">
        <v>0</v>
      </c>
      <c r="AI204" s="31">
        <f t="shared" si="27"/>
        <v>0</v>
      </c>
      <c r="AJ204" s="32">
        <v>0</v>
      </c>
      <c r="AK204" s="32">
        <v>0</v>
      </c>
      <c r="AL204" s="32">
        <v>0</v>
      </c>
      <c r="AM204" s="34">
        <v>0</v>
      </c>
    </row>
    <row r="205" spans="1:39" x14ac:dyDescent="0.3">
      <c r="A205" s="24" t="s">
        <v>202</v>
      </c>
      <c r="B205" s="25" t="s">
        <v>24</v>
      </c>
      <c r="C205" s="25" t="s">
        <v>25</v>
      </c>
      <c r="D205" s="25" t="s">
        <v>275</v>
      </c>
      <c r="E205" s="26" t="s">
        <v>301</v>
      </c>
      <c r="F205" s="27">
        <v>82</v>
      </c>
      <c r="G205" s="28">
        <f t="shared" si="21"/>
        <v>23.75</v>
      </c>
      <c r="H205" s="29">
        <v>15</v>
      </c>
      <c r="I205" s="29">
        <v>20</v>
      </c>
      <c r="J205" s="29">
        <v>25</v>
      </c>
      <c r="K205" s="30">
        <v>35</v>
      </c>
      <c r="L205" s="31">
        <f t="shared" si="22"/>
        <v>14.67821975</v>
      </c>
      <c r="M205" s="32">
        <v>11.668683</v>
      </c>
      <c r="N205" s="32">
        <v>11.707985000000001</v>
      </c>
      <c r="O205" s="32">
        <v>15.699021999999999</v>
      </c>
      <c r="P205" s="33">
        <v>16.090714999999999</v>
      </c>
      <c r="Q205" s="31">
        <f t="shared" si="23"/>
        <v>3.1684920000000001</v>
      </c>
      <c r="R205" s="32">
        <v>3.7897729999999998</v>
      </c>
      <c r="S205" s="32">
        <v>3.038672</v>
      </c>
      <c r="T205" s="32">
        <v>3.709163999999999</v>
      </c>
      <c r="U205" s="33">
        <v>2.1363590000000001</v>
      </c>
      <c r="V205" s="31">
        <f t="shared" si="24"/>
        <v>7.5879174999999996</v>
      </c>
      <c r="W205" s="32">
        <v>6.3516999999999992</v>
      </c>
      <c r="X205" s="32">
        <v>5.5308299999999999</v>
      </c>
      <c r="Y205" s="32">
        <v>8.0178399999999996</v>
      </c>
      <c r="Z205" s="33">
        <v>10.4513</v>
      </c>
      <c r="AA205" s="31">
        <f t="shared" si="25"/>
        <v>1.773237</v>
      </c>
      <c r="AB205" s="32">
        <v>1.312799</v>
      </c>
      <c r="AC205" s="33">
        <v>2.2336749999999999</v>
      </c>
      <c r="AD205" s="31">
        <f t="shared" si="26"/>
        <v>1.9807082499999999</v>
      </c>
      <c r="AE205" s="32">
        <v>0.10361099999999999</v>
      </c>
      <c r="AF205" s="32">
        <v>0.68730800000000003</v>
      </c>
      <c r="AG205" s="32">
        <v>3.7682380000000002</v>
      </c>
      <c r="AH205" s="33">
        <v>3.3636759999999999</v>
      </c>
      <c r="AI205" s="31">
        <f t="shared" si="27"/>
        <v>0.16786499999999993</v>
      </c>
      <c r="AJ205" s="32">
        <v>0.11080000000000011</v>
      </c>
      <c r="AK205" s="32">
        <v>0.21749999999999911</v>
      </c>
      <c r="AL205" s="32">
        <v>0.20378000000000179</v>
      </c>
      <c r="AM205" s="34">
        <v>0.1393799999999987</v>
      </c>
    </row>
    <row r="206" spans="1:39" x14ac:dyDescent="0.3">
      <c r="A206" s="24" t="s">
        <v>202</v>
      </c>
      <c r="B206" s="25" t="s">
        <v>24</v>
      </c>
      <c r="C206" s="25" t="s">
        <v>25</v>
      </c>
      <c r="D206" s="25" t="s">
        <v>275</v>
      </c>
      <c r="E206" s="26" t="s">
        <v>302</v>
      </c>
      <c r="F206" s="27">
        <v>62</v>
      </c>
      <c r="G206" s="28">
        <f t="shared" si="21"/>
        <v>24</v>
      </c>
      <c r="H206" s="29">
        <v>20</v>
      </c>
      <c r="I206" s="29">
        <v>27</v>
      </c>
      <c r="J206" s="29">
        <v>25</v>
      </c>
      <c r="K206" s="30">
        <v>24</v>
      </c>
      <c r="L206" s="31">
        <f t="shared" si="22"/>
        <v>15.674437249999999</v>
      </c>
      <c r="M206" s="32">
        <v>12.861181</v>
      </c>
      <c r="N206" s="32">
        <v>10.175131</v>
      </c>
      <c r="O206" s="32">
        <v>18.753969999999999</v>
      </c>
      <c r="P206" s="33">
        <v>19.549837</v>
      </c>
      <c r="Q206" s="31">
        <f t="shared" si="23"/>
        <v>2.6375725000000001</v>
      </c>
      <c r="R206" s="32">
        <v>1.77112</v>
      </c>
      <c r="S206" s="32">
        <v>3.0047679999999999</v>
      </c>
      <c r="T206" s="32">
        <v>2.6099070000000002</v>
      </c>
      <c r="U206" s="33">
        <v>3.1644950000000001</v>
      </c>
      <c r="V206" s="31">
        <f t="shared" si="24"/>
        <v>9.7142799999999987</v>
      </c>
      <c r="W206" s="32">
        <v>6.3721500000000004</v>
      </c>
      <c r="X206" s="32">
        <v>4.8304999999999998</v>
      </c>
      <c r="Y206" s="32">
        <v>13.29045</v>
      </c>
      <c r="Z206" s="33">
        <v>14.36402</v>
      </c>
      <c r="AA206" s="31">
        <f t="shared" si="25"/>
        <v>0.67881499999999995</v>
      </c>
      <c r="AB206" s="32">
        <v>0.55947900000000006</v>
      </c>
      <c r="AC206" s="33">
        <v>0.79815099999999994</v>
      </c>
      <c r="AD206" s="31">
        <f t="shared" si="26"/>
        <v>1.0892997499999999</v>
      </c>
      <c r="AE206" s="32">
        <v>0.55843200000000004</v>
      </c>
      <c r="AF206" s="32">
        <v>0.73546199999999995</v>
      </c>
      <c r="AG206" s="32">
        <v>1.3419829999999999</v>
      </c>
      <c r="AH206" s="33">
        <v>1.721322</v>
      </c>
      <c r="AI206" s="31">
        <f t="shared" si="27"/>
        <v>1.5544699999999987</v>
      </c>
      <c r="AJ206" s="32">
        <v>3.5999999999999979</v>
      </c>
      <c r="AK206" s="32">
        <v>0.80625000000000047</v>
      </c>
      <c r="AL206" s="32">
        <v>1.5116299999999989</v>
      </c>
      <c r="AM206" s="34">
        <v>0.29999999999999799</v>
      </c>
    </row>
    <row r="207" spans="1:39" x14ac:dyDescent="0.3">
      <c r="A207" s="24" t="s">
        <v>202</v>
      </c>
      <c r="B207" s="25" t="s">
        <v>24</v>
      </c>
      <c r="C207" s="25" t="s">
        <v>25</v>
      </c>
      <c r="D207" s="25" t="s">
        <v>275</v>
      </c>
      <c r="E207" s="26" t="s">
        <v>303</v>
      </c>
      <c r="F207" s="27">
        <v>4</v>
      </c>
      <c r="G207" s="28">
        <f t="shared" si="21"/>
        <v>0</v>
      </c>
      <c r="H207" s="29">
        <v>0</v>
      </c>
      <c r="I207" s="29">
        <v>0</v>
      </c>
      <c r="J207" s="29">
        <v>0</v>
      </c>
      <c r="K207" s="30">
        <v>0</v>
      </c>
      <c r="L207" s="31">
        <f t="shared" si="22"/>
        <v>0</v>
      </c>
      <c r="M207" s="32">
        <v>0</v>
      </c>
      <c r="N207" s="32">
        <v>0</v>
      </c>
      <c r="O207" s="32">
        <v>0</v>
      </c>
      <c r="P207" s="33">
        <v>0</v>
      </c>
      <c r="Q207" s="31">
        <f t="shared" si="23"/>
        <v>0</v>
      </c>
      <c r="R207" s="32">
        <v>0</v>
      </c>
      <c r="S207" s="32">
        <v>0</v>
      </c>
      <c r="T207" s="32">
        <v>0</v>
      </c>
      <c r="U207" s="33">
        <v>0</v>
      </c>
      <c r="V207" s="31">
        <f t="shared" si="24"/>
        <v>0</v>
      </c>
      <c r="W207" s="32">
        <v>0</v>
      </c>
      <c r="X207" s="32">
        <v>0</v>
      </c>
      <c r="Y207" s="32">
        <v>0</v>
      </c>
      <c r="Z207" s="33">
        <v>0</v>
      </c>
      <c r="AA207" s="31">
        <f t="shared" si="25"/>
        <v>0</v>
      </c>
      <c r="AB207" s="32">
        <v>0</v>
      </c>
      <c r="AC207" s="33">
        <v>0</v>
      </c>
      <c r="AD207" s="31">
        <f t="shared" si="26"/>
        <v>0</v>
      </c>
      <c r="AE207" s="32">
        <v>0</v>
      </c>
      <c r="AF207" s="32">
        <v>0</v>
      </c>
      <c r="AG207" s="32">
        <v>0</v>
      </c>
      <c r="AH207" s="33">
        <v>0</v>
      </c>
      <c r="AI207" s="31">
        <f t="shared" si="27"/>
        <v>0</v>
      </c>
      <c r="AJ207" s="32">
        <v>0</v>
      </c>
      <c r="AK207" s="32">
        <v>0</v>
      </c>
      <c r="AL207" s="32">
        <v>0</v>
      </c>
      <c r="AM207" s="34">
        <v>0</v>
      </c>
    </row>
    <row r="208" spans="1:39" x14ac:dyDescent="0.3">
      <c r="A208" s="24" t="s">
        <v>202</v>
      </c>
      <c r="B208" s="25" t="s">
        <v>41</v>
      </c>
      <c r="C208" s="25" t="s">
        <v>41</v>
      </c>
      <c r="D208" s="25" t="s">
        <v>304</v>
      </c>
      <c r="E208" s="26" t="s">
        <v>305</v>
      </c>
      <c r="F208" s="27">
        <v>8</v>
      </c>
      <c r="G208" s="28">
        <f t="shared" si="21"/>
        <v>4.25</v>
      </c>
      <c r="H208" s="29">
        <v>5</v>
      </c>
      <c r="I208" s="29">
        <v>6</v>
      </c>
      <c r="J208" s="29">
        <v>3</v>
      </c>
      <c r="K208" s="30">
        <v>3</v>
      </c>
      <c r="L208" s="31">
        <f t="shared" si="22"/>
        <v>1.783066</v>
      </c>
      <c r="M208" s="32">
        <v>1.775655</v>
      </c>
      <c r="N208" s="32">
        <v>3.4612829999999999</v>
      </c>
      <c r="O208" s="32">
        <v>0.80601199999999995</v>
      </c>
      <c r="P208" s="33">
        <v>0.44047999999999998</v>
      </c>
      <c r="Q208" s="31">
        <f t="shared" si="23"/>
        <v>1.2796385000000001</v>
      </c>
      <c r="R208" s="32">
        <v>1.2189049999999999</v>
      </c>
      <c r="S208" s="32">
        <v>2.965687</v>
      </c>
      <c r="T208" s="32">
        <v>0.60176200000000002</v>
      </c>
      <c r="U208" s="33">
        <v>0.3322</v>
      </c>
      <c r="V208" s="31">
        <f t="shared" si="24"/>
        <v>0</v>
      </c>
      <c r="W208" s="32">
        <v>0</v>
      </c>
      <c r="X208" s="32">
        <v>0</v>
      </c>
      <c r="Y208" s="32">
        <v>0</v>
      </c>
      <c r="Z208" s="33">
        <v>0</v>
      </c>
      <c r="AA208" s="31">
        <f t="shared" si="25"/>
        <v>0.32441700000000001</v>
      </c>
      <c r="AB208" s="32">
        <v>0.40932000000000002</v>
      </c>
      <c r="AC208" s="33">
        <v>0.239514</v>
      </c>
      <c r="AD208" s="31">
        <f t="shared" si="26"/>
        <v>0.17901049999999999</v>
      </c>
      <c r="AE208" s="32">
        <v>0.14743000000000001</v>
      </c>
      <c r="AF208" s="32">
        <v>0.25608199999999998</v>
      </c>
      <c r="AG208" s="32">
        <v>0.20424999999999999</v>
      </c>
      <c r="AH208" s="33">
        <v>0.10828</v>
      </c>
      <c r="AI208" s="31">
        <f t="shared" si="27"/>
        <v>0</v>
      </c>
      <c r="AJ208" s="32">
        <v>0</v>
      </c>
      <c r="AK208" s="32">
        <v>0</v>
      </c>
      <c r="AL208" s="32">
        <v>0</v>
      </c>
      <c r="AM208" s="34">
        <v>0</v>
      </c>
    </row>
    <row r="209" spans="1:39" x14ac:dyDescent="0.3">
      <c r="A209" s="24" t="s">
        <v>202</v>
      </c>
      <c r="B209" s="25" t="s">
        <v>41</v>
      </c>
      <c r="C209" s="25" t="s">
        <v>41</v>
      </c>
      <c r="D209" s="25" t="s">
        <v>304</v>
      </c>
      <c r="E209" s="26" t="s">
        <v>306</v>
      </c>
      <c r="F209" s="27">
        <v>5</v>
      </c>
      <c r="G209" s="28">
        <f t="shared" si="21"/>
        <v>0.25</v>
      </c>
      <c r="H209" s="29">
        <v>0</v>
      </c>
      <c r="I209" s="29">
        <v>0</v>
      </c>
      <c r="J209" s="29">
        <v>1</v>
      </c>
      <c r="K209" s="30">
        <v>0</v>
      </c>
      <c r="L209" s="31">
        <f t="shared" si="22"/>
        <v>8.4000000000000005E-2</v>
      </c>
      <c r="M209" s="32">
        <v>0</v>
      </c>
      <c r="N209" s="32">
        <v>0</v>
      </c>
      <c r="O209" s="32">
        <v>0.33600000000000002</v>
      </c>
      <c r="P209" s="33">
        <v>0</v>
      </c>
      <c r="Q209" s="31">
        <f t="shared" si="23"/>
        <v>8.4000000000000005E-2</v>
      </c>
      <c r="R209" s="32">
        <v>0</v>
      </c>
      <c r="S209" s="32">
        <v>0</v>
      </c>
      <c r="T209" s="32">
        <v>0.33600000000000002</v>
      </c>
      <c r="U209" s="33">
        <v>0</v>
      </c>
      <c r="V209" s="31">
        <f t="shared" si="24"/>
        <v>0</v>
      </c>
      <c r="W209" s="32">
        <v>0</v>
      </c>
      <c r="X209" s="32">
        <v>0</v>
      </c>
      <c r="Y209" s="32">
        <v>0</v>
      </c>
      <c r="Z209" s="33">
        <v>0</v>
      </c>
      <c r="AA209" s="31">
        <f t="shared" si="25"/>
        <v>0</v>
      </c>
      <c r="AB209" s="32">
        <v>0</v>
      </c>
      <c r="AC209" s="33">
        <v>0</v>
      </c>
      <c r="AD209" s="31">
        <f t="shared" si="26"/>
        <v>0</v>
      </c>
      <c r="AE209" s="32">
        <v>0</v>
      </c>
      <c r="AF209" s="32">
        <v>0</v>
      </c>
      <c r="AG209" s="32">
        <v>0</v>
      </c>
      <c r="AH209" s="33">
        <v>0</v>
      </c>
      <c r="AI209" s="31">
        <f t="shared" si="27"/>
        <v>0</v>
      </c>
      <c r="AJ209" s="32">
        <v>0</v>
      </c>
      <c r="AK209" s="32">
        <v>0</v>
      </c>
      <c r="AL209" s="32">
        <v>0</v>
      </c>
      <c r="AM209" s="34">
        <v>0</v>
      </c>
    </row>
    <row r="210" spans="1:39" x14ac:dyDescent="0.3">
      <c r="A210" s="24" t="s">
        <v>202</v>
      </c>
      <c r="B210" s="25" t="s">
        <v>41</v>
      </c>
      <c r="C210" s="25" t="s">
        <v>41</v>
      </c>
      <c r="D210" s="25" t="s">
        <v>304</v>
      </c>
      <c r="E210" s="26" t="s">
        <v>307</v>
      </c>
      <c r="F210" s="27">
        <v>140</v>
      </c>
      <c r="G210" s="28">
        <f t="shared" si="21"/>
        <v>93</v>
      </c>
      <c r="H210" s="29">
        <v>111</v>
      </c>
      <c r="I210" s="29">
        <v>103</v>
      </c>
      <c r="J210" s="29">
        <v>74</v>
      </c>
      <c r="K210" s="30">
        <v>84</v>
      </c>
      <c r="L210" s="31">
        <f t="shared" si="22"/>
        <v>60.540087</v>
      </c>
      <c r="M210" s="32">
        <v>64.136511999999996</v>
      </c>
      <c r="N210" s="32">
        <v>80.356263999999996</v>
      </c>
      <c r="O210" s="32">
        <v>41.39247799999999</v>
      </c>
      <c r="P210" s="33">
        <v>46.79862399999999</v>
      </c>
      <c r="Q210" s="31">
        <f t="shared" si="23"/>
        <v>27.557341000000001</v>
      </c>
      <c r="R210" s="32">
        <v>27.066127999999999</v>
      </c>
      <c r="S210" s="32">
        <v>29.162236</v>
      </c>
      <c r="T210" s="32">
        <v>30.229792</v>
      </c>
      <c r="U210" s="33">
        <v>23.771208000000001</v>
      </c>
      <c r="V210" s="31">
        <f t="shared" si="24"/>
        <v>25.16799</v>
      </c>
      <c r="W210" s="32">
        <v>28.930789999999998</v>
      </c>
      <c r="X210" s="32">
        <v>46.068390000000001</v>
      </c>
      <c r="Y210" s="32">
        <v>8.3647600000000004</v>
      </c>
      <c r="Z210" s="33">
        <v>17.308019999999999</v>
      </c>
      <c r="AA210" s="31">
        <f t="shared" si="25"/>
        <v>4.7382349999999995</v>
      </c>
      <c r="AB210" s="32">
        <v>6.4292519999999991</v>
      </c>
      <c r="AC210" s="33">
        <v>3.047218</v>
      </c>
      <c r="AD210" s="31">
        <f t="shared" si="26"/>
        <v>2.6862209999999997</v>
      </c>
      <c r="AE210" s="32">
        <v>0.96034200000000003</v>
      </c>
      <c r="AF210" s="32">
        <v>1.7784199999999999</v>
      </c>
      <c r="AG210" s="32">
        <v>2.2867259999999998</v>
      </c>
      <c r="AH210" s="33">
        <v>5.7193959999999988</v>
      </c>
      <c r="AI210" s="31">
        <f t="shared" si="27"/>
        <v>0.39029999999999515</v>
      </c>
      <c r="AJ210" s="32">
        <v>0.74999999999999623</v>
      </c>
      <c r="AK210" s="32">
        <v>0.29999999999999449</v>
      </c>
      <c r="AL210" s="32">
        <v>0.51119999999998988</v>
      </c>
      <c r="AM210" s="34">
        <v>0</v>
      </c>
    </row>
    <row r="211" spans="1:39" x14ac:dyDescent="0.3">
      <c r="A211" s="24" t="s">
        <v>202</v>
      </c>
      <c r="B211" s="25" t="s">
        <v>41</v>
      </c>
      <c r="C211" s="25" t="s">
        <v>41</v>
      </c>
      <c r="D211" s="25" t="s">
        <v>304</v>
      </c>
      <c r="E211" s="26" t="s">
        <v>308</v>
      </c>
      <c r="F211" s="27">
        <v>28</v>
      </c>
      <c r="G211" s="28">
        <f t="shared" si="21"/>
        <v>22.5</v>
      </c>
      <c r="H211" s="29">
        <v>24</v>
      </c>
      <c r="I211" s="29">
        <v>24</v>
      </c>
      <c r="J211" s="29">
        <v>24</v>
      </c>
      <c r="K211" s="30">
        <v>18</v>
      </c>
      <c r="L211" s="31">
        <f t="shared" si="22"/>
        <v>8.4997317500000005</v>
      </c>
      <c r="M211" s="32">
        <v>7.4406540000000003</v>
      </c>
      <c r="N211" s="32">
        <v>7.0465049999999998</v>
      </c>
      <c r="O211" s="32">
        <v>11.276415</v>
      </c>
      <c r="P211" s="33">
        <v>6.6463109999999999</v>
      </c>
      <c r="Q211" s="31">
        <f t="shared" si="23"/>
        <v>5.0574035000000004</v>
      </c>
      <c r="R211" s="32">
        <v>5.1027530000000008</v>
      </c>
      <c r="S211" s="32">
        <v>5.3202690000000006</v>
      </c>
      <c r="T211" s="32">
        <v>6.7645720000000003</v>
      </c>
      <c r="U211" s="33">
        <v>3.0420199999999999</v>
      </c>
      <c r="V211" s="31">
        <f t="shared" si="24"/>
        <v>0.76084700000000005</v>
      </c>
      <c r="W211" s="32">
        <v>0.17594000000000001</v>
      </c>
      <c r="X211" s="32">
        <v>0</v>
      </c>
      <c r="Y211" s="32">
        <v>1.8620479999999999</v>
      </c>
      <c r="Z211" s="33">
        <v>1.0054000000000001</v>
      </c>
      <c r="AA211" s="31">
        <f t="shared" si="25"/>
        <v>0.79452100000000003</v>
      </c>
      <c r="AB211" s="32">
        <v>0.99831400000000003</v>
      </c>
      <c r="AC211" s="33">
        <v>0.59072800000000003</v>
      </c>
      <c r="AD211" s="31">
        <f t="shared" si="26"/>
        <v>0.91196025000000014</v>
      </c>
      <c r="AE211" s="32">
        <v>1.1636470000000001</v>
      </c>
      <c r="AF211" s="32">
        <v>0.63550799999999996</v>
      </c>
      <c r="AG211" s="32">
        <v>0.54979500000000003</v>
      </c>
      <c r="AH211" s="33">
        <v>1.298891</v>
      </c>
      <c r="AI211" s="31">
        <f t="shared" si="27"/>
        <v>0.97499999999999987</v>
      </c>
      <c r="AJ211" s="32">
        <v>0</v>
      </c>
      <c r="AK211" s="32">
        <v>0.49999999999999928</v>
      </c>
      <c r="AL211" s="32">
        <v>2.1</v>
      </c>
      <c r="AM211" s="34">
        <v>1.3</v>
      </c>
    </row>
    <row r="212" spans="1:39" x14ac:dyDescent="0.3">
      <c r="A212" s="24" t="s">
        <v>202</v>
      </c>
      <c r="B212" s="25" t="s">
        <v>41</v>
      </c>
      <c r="C212" s="25" t="s">
        <v>41</v>
      </c>
      <c r="D212" s="25" t="s">
        <v>304</v>
      </c>
      <c r="E212" s="26" t="s">
        <v>309</v>
      </c>
      <c r="F212" s="27">
        <v>57</v>
      </c>
      <c r="G212" s="28">
        <f t="shared" si="21"/>
        <v>35</v>
      </c>
      <c r="H212" s="29">
        <v>39</v>
      </c>
      <c r="I212" s="29">
        <v>58</v>
      </c>
      <c r="J212" s="29">
        <v>22</v>
      </c>
      <c r="K212" s="30">
        <v>21</v>
      </c>
      <c r="L212" s="31">
        <f t="shared" si="22"/>
        <v>25.120871000000001</v>
      </c>
      <c r="M212" s="32">
        <v>18.102485999999999</v>
      </c>
      <c r="N212" s="32">
        <v>48.547494</v>
      </c>
      <c r="O212" s="32">
        <v>10.738078</v>
      </c>
      <c r="P212" s="33">
        <v>17.911653999999999</v>
      </c>
      <c r="Q212" s="31">
        <f t="shared" si="23"/>
        <v>6.2952689999999993</v>
      </c>
      <c r="R212" s="32">
        <v>10.650842000000001</v>
      </c>
      <c r="S212" s="32">
        <v>7.7934209999999986</v>
      </c>
      <c r="T212" s="32">
        <v>4.5389659999999994</v>
      </c>
      <c r="U212" s="33">
        <v>2.1978469999999999</v>
      </c>
      <c r="V212" s="31">
        <f t="shared" si="24"/>
        <v>14.938585</v>
      </c>
      <c r="W212" s="32">
        <v>4.3310499999999994</v>
      </c>
      <c r="X212" s="32">
        <v>37.158659999999998</v>
      </c>
      <c r="Y212" s="32">
        <v>4.9344800000000006</v>
      </c>
      <c r="Z212" s="33">
        <v>13.33015</v>
      </c>
      <c r="AA212" s="31">
        <f t="shared" si="25"/>
        <v>2.5918859999999997</v>
      </c>
      <c r="AB212" s="32">
        <v>2.988003</v>
      </c>
      <c r="AC212" s="33">
        <v>2.1957689999999999</v>
      </c>
      <c r="AD212" s="31">
        <f t="shared" si="26"/>
        <v>1.295131</v>
      </c>
      <c r="AE212" s="32">
        <v>0.13259099999999999</v>
      </c>
      <c r="AF212" s="32">
        <v>1.3996440000000001</v>
      </c>
      <c r="AG212" s="32">
        <v>1.264632</v>
      </c>
      <c r="AH212" s="33">
        <v>2.3836569999999999</v>
      </c>
      <c r="AI212" s="31">
        <f t="shared" si="27"/>
        <v>0</v>
      </c>
      <c r="AJ212" s="32">
        <v>0</v>
      </c>
      <c r="AK212" s="32">
        <v>0</v>
      </c>
      <c r="AL212" s="32">
        <v>0</v>
      </c>
      <c r="AM212" s="34">
        <v>0</v>
      </c>
    </row>
    <row r="213" spans="1:39" x14ac:dyDescent="0.3">
      <c r="A213" s="24" t="s">
        <v>202</v>
      </c>
      <c r="B213" s="25" t="s">
        <v>41</v>
      </c>
      <c r="C213" s="25" t="s">
        <v>41</v>
      </c>
      <c r="D213" s="25" t="s">
        <v>310</v>
      </c>
      <c r="E213" s="26" t="s">
        <v>311</v>
      </c>
      <c r="F213" s="27">
        <v>1</v>
      </c>
      <c r="G213" s="28">
        <f t="shared" si="21"/>
        <v>0</v>
      </c>
      <c r="H213" s="29">
        <v>0</v>
      </c>
      <c r="I213" s="29">
        <v>0</v>
      </c>
      <c r="J213" s="29">
        <v>0</v>
      </c>
      <c r="K213" s="30">
        <v>0</v>
      </c>
      <c r="L213" s="31">
        <f t="shared" si="22"/>
        <v>0</v>
      </c>
      <c r="M213" s="32">
        <v>0</v>
      </c>
      <c r="N213" s="32">
        <v>0</v>
      </c>
      <c r="O213" s="32">
        <v>0</v>
      </c>
      <c r="P213" s="33">
        <v>0</v>
      </c>
      <c r="Q213" s="31">
        <f t="shared" si="23"/>
        <v>0</v>
      </c>
      <c r="R213" s="32">
        <v>0</v>
      </c>
      <c r="S213" s="32">
        <v>0</v>
      </c>
      <c r="T213" s="32">
        <v>0</v>
      </c>
      <c r="U213" s="33">
        <v>0</v>
      </c>
      <c r="V213" s="31">
        <f t="shared" si="24"/>
        <v>0</v>
      </c>
      <c r="W213" s="32">
        <v>0</v>
      </c>
      <c r="X213" s="32">
        <v>0</v>
      </c>
      <c r="Y213" s="32">
        <v>0</v>
      </c>
      <c r="Z213" s="33">
        <v>0</v>
      </c>
      <c r="AA213" s="31">
        <f t="shared" si="25"/>
        <v>0</v>
      </c>
      <c r="AB213" s="32">
        <v>0</v>
      </c>
      <c r="AC213" s="33">
        <v>0</v>
      </c>
      <c r="AD213" s="31">
        <f t="shared" si="26"/>
        <v>0</v>
      </c>
      <c r="AE213" s="32">
        <v>0</v>
      </c>
      <c r="AF213" s="32">
        <v>0</v>
      </c>
      <c r="AG213" s="32">
        <v>0</v>
      </c>
      <c r="AH213" s="33">
        <v>0</v>
      </c>
      <c r="AI213" s="31">
        <f t="shared" si="27"/>
        <v>0</v>
      </c>
      <c r="AJ213" s="32">
        <v>0</v>
      </c>
      <c r="AK213" s="32">
        <v>0</v>
      </c>
      <c r="AL213" s="32">
        <v>0</v>
      </c>
      <c r="AM213" s="34">
        <v>0</v>
      </c>
    </row>
    <row r="214" spans="1:39" x14ac:dyDescent="0.3">
      <c r="A214" s="24" t="s">
        <v>202</v>
      </c>
      <c r="B214" s="25" t="s">
        <v>41</v>
      </c>
      <c r="C214" s="25" t="s">
        <v>41</v>
      </c>
      <c r="D214" s="25" t="s">
        <v>310</v>
      </c>
      <c r="E214" s="26" t="s">
        <v>312</v>
      </c>
      <c r="F214" s="27">
        <v>7</v>
      </c>
      <c r="G214" s="28">
        <f t="shared" si="21"/>
        <v>12.75</v>
      </c>
      <c r="H214" s="29">
        <v>22</v>
      </c>
      <c r="I214" s="29">
        <v>11</v>
      </c>
      <c r="J214" s="29">
        <v>8</v>
      </c>
      <c r="K214" s="30">
        <v>10</v>
      </c>
      <c r="L214" s="31">
        <f t="shared" si="22"/>
        <v>18.095905999999999</v>
      </c>
      <c r="M214" s="32">
        <v>37.238709999999998</v>
      </c>
      <c r="N214" s="32">
        <v>16.548264</v>
      </c>
      <c r="O214" s="32">
        <v>10.020600999999999</v>
      </c>
      <c r="P214" s="33">
        <v>8.5760490000000011</v>
      </c>
      <c r="Q214" s="31">
        <f t="shared" si="23"/>
        <v>0.40072025</v>
      </c>
      <c r="R214" s="32">
        <v>0</v>
      </c>
      <c r="S214" s="32">
        <v>0</v>
      </c>
      <c r="T214" s="32">
        <v>0</v>
      </c>
      <c r="U214" s="33">
        <v>1.602881</v>
      </c>
      <c r="V214" s="31">
        <f t="shared" si="24"/>
        <v>17.519674999999999</v>
      </c>
      <c r="W214" s="32">
        <v>37.238709999999998</v>
      </c>
      <c r="X214" s="32">
        <v>16.46303</v>
      </c>
      <c r="Y214" s="32">
        <v>9.6096800000000009</v>
      </c>
      <c r="Z214" s="33">
        <v>6.7672800000000004</v>
      </c>
      <c r="AA214" s="31">
        <f t="shared" si="25"/>
        <v>0</v>
      </c>
      <c r="AB214" s="32">
        <v>0</v>
      </c>
      <c r="AC214" s="33">
        <v>0</v>
      </c>
      <c r="AD214" s="31">
        <f t="shared" si="26"/>
        <v>0.17551074999999999</v>
      </c>
      <c r="AE214" s="32">
        <v>0</v>
      </c>
      <c r="AF214" s="32">
        <v>8.5234000000000004E-2</v>
      </c>
      <c r="AG214" s="32">
        <v>0.41092099999999998</v>
      </c>
      <c r="AH214" s="33">
        <v>0.20588799999999999</v>
      </c>
      <c r="AI214" s="31">
        <f t="shared" si="27"/>
        <v>1.8041124150158794E-16</v>
      </c>
      <c r="AJ214" s="32">
        <v>0</v>
      </c>
      <c r="AK214" s="32">
        <v>0</v>
      </c>
      <c r="AL214" s="32">
        <v>0</v>
      </c>
      <c r="AM214" s="34">
        <v>7.2164496600635175E-16</v>
      </c>
    </row>
    <row r="215" spans="1:39" x14ac:dyDescent="0.3">
      <c r="A215" s="24" t="s">
        <v>202</v>
      </c>
      <c r="B215" s="25" t="s">
        <v>41</v>
      </c>
      <c r="C215" s="25" t="s">
        <v>41</v>
      </c>
      <c r="D215" s="25" t="s">
        <v>310</v>
      </c>
      <c r="E215" s="26" t="s">
        <v>313</v>
      </c>
      <c r="F215" s="27">
        <v>2</v>
      </c>
      <c r="G215" s="28">
        <f t="shared" si="21"/>
        <v>0</v>
      </c>
      <c r="H215" s="29">
        <v>0</v>
      </c>
      <c r="I215" s="29">
        <v>0</v>
      </c>
      <c r="J215" s="29">
        <v>0</v>
      </c>
      <c r="K215" s="30">
        <v>0</v>
      </c>
      <c r="L215" s="31">
        <f t="shared" si="22"/>
        <v>0</v>
      </c>
      <c r="M215" s="32">
        <v>0</v>
      </c>
      <c r="N215" s="32">
        <v>0</v>
      </c>
      <c r="O215" s="32">
        <v>0</v>
      </c>
      <c r="P215" s="33">
        <v>0</v>
      </c>
      <c r="Q215" s="31">
        <f t="shared" si="23"/>
        <v>0</v>
      </c>
      <c r="R215" s="32">
        <v>0</v>
      </c>
      <c r="S215" s="32">
        <v>0</v>
      </c>
      <c r="T215" s="32">
        <v>0</v>
      </c>
      <c r="U215" s="33">
        <v>0</v>
      </c>
      <c r="V215" s="31">
        <f t="shared" si="24"/>
        <v>0</v>
      </c>
      <c r="W215" s="32">
        <v>0</v>
      </c>
      <c r="X215" s="32">
        <v>0</v>
      </c>
      <c r="Y215" s="32">
        <v>0</v>
      </c>
      <c r="Z215" s="33">
        <v>0</v>
      </c>
      <c r="AA215" s="31">
        <f t="shared" si="25"/>
        <v>0</v>
      </c>
      <c r="AB215" s="32">
        <v>0</v>
      </c>
      <c r="AC215" s="33">
        <v>0</v>
      </c>
      <c r="AD215" s="31">
        <f t="shared" si="26"/>
        <v>0</v>
      </c>
      <c r="AE215" s="32">
        <v>0</v>
      </c>
      <c r="AF215" s="32">
        <v>0</v>
      </c>
      <c r="AG215" s="32">
        <v>0</v>
      </c>
      <c r="AH215" s="33">
        <v>0</v>
      </c>
      <c r="AI215" s="31">
        <f t="shared" si="27"/>
        <v>0</v>
      </c>
      <c r="AJ215" s="32">
        <v>0</v>
      </c>
      <c r="AK215" s="32">
        <v>0</v>
      </c>
      <c r="AL215" s="32">
        <v>0</v>
      </c>
      <c r="AM215" s="34">
        <v>0</v>
      </c>
    </row>
    <row r="216" spans="1:39" x14ac:dyDescent="0.3">
      <c r="A216" s="24" t="s">
        <v>202</v>
      </c>
      <c r="B216" s="25" t="s">
        <v>41</v>
      </c>
      <c r="C216" s="25" t="s">
        <v>41</v>
      </c>
      <c r="D216" s="25" t="s">
        <v>310</v>
      </c>
      <c r="E216" s="26" t="s">
        <v>314</v>
      </c>
      <c r="F216" s="27">
        <v>19</v>
      </c>
      <c r="G216" s="28">
        <f t="shared" si="21"/>
        <v>1.75</v>
      </c>
      <c r="H216" s="29">
        <v>2</v>
      </c>
      <c r="I216" s="29">
        <v>0</v>
      </c>
      <c r="J216" s="29">
        <v>2</v>
      </c>
      <c r="K216" s="30">
        <v>3</v>
      </c>
      <c r="L216" s="31">
        <f t="shared" si="22"/>
        <v>0.56463825000000001</v>
      </c>
      <c r="M216" s="32">
        <v>0.40079500000000001</v>
      </c>
      <c r="N216" s="32">
        <v>0</v>
      </c>
      <c r="O216" s="32">
        <v>0.48593700000000001</v>
      </c>
      <c r="P216" s="33">
        <v>1.247026</v>
      </c>
      <c r="Q216" s="31">
        <f t="shared" si="23"/>
        <v>0.15720000000000001</v>
      </c>
      <c r="R216" s="32">
        <v>0.27600000000000002</v>
      </c>
      <c r="S216" s="32">
        <v>0</v>
      </c>
      <c r="T216" s="32">
        <v>0.3528</v>
      </c>
      <c r="U216" s="33">
        <v>0</v>
      </c>
      <c r="V216" s="31">
        <f t="shared" si="24"/>
        <v>0.251475</v>
      </c>
      <c r="W216" s="32">
        <v>0</v>
      </c>
      <c r="X216" s="32">
        <v>0</v>
      </c>
      <c r="Y216" s="32">
        <v>0</v>
      </c>
      <c r="Z216" s="33">
        <v>1.0059</v>
      </c>
      <c r="AA216" s="31">
        <f t="shared" si="25"/>
        <v>6.2397500000000002E-2</v>
      </c>
      <c r="AB216" s="32">
        <v>0.124795</v>
      </c>
      <c r="AC216" s="33">
        <v>0</v>
      </c>
      <c r="AD216" s="31">
        <f t="shared" si="26"/>
        <v>9.3565750000000003E-2</v>
      </c>
      <c r="AE216" s="32">
        <v>0</v>
      </c>
      <c r="AF216" s="32">
        <v>0</v>
      </c>
      <c r="AG216" s="32">
        <v>0.13313700000000001</v>
      </c>
      <c r="AH216" s="33">
        <v>0.24112600000000001</v>
      </c>
      <c r="AI216" s="31">
        <f t="shared" si="27"/>
        <v>0</v>
      </c>
      <c r="AJ216" s="32">
        <v>0</v>
      </c>
      <c r="AK216" s="32">
        <v>0</v>
      </c>
      <c r="AL216" s="32">
        <v>0</v>
      </c>
      <c r="AM216" s="34">
        <v>0</v>
      </c>
    </row>
    <row r="217" spans="1:39" x14ac:dyDescent="0.3">
      <c r="A217" s="24" t="s">
        <v>202</v>
      </c>
      <c r="B217" s="25" t="s">
        <v>41</v>
      </c>
      <c r="C217" s="25" t="s">
        <v>41</v>
      </c>
      <c r="D217" s="25" t="s">
        <v>310</v>
      </c>
      <c r="E217" s="26" t="s">
        <v>315</v>
      </c>
      <c r="F217" s="27">
        <v>4</v>
      </c>
      <c r="G217" s="28">
        <f t="shared" si="21"/>
        <v>2.5</v>
      </c>
      <c r="H217" s="29">
        <v>2</v>
      </c>
      <c r="I217" s="29">
        <v>1</v>
      </c>
      <c r="J217" s="29">
        <v>4</v>
      </c>
      <c r="K217" s="30">
        <v>3</v>
      </c>
      <c r="L217" s="31">
        <f t="shared" si="22"/>
        <v>1.67209725</v>
      </c>
      <c r="M217" s="32">
        <v>1.55867</v>
      </c>
      <c r="N217" s="32">
        <v>8.9550000000000005E-2</v>
      </c>
      <c r="O217" s="32">
        <v>3.0857209999999999</v>
      </c>
      <c r="P217" s="33">
        <v>1.8081799999999999</v>
      </c>
      <c r="Q217" s="31">
        <f t="shared" si="23"/>
        <v>1.00141825</v>
      </c>
      <c r="R217" s="32">
        <v>1.501952</v>
      </c>
      <c r="S217" s="32">
        <v>0</v>
      </c>
      <c r="T217" s="32">
        <v>2.5037210000000001</v>
      </c>
      <c r="U217" s="33">
        <v>0</v>
      </c>
      <c r="V217" s="31">
        <f t="shared" si="24"/>
        <v>0.59754499999999999</v>
      </c>
      <c r="W217" s="32">
        <v>0</v>
      </c>
      <c r="X217" s="32">
        <v>0</v>
      </c>
      <c r="Y217" s="32">
        <v>0.58199999999999996</v>
      </c>
      <c r="Z217" s="33">
        <v>1.8081799999999999</v>
      </c>
      <c r="AA217" s="31">
        <f t="shared" si="25"/>
        <v>7.3134000000000005E-2</v>
      </c>
      <c r="AB217" s="32">
        <v>5.6717999999999998E-2</v>
      </c>
      <c r="AC217" s="33">
        <v>8.9550000000000005E-2</v>
      </c>
      <c r="AD217" s="31">
        <f t="shared" si="26"/>
        <v>0</v>
      </c>
      <c r="AE217" s="32">
        <v>0</v>
      </c>
      <c r="AF217" s="32">
        <v>0</v>
      </c>
      <c r="AG217" s="32">
        <v>0</v>
      </c>
      <c r="AH217" s="33">
        <v>0</v>
      </c>
      <c r="AI217" s="31">
        <f t="shared" si="27"/>
        <v>1.214306433183765E-17</v>
      </c>
      <c r="AJ217" s="32">
        <v>4.8572257327350599E-17</v>
      </c>
      <c r="AK217" s="32">
        <v>0</v>
      </c>
      <c r="AL217" s="32">
        <v>0</v>
      </c>
      <c r="AM217" s="34">
        <v>0</v>
      </c>
    </row>
    <row r="218" spans="1:39" x14ac:dyDescent="0.3">
      <c r="A218" s="24" t="s">
        <v>202</v>
      </c>
      <c r="B218" s="25" t="s">
        <v>41</v>
      </c>
      <c r="C218" s="25" t="s">
        <v>41</v>
      </c>
      <c r="D218" s="25" t="s">
        <v>310</v>
      </c>
      <c r="E218" s="26" t="s">
        <v>316</v>
      </c>
      <c r="F218" s="27">
        <v>14</v>
      </c>
      <c r="G218" s="28">
        <f t="shared" si="21"/>
        <v>2</v>
      </c>
      <c r="H218" s="29">
        <v>2</v>
      </c>
      <c r="I218" s="29">
        <v>1</v>
      </c>
      <c r="J218" s="29">
        <v>3</v>
      </c>
      <c r="K218" s="30">
        <v>2</v>
      </c>
      <c r="L218" s="31">
        <f t="shared" si="22"/>
        <v>2.17985425</v>
      </c>
      <c r="M218" s="32">
        <v>2.001153</v>
      </c>
      <c r="N218" s="32">
        <v>3.2300000000000002E-2</v>
      </c>
      <c r="O218" s="32">
        <v>2.5758179999999999</v>
      </c>
      <c r="P218" s="33">
        <v>4.1101460000000003</v>
      </c>
      <c r="Q218" s="31">
        <f t="shared" si="23"/>
        <v>1.04827425</v>
      </c>
      <c r="R218" s="32">
        <v>2.001153</v>
      </c>
      <c r="S218" s="32">
        <v>0</v>
      </c>
      <c r="T218" s="32">
        <v>1.1012580000000001</v>
      </c>
      <c r="U218" s="33">
        <v>1.090686</v>
      </c>
      <c r="V218" s="31">
        <f t="shared" si="24"/>
        <v>1.123505</v>
      </c>
      <c r="W218" s="32">
        <v>0</v>
      </c>
      <c r="X218" s="32">
        <v>0</v>
      </c>
      <c r="Y218" s="32">
        <v>1.4745600000000001</v>
      </c>
      <c r="Z218" s="33">
        <v>3.01946</v>
      </c>
      <c r="AA218" s="31">
        <f t="shared" si="25"/>
        <v>0</v>
      </c>
      <c r="AB218" s="32">
        <v>0</v>
      </c>
      <c r="AC218" s="33">
        <v>0</v>
      </c>
      <c r="AD218" s="31">
        <f t="shared" si="26"/>
        <v>8.0750000000000006E-3</v>
      </c>
      <c r="AE218" s="32">
        <v>0</v>
      </c>
      <c r="AF218" s="32">
        <v>3.2300000000000002E-2</v>
      </c>
      <c r="AG218" s="32">
        <v>0</v>
      </c>
      <c r="AH218" s="33">
        <v>0</v>
      </c>
      <c r="AI218" s="31">
        <f t="shared" si="27"/>
        <v>1.1102230246251565E-16</v>
      </c>
      <c r="AJ218" s="32">
        <v>0</v>
      </c>
      <c r="AK218" s="32">
        <v>0</v>
      </c>
      <c r="AL218" s="32">
        <v>0</v>
      </c>
      <c r="AM218" s="34">
        <v>4.4408920985006262E-16</v>
      </c>
    </row>
    <row r="219" spans="1:39" x14ac:dyDescent="0.3">
      <c r="A219" s="24" t="s">
        <v>202</v>
      </c>
      <c r="B219" s="25" t="s">
        <v>41</v>
      </c>
      <c r="C219" s="25" t="s">
        <v>41</v>
      </c>
      <c r="D219" s="25" t="s">
        <v>310</v>
      </c>
      <c r="E219" s="26" t="s">
        <v>317</v>
      </c>
      <c r="F219" s="27">
        <v>5</v>
      </c>
      <c r="G219" s="28">
        <f t="shared" si="21"/>
        <v>0.75</v>
      </c>
      <c r="H219" s="29">
        <v>0</v>
      </c>
      <c r="I219" s="29">
        <v>2</v>
      </c>
      <c r="J219" s="29">
        <v>1</v>
      </c>
      <c r="K219" s="30">
        <v>0</v>
      </c>
      <c r="L219" s="31">
        <f t="shared" si="22"/>
        <v>0.59386499999999998</v>
      </c>
      <c r="M219" s="32">
        <v>0</v>
      </c>
      <c r="N219" s="32">
        <v>2.3348</v>
      </c>
      <c r="O219" s="32">
        <v>4.0660000000000002E-2</v>
      </c>
      <c r="P219" s="33">
        <v>0</v>
      </c>
      <c r="Q219" s="31">
        <f t="shared" si="23"/>
        <v>0</v>
      </c>
      <c r="R219" s="32">
        <v>0</v>
      </c>
      <c r="S219" s="32">
        <v>0</v>
      </c>
      <c r="T219" s="32">
        <v>0</v>
      </c>
      <c r="U219" s="33">
        <v>0</v>
      </c>
      <c r="V219" s="31">
        <f t="shared" si="24"/>
        <v>0.5837</v>
      </c>
      <c r="W219" s="32">
        <v>0</v>
      </c>
      <c r="X219" s="32">
        <v>2.3348</v>
      </c>
      <c r="Y219" s="32">
        <v>0</v>
      </c>
      <c r="Z219" s="33">
        <v>0</v>
      </c>
      <c r="AA219" s="31">
        <f t="shared" si="25"/>
        <v>0</v>
      </c>
      <c r="AB219" s="32">
        <v>0</v>
      </c>
      <c r="AC219" s="33">
        <v>0</v>
      </c>
      <c r="AD219" s="31">
        <f t="shared" si="26"/>
        <v>1.0165E-2</v>
      </c>
      <c r="AE219" s="32">
        <v>0</v>
      </c>
      <c r="AF219" s="32">
        <v>0</v>
      </c>
      <c r="AG219" s="32">
        <v>4.0660000000000002E-2</v>
      </c>
      <c r="AH219" s="33">
        <v>0</v>
      </c>
      <c r="AI219" s="31">
        <f t="shared" si="27"/>
        <v>0</v>
      </c>
      <c r="AJ219" s="32">
        <v>0</v>
      </c>
      <c r="AK219" s="32">
        <v>0</v>
      </c>
      <c r="AL219" s="32">
        <v>0</v>
      </c>
      <c r="AM219" s="34">
        <v>0</v>
      </c>
    </row>
    <row r="220" spans="1:39" x14ac:dyDescent="0.3">
      <c r="A220" s="24" t="s">
        <v>202</v>
      </c>
      <c r="B220" s="25" t="s">
        <v>41</v>
      </c>
      <c r="C220" s="25" t="s">
        <v>41</v>
      </c>
      <c r="D220" s="25" t="s">
        <v>310</v>
      </c>
      <c r="E220" s="26" t="s">
        <v>318</v>
      </c>
      <c r="F220" s="27">
        <v>27</v>
      </c>
      <c r="G220" s="28">
        <f t="shared" si="21"/>
        <v>8.75</v>
      </c>
      <c r="H220" s="29">
        <v>9</v>
      </c>
      <c r="I220" s="29">
        <v>10</v>
      </c>
      <c r="J220" s="29">
        <v>7</v>
      </c>
      <c r="K220" s="30">
        <v>9</v>
      </c>
      <c r="L220" s="31">
        <f t="shared" si="22"/>
        <v>3.4977119999999995</v>
      </c>
      <c r="M220" s="32">
        <v>2.8818290000000002</v>
      </c>
      <c r="N220" s="32">
        <v>4.3707710000000004</v>
      </c>
      <c r="O220" s="32">
        <v>3.0158179999999999</v>
      </c>
      <c r="P220" s="33">
        <v>2.795493</v>
      </c>
      <c r="Q220" s="31">
        <f t="shared" si="23"/>
        <v>1.6574759999999999</v>
      </c>
      <c r="R220" s="32">
        <v>0.30032999999999999</v>
      </c>
      <c r="S220" s="32">
        <v>1.5049699999999999</v>
      </c>
      <c r="T220" s="32">
        <v>2.6796950000000002</v>
      </c>
      <c r="U220" s="33">
        <v>2.1449090000000002</v>
      </c>
      <c r="V220" s="31">
        <f t="shared" si="24"/>
        <v>1.0428674999999998</v>
      </c>
      <c r="W220" s="32">
        <v>1.76749</v>
      </c>
      <c r="X220" s="32">
        <v>2.4039799999999998</v>
      </c>
      <c r="Y220" s="32">
        <v>0</v>
      </c>
      <c r="Z220" s="33">
        <v>0</v>
      </c>
      <c r="AA220" s="31">
        <f t="shared" si="25"/>
        <v>0.46346850000000001</v>
      </c>
      <c r="AB220" s="32">
        <v>0.66174500000000003</v>
      </c>
      <c r="AC220" s="33">
        <v>0.26519199999999998</v>
      </c>
      <c r="AD220" s="31">
        <f t="shared" si="26"/>
        <v>0.33389999999999997</v>
      </c>
      <c r="AE220" s="32">
        <v>0.15226400000000001</v>
      </c>
      <c r="AF220" s="32">
        <v>0.196629</v>
      </c>
      <c r="AG220" s="32">
        <v>0.33612300000000001</v>
      </c>
      <c r="AH220" s="33">
        <v>0.65058399999999994</v>
      </c>
      <c r="AI220" s="31">
        <f t="shared" si="27"/>
        <v>0</v>
      </c>
      <c r="AJ220" s="32">
        <v>0</v>
      </c>
      <c r="AK220" s="32">
        <v>0</v>
      </c>
      <c r="AL220" s="32">
        <v>0</v>
      </c>
      <c r="AM220" s="34">
        <v>0</v>
      </c>
    </row>
    <row r="221" spans="1:39" x14ac:dyDescent="0.3">
      <c r="A221" s="24" t="s">
        <v>202</v>
      </c>
      <c r="B221" s="25" t="s">
        <v>41</v>
      </c>
      <c r="C221" s="25" t="s">
        <v>41</v>
      </c>
      <c r="D221" s="25" t="s">
        <v>310</v>
      </c>
      <c r="E221" s="26" t="s">
        <v>319</v>
      </c>
      <c r="F221" s="27">
        <v>2</v>
      </c>
      <c r="G221" s="28">
        <f t="shared" si="21"/>
        <v>0</v>
      </c>
      <c r="H221" s="29">
        <v>0</v>
      </c>
      <c r="I221" s="29">
        <v>0</v>
      </c>
      <c r="J221" s="29">
        <v>0</v>
      </c>
      <c r="K221" s="30">
        <v>0</v>
      </c>
      <c r="L221" s="31">
        <f t="shared" si="22"/>
        <v>0</v>
      </c>
      <c r="M221" s="32">
        <v>0</v>
      </c>
      <c r="N221" s="32">
        <v>0</v>
      </c>
      <c r="O221" s="32">
        <v>0</v>
      </c>
      <c r="P221" s="33">
        <v>0</v>
      </c>
      <c r="Q221" s="31">
        <f t="shared" si="23"/>
        <v>0</v>
      </c>
      <c r="R221" s="32">
        <v>0</v>
      </c>
      <c r="S221" s="32">
        <v>0</v>
      </c>
      <c r="T221" s="32">
        <v>0</v>
      </c>
      <c r="U221" s="33">
        <v>0</v>
      </c>
      <c r="V221" s="31">
        <f t="shared" si="24"/>
        <v>0</v>
      </c>
      <c r="W221" s="32">
        <v>0</v>
      </c>
      <c r="X221" s="32">
        <v>0</v>
      </c>
      <c r="Y221" s="32">
        <v>0</v>
      </c>
      <c r="Z221" s="33">
        <v>0</v>
      </c>
      <c r="AA221" s="31">
        <f t="shared" si="25"/>
        <v>0</v>
      </c>
      <c r="AB221" s="32">
        <v>0</v>
      </c>
      <c r="AC221" s="33">
        <v>0</v>
      </c>
      <c r="AD221" s="31">
        <f t="shared" si="26"/>
        <v>0</v>
      </c>
      <c r="AE221" s="32">
        <v>0</v>
      </c>
      <c r="AF221" s="32">
        <v>0</v>
      </c>
      <c r="AG221" s="32">
        <v>0</v>
      </c>
      <c r="AH221" s="33">
        <v>0</v>
      </c>
      <c r="AI221" s="31">
        <f t="shared" si="27"/>
        <v>0</v>
      </c>
      <c r="AJ221" s="32">
        <v>0</v>
      </c>
      <c r="AK221" s="32">
        <v>0</v>
      </c>
      <c r="AL221" s="32">
        <v>0</v>
      </c>
      <c r="AM221" s="34">
        <v>0</v>
      </c>
    </row>
    <row r="222" spans="1:39" x14ac:dyDescent="0.3">
      <c r="A222" s="24" t="s">
        <v>202</v>
      </c>
      <c r="B222" s="25" t="s">
        <v>41</v>
      </c>
      <c r="C222" s="25" t="s">
        <v>41</v>
      </c>
      <c r="D222" s="25" t="s">
        <v>310</v>
      </c>
      <c r="E222" s="26" t="s">
        <v>320</v>
      </c>
      <c r="F222" s="27">
        <v>26</v>
      </c>
      <c r="G222" s="28">
        <f t="shared" si="21"/>
        <v>9.75</v>
      </c>
      <c r="H222" s="29">
        <v>10</v>
      </c>
      <c r="I222" s="29">
        <v>9</v>
      </c>
      <c r="J222" s="29">
        <v>5</v>
      </c>
      <c r="K222" s="30">
        <v>15</v>
      </c>
      <c r="L222" s="31">
        <f t="shared" si="22"/>
        <v>3.9538549999999995</v>
      </c>
      <c r="M222" s="32">
        <v>2.798300999999999</v>
      </c>
      <c r="N222" s="32">
        <v>3.924717999999999</v>
      </c>
      <c r="O222" s="32">
        <v>3.4592649999999998</v>
      </c>
      <c r="P222" s="33">
        <v>4.7378170000000006</v>
      </c>
      <c r="Q222" s="31">
        <f t="shared" si="23"/>
        <v>2.1642605000000001</v>
      </c>
      <c r="R222" s="32">
        <v>2.1375000000000002</v>
      </c>
      <c r="S222" s="32">
        <v>2.2151890000000001</v>
      </c>
      <c r="T222" s="32">
        <v>2.6016870000000001</v>
      </c>
      <c r="U222" s="33">
        <v>1.702666</v>
      </c>
      <c r="V222" s="31">
        <f t="shared" si="24"/>
        <v>1.0110299999999999</v>
      </c>
      <c r="W222" s="32">
        <v>0</v>
      </c>
      <c r="X222" s="32">
        <v>1.00912</v>
      </c>
      <c r="Y222" s="32">
        <v>0.70852999999999999</v>
      </c>
      <c r="Z222" s="33">
        <v>2.32647</v>
      </c>
      <c r="AA222" s="31">
        <f t="shared" si="25"/>
        <v>0.44765949999999999</v>
      </c>
      <c r="AB222" s="32">
        <v>0.66080099999999997</v>
      </c>
      <c r="AC222" s="33">
        <v>0.234518</v>
      </c>
      <c r="AD222" s="31">
        <f t="shared" si="26"/>
        <v>0.25590499999999999</v>
      </c>
      <c r="AE222" s="32">
        <v>0</v>
      </c>
      <c r="AF222" s="32">
        <v>0.16589100000000001</v>
      </c>
      <c r="AG222" s="32">
        <v>0.14904800000000001</v>
      </c>
      <c r="AH222" s="33">
        <v>0.70868100000000001</v>
      </c>
      <c r="AI222" s="31">
        <f t="shared" si="27"/>
        <v>7.4999999999999845E-2</v>
      </c>
      <c r="AJ222" s="32">
        <v>0</v>
      </c>
      <c r="AK222" s="32">
        <v>0.29999999999999938</v>
      </c>
      <c r="AL222" s="32">
        <v>0</v>
      </c>
      <c r="AM222" s="34">
        <v>0</v>
      </c>
    </row>
    <row r="223" spans="1:39" x14ac:dyDescent="0.3">
      <c r="A223" s="24" t="s">
        <v>202</v>
      </c>
      <c r="B223" s="25" t="s">
        <v>41</v>
      </c>
      <c r="C223" s="25" t="s">
        <v>41</v>
      </c>
      <c r="D223" s="25" t="s">
        <v>310</v>
      </c>
      <c r="E223" s="26" t="s">
        <v>321</v>
      </c>
      <c r="F223" s="27">
        <v>5</v>
      </c>
      <c r="G223" s="28">
        <f t="shared" si="21"/>
        <v>0.5</v>
      </c>
      <c r="H223" s="29">
        <v>1</v>
      </c>
      <c r="I223" s="29">
        <v>0</v>
      </c>
      <c r="J223" s="29">
        <v>0</v>
      </c>
      <c r="K223" s="30">
        <v>1</v>
      </c>
      <c r="L223" s="31">
        <f t="shared" si="22"/>
        <v>0.11784</v>
      </c>
      <c r="M223" s="32">
        <v>0.31296000000000002</v>
      </c>
      <c r="N223" s="32">
        <v>0</v>
      </c>
      <c r="O223" s="32">
        <v>0</v>
      </c>
      <c r="P223" s="33">
        <v>0.15840000000000001</v>
      </c>
      <c r="Q223" s="31">
        <f t="shared" si="23"/>
        <v>0.11784</v>
      </c>
      <c r="R223" s="32">
        <v>0.31296000000000002</v>
      </c>
      <c r="S223" s="32">
        <v>0</v>
      </c>
      <c r="T223" s="32">
        <v>0</v>
      </c>
      <c r="U223" s="33">
        <v>0.15840000000000001</v>
      </c>
      <c r="V223" s="31">
        <f t="shared" si="24"/>
        <v>0</v>
      </c>
      <c r="W223" s="32">
        <v>0</v>
      </c>
      <c r="X223" s="32">
        <v>0</v>
      </c>
      <c r="Y223" s="32">
        <v>0</v>
      </c>
      <c r="Z223" s="33">
        <v>0</v>
      </c>
      <c r="AA223" s="31">
        <f t="shared" si="25"/>
        <v>0</v>
      </c>
      <c r="AB223" s="32">
        <v>0</v>
      </c>
      <c r="AC223" s="33">
        <v>0</v>
      </c>
      <c r="AD223" s="31">
        <f t="shared" si="26"/>
        <v>0</v>
      </c>
      <c r="AE223" s="32">
        <v>0</v>
      </c>
      <c r="AF223" s="32">
        <v>0</v>
      </c>
      <c r="AG223" s="32">
        <v>0</v>
      </c>
      <c r="AH223" s="33">
        <v>0</v>
      </c>
      <c r="AI223" s="31">
        <f t="shared" si="27"/>
        <v>0</v>
      </c>
      <c r="AJ223" s="32">
        <v>0</v>
      </c>
      <c r="AK223" s="32">
        <v>0</v>
      </c>
      <c r="AL223" s="32">
        <v>0</v>
      </c>
      <c r="AM223" s="34">
        <v>0</v>
      </c>
    </row>
    <row r="224" spans="1:39" x14ac:dyDescent="0.3">
      <c r="A224" s="24" t="s">
        <v>202</v>
      </c>
      <c r="B224" s="25" t="s">
        <v>41</v>
      </c>
      <c r="C224" s="25" t="s">
        <v>41</v>
      </c>
      <c r="D224" s="25" t="s">
        <v>310</v>
      </c>
      <c r="E224" s="26" t="s">
        <v>322</v>
      </c>
      <c r="F224" s="27">
        <v>3</v>
      </c>
      <c r="G224" s="28">
        <f t="shared" si="21"/>
        <v>0.25</v>
      </c>
      <c r="H224" s="29">
        <v>0</v>
      </c>
      <c r="I224" s="29">
        <v>0</v>
      </c>
      <c r="J224" s="29">
        <v>0</v>
      </c>
      <c r="K224" s="30">
        <v>1</v>
      </c>
      <c r="L224" s="31">
        <f t="shared" si="22"/>
        <v>0.25032300000000002</v>
      </c>
      <c r="M224" s="32">
        <v>0</v>
      </c>
      <c r="N224" s="32">
        <v>0</v>
      </c>
      <c r="O224" s="32">
        <v>0</v>
      </c>
      <c r="P224" s="33">
        <v>1.0012920000000001</v>
      </c>
      <c r="Q224" s="31">
        <f t="shared" si="23"/>
        <v>0.25032300000000002</v>
      </c>
      <c r="R224" s="32">
        <v>0</v>
      </c>
      <c r="S224" s="32">
        <v>0</v>
      </c>
      <c r="T224" s="32">
        <v>0</v>
      </c>
      <c r="U224" s="33">
        <v>1.0012920000000001</v>
      </c>
      <c r="V224" s="31">
        <f t="shared" si="24"/>
        <v>0</v>
      </c>
      <c r="W224" s="32">
        <v>0</v>
      </c>
      <c r="X224" s="32">
        <v>0</v>
      </c>
      <c r="Y224" s="32">
        <v>0</v>
      </c>
      <c r="Z224" s="33">
        <v>0</v>
      </c>
      <c r="AA224" s="31">
        <f t="shared" si="25"/>
        <v>0</v>
      </c>
      <c r="AB224" s="32">
        <v>0</v>
      </c>
      <c r="AC224" s="33">
        <v>0</v>
      </c>
      <c r="AD224" s="31">
        <f t="shared" si="26"/>
        <v>0</v>
      </c>
      <c r="AE224" s="32">
        <v>0</v>
      </c>
      <c r="AF224" s="32">
        <v>0</v>
      </c>
      <c r="AG224" s="32">
        <v>0</v>
      </c>
      <c r="AH224" s="33">
        <v>0</v>
      </c>
      <c r="AI224" s="31">
        <f t="shared" si="27"/>
        <v>0</v>
      </c>
      <c r="AJ224" s="32">
        <v>0</v>
      </c>
      <c r="AK224" s="32">
        <v>0</v>
      </c>
      <c r="AL224" s="32">
        <v>0</v>
      </c>
      <c r="AM224" s="34">
        <v>0</v>
      </c>
    </row>
    <row r="225" spans="1:39" x14ac:dyDescent="0.3">
      <c r="A225" s="24" t="s">
        <v>202</v>
      </c>
      <c r="B225" s="25" t="s">
        <v>41</v>
      </c>
      <c r="C225" s="25" t="s">
        <v>41</v>
      </c>
      <c r="D225" s="25" t="s">
        <v>310</v>
      </c>
      <c r="E225" s="26" t="s">
        <v>323</v>
      </c>
      <c r="F225" s="27">
        <v>1</v>
      </c>
      <c r="G225" s="28">
        <f t="shared" si="21"/>
        <v>0</v>
      </c>
      <c r="H225" s="29">
        <v>0</v>
      </c>
      <c r="I225" s="29">
        <v>0</v>
      </c>
      <c r="J225" s="29">
        <v>0</v>
      </c>
      <c r="K225" s="30">
        <v>0</v>
      </c>
      <c r="L225" s="31">
        <f t="shared" si="22"/>
        <v>0</v>
      </c>
      <c r="M225" s="32">
        <v>0</v>
      </c>
      <c r="N225" s="32">
        <v>0</v>
      </c>
      <c r="O225" s="32">
        <v>0</v>
      </c>
      <c r="P225" s="33">
        <v>0</v>
      </c>
      <c r="Q225" s="31">
        <f t="shared" si="23"/>
        <v>0</v>
      </c>
      <c r="R225" s="32">
        <v>0</v>
      </c>
      <c r="S225" s="32">
        <v>0</v>
      </c>
      <c r="T225" s="32">
        <v>0</v>
      </c>
      <c r="U225" s="33">
        <v>0</v>
      </c>
      <c r="V225" s="31">
        <f t="shared" si="24"/>
        <v>0</v>
      </c>
      <c r="W225" s="32">
        <v>0</v>
      </c>
      <c r="X225" s="32">
        <v>0</v>
      </c>
      <c r="Y225" s="32">
        <v>0</v>
      </c>
      <c r="Z225" s="33">
        <v>0</v>
      </c>
      <c r="AA225" s="31">
        <f t="shared" si="25"/>
        <v>0</v>
      </c>
      <c r="AB225" s="32">
        <v>0</v>
      </c>
      <c r="AC225" s="33">
        <v>0</v>
      </c>
      <c r="AD225" s="31">
        <f t="shared" si="26"/>
        <v>0</v>
      </c>
      <c r="AE225" s="32">
        <v>0</v>
      </c>
      <c r="AF225" s="32">
        <v>0</v>
      </c>
      <c r="AG225" s="32">
        <v>0</v>
      </c>
      <c r="AH225" s="33">
        <v>0</v>
      </c>
      <c r="AI225" s="31">
        <f t="shared" si="27"/>
        <v>0</v>
      </c>
      <c r="AJ225" s="32">
        <v>0</v>
      </c>
      <c r="AK225" s="32">
        <v>0</v>
      </c>
      <c r="AL225" s="32">
        <v>0</v>
      </c>
      <c r="AM225" s="34">
        <v>0</v>
      </c>
    </row>
    <row r="226" spans="1:39" x14ac:dyDescent="0.3">
      <c r="A226" s="24" t="s">
        <v>202</v>
      </c>
      <c r="B226" s="25" t="s">
        <v>41</v>
      </c>
      <c r="C226" s="25" t="s">
        <v>41</v>
      </c>
      <c r="D226" s="25" t="s">
        <v>310</v>
      </c>
      <c r="E226" s="26" t="s">
        <v>324</v>
      </c>
      <c r="F226" s="27">
        <v>4</v>
      </c>
      <c r="G226" s="28">
        <f t="shared" si="21"/>
        <v>0.25</v>
      </c>
      <c r="H226" s="29">
        <v>1</v>
      </c>
      <c r="I226" s="29">
        <v>0</v>
      </c>
      <c r="J226" s="29">
        <v>0</v>
      </c>
      <c r="K226" s="30">
        <v>0</v>
      </c>
      <c r="L226" s="31">
        <f t="shared" si="22"/>
        <v>6.7457749999999997E-2</v>
      </c>
      <c r="M226" s="32">
        <v>0.26983099999999999</v>
      </c>
      <c r="N226" s="32">
        <v>0</v>
      </c>
      <c r="O226" s="32">
        <v>0</v>
      </c>
      <c r="P226" s="33">
        <v>0</v>
      </c>
      <c r="Q226" s="31">
        <f t="shared" si="23"/>
        <v>0</v>
      </c>
      <c r="R226" s="32">
        <v>0</v>
      </c>
      <c r="S226" s="32">
        <v>0</v>
      </c>
      <c r="T226" s="32">
        <v>0</v>
      </c>
      <c r="U226" s="33">
        <v>0</v>
      </c>
      <c r="V226" s="31">
        <f t="shared" si="24"/>
        <v>0</v>
      </c>
      <c r="W226" s="32">
        <v>0</v>
      </c>
      <c r="X226" s="32">
        <v>0</v>
      </c>
      <c r="Y226" s="32">
        <v>0</v>
      </c>
      <c r="Z226" s="33">
        <v>0</v>
      </c>
      <c r="AA226" s="31">
        <f t="shared" si="25"/>
        <v>0</v>
      </c>
      <c r="AB226" s="32">
        <v>0</v>
      </c>
      <c r="AC226" s="33">
        <v>0</v>
      </c>
      <c r="AD226" s="31">
        <f t="shared" si="26"/>
        <v>6.7457749999999997E-2</v>
      </c>
      <c r="AE226" s="32">
        <v>0.26983099999999999</v>
      </c>
      <c r="AF226" s="32">
        <v>0</v>
      </c>
      <c r="AG226" s="32">
        <v>0</v>
      </c>
      <c r="AH226" s="33">
        <v>0</v>
      </c>
      <c r="AI226" s="31">
        <f t="shared" si="27"/>
        <v>0</v>
      </c>
      <c r="AJ226" s="32">
        <v>0</v>
      </c>
      <c r="AK226" s="32">
        <v>0</v>
      </c>
      <c r="AL226" s="32">
        <v>0</v>
      </c>
      <c r="AM226" s="34">
        <v>0</v>
      </c>
    </row>
    <row r="227" spans="1:39" x14ac:dyDescent="0.3">
      <c r="A227" s="24" t="s">
        <v>202</v>
      </c>
      <c r="B227" s="25" t="s">
        <v>23</v>
      </c>
      <c r="C227" s="25" t="s">
        <v>23</v>
      </c>
      <c r="D227" s="25" t="s">
        <v>325</v>
      </c>
      <c r="E227" s="26" t="s">
        <v>326</v>
      </c>
      <c r="F227" s="27">
        <v>14</v>
      </c>
      <c r="G227" s="28">
        <f t="shared" si="21"/>
        <v>6.5</v>
      </c>
      <c r="H227" s="29">
        <v>5</v>
      </c>
      <c r="I227" s="29">
        <v>15</v>
      </c>
      <c r="J227" s="29">
        <v>1</v>
      </c>
      <c r="K227" s="30">
        <v>5</v>
      </c>
      <c r="L227" s="31">
        <f t="shared" si="22"/>
        <v>3.4166690000000006</v>
      </c>
      <c r="M227" s="32">
        <v>0.80042999999999986</v>
      </c>
      <c r="N227" s="32">
        <v>8.7949770000000012</v>
      </c>
      <c r="O227" s="32">
        <v>0.70377999999999996</v>
      </c>
      <c r="P227" s="33">
        <v>2.255652</v>
      </c>
      <c r="Q227" s="31">
        <f t="shared" si="23"/>
        <v>1.13354675</v>
      </c>
      <c r="R227" s="32">
        <v>0</v>
      </c>
      <c r="S227" s="32">
        <v>2.3280949999999998</v>
      </c>
      <c r="T227" s="32">
        <v>0.70377999999999996</v>
      </c>
      <c r="U227" s="33">
        <v>1.5023120000000001</v>
      </c>
      <c r="V227" s="31">
        <f t="shared" si="24"/>
        <v>1.4964649999999999</v>
      </c>
      <c r="W227" s="32">
        <v>0</v>
      </c>
      <c r="X227" s="32">
        <v>5.6772</v>
      </c>
      <c r="Y227" s="32">
        <v>0</v>
      </c>
      <c r="Z227" s="33">
        <v>0.30865999999999999</v>
      </c>
      <c r="AA227" s="31">
        <f t="shared" si="25"/>
        <v>0.55591849999999998</v>
      </c>
      <c r="AB227" s="32">
        <v>0.61071999999999993</v>
      </c>
      <c r="AC227" s="33">
        <v>0.50111700000000003</v>
      </c>
      <c r="AD227" s="31">
        <f t="shared" si="26"/>
        <v>0.23073874999999999</v>
      </c>
      <c r="AE227" s="32">
        <v>0.18970999999999999</v>
      </c>
      <c r="AF227" s="32">
        <v>0.28856500000000002</v>
      </c>
      <c r="AG227" s="32">
        <v>0</v>
      </c>
      <c r="AH227" s="33">
        <v>0.44468000000000002</v>
      </c>
      <c r="AI227" s="31">
        <f t="shared" si="27"/>
        <v>4.4408920985006252E-16</v>
      </c>
      <c r="AJ227" s="32">
        <v>0</v>
      </c>
      <c r="AK227" s="32">
        <v>1.7763568394002501E-15</v>
      </c>
      <c r="AL227" s="32">
        <v>0</v>
      </c>
      <c r="AM227" s="34">
        <v>0</v>
      </c>
    </row>
    <row r="228" spans="1:39" x14ac:dyDescent="0.3">
      <c r="A228" s="24" t="s">
        <v>202</v>
      </c>
      <c r="B228" s="25" t="s">
        <v>23</v>
      </c>
      <c r="C228" s="25" t="s">
        <v>23</v>
      </c>
      <c r="D228" s="25" t="s">
        <v>310</v>
      </c>
      <c r="E228" s="26" t="s">
        <v>327</v>
      </c>
      <c r="F228" s="27">
        <v>84</v>
      </c>
      <c r="G228" s="28">
        <f t="shared" si="21"/>
        <v>49.5</v>
      </c>
      <c r="H228" s="29">
        <v>57</v>
      </c>
      <c r="I228" s="29">
        <v>60</v>
      </c>
      <c r="J228" s="29">
        <v>42</v>
      </c>
      <c r="K228" s="30">
        <v>39</v>
      </c>
      <c r="L228" s="31">
        <f t="shared" si="22"/>
        <v>21.543349750000001</v>
      </c>
      <c r="M228" s="32">
        <v>31.969025999999999</v>
      </c>
      <c r="N228" s="32">
        <v>20.310185000000001</v>
      </c>
      <c r="O228" s="32">
        <v>15.765307999999999</v>
      </c>
      <c r="P228" s="33">
        <v>13.494099</v>
      </c>
      <c r="Q228" s="31">
        <f t="shared" si="23"/>
        <v>7.2928357500000001</v>
      </c>
      <c r="R228" s="32">
        <v>8.128247</v>
      </c>
      <c r="S228" s="32">
        <v>6.1222180000000002</v>
      </c>
      <c r="T228" s="32">
        <v>9.691217</v>
      </c>
      <c r="U228" s="33">
        <v>5.2296610000000001</v>
      </c>
      <c r="V228" s="31">
        <f t="shared" si="24"/>
        <v>9.7111892499999986</v>
      </c>
      <c r="W228" s="32">
        <v>19.573139999999999</v>
      </c>
      <c r="X228" s="32">
        <v>11.779074</v>
      </c>
      <c r="Y228" s="32">
        <v>2.856122</v>
      </c>
      <c r="Z228" s="33">
        <v>4.6364210000000003</v>
      </c>
      <c r="AA228" s="31">
        <f t="shared" si="25"/>
        <v>2.3173905000000001</v>
      </c>
      <c r="AB228" s="32">
        <v>2.910917</v>
      </c>
      <c r="AC228" s="33">
        <v>1.7238640000000001</v>
      </c>
      <c r="AD228" s="31">
        <f t="shared" si="26"/>
        <v>1.9719342499999999</v>
      </c>
      <c r="AE228" s="32">
        <v>1.356722</v>
      </c>
      <c r="AF228" s="32">
        <v>0.685029</v>
      </c>
      <c r="AG228" s="32">
        <v>3.2179690000000001</v>
      </c>
      <c r="AH228" s="33">
        <v>2.6280169999999998</v>
      </c>
      <c r="AI228" s="31">
        <f t="shared" si="27"/>
        <v>0.24999999999999956</v>
      </c>
      <c r="AJ228" s="32">
        <v>0</v>
      </c>
      <c r="AK228" s="32">
        <v>0</v>
      </c>
      <c r="AL228" s="32">
        <v>0</v>
      </c>
      <c r="AM228" s="34">
        <v>0.99999999999999822</v>
      </c>
    </row>
    <row r="229" spans="1:39" x14ac:dyDescent="0.3">
      <c r="A229" s="24" t="s">
        <v>202</v>
      </c>
      <c r="B229" s="25" t="s">
        <v>23</v>
      </c>
      <c r="C229" s="25" t="s">
        <v>23</v>
      </c>
      <c r="D229" s="25" t="s">
        <v>328</v>
      </c>
      <c r="E229" s="26" t="s">
        <v>329</v>
      </c>
      <c r="F229" s="27">
        <v>1</v>
      </c>
      <c r="G229" s="28">
        <f t="shared" si="21"/>
        <v>0</v>
      </c>
      <c r="H229" s="29">
        <v>0</v>
      </c>
      <c r="I229" s="29">
        <v>0</v>
      </c>
      <c r="J229" s="29">
        <v>0</v>
      </c>
      <c r="K229" s="30">
        <v>0</v>
      </c>
      <c r="L229" s="31">
        <f t="shared" si="22"/>
        <v>0</v>
      </c>
      <c r="M229" s="32">
        <v>0</v>
      </c>
      <c r="N229" s="32">
        <v>0</v>
      </c>
      <c r="O229" s="32">
        <v>0</v>
      </c>
      <c r="P229" s="33">
        <v>0</v>
      </c>
      <c r="Q229" s="31">
        <f t="shared" si="23"/>
        <v>0</v>
      </c>
      <c r="R229" s="32">
        <v>0</v>
      </c>
      <c r="S229" s="32">
        <v>0</v>
      </c>
      <c r="T229" s="32">
        <v>0</v>
      </c>
      <c r="U229" s="33">
        <v>0</v>
      </c>
      <c r="V229" s="31">
        <f t="shared" si="24"/>
        <v>0</v>
      </c>
      <c r="W229" s="32">
        <v>0</v>
      </c>
      <c r="X229" s="32">
        <v>0</v>
      </c>
      <c r="Y229" s="32">
        <v>0</v>
      </c>
      <c r="Z229" s="33">
        <v>0</v>
      </c>
      <c r="AA229" s="31">
        <f t="shared" si="25"/>
        <v>0</v>
      </c>
      <c r="AB229" s="32">
        <v>0</v>
      </c>
      <c r="AC229" s="33">
        <v>0</v>
      </c>
      <c r="AD229" s="31">
        <f t="shared" si="26"/>
        <v>0</v>
      </c>
      <c r="AE229" s="32">
        <v>0</v>
      </c>
      <c r="AF229" s="32">
        <v>0</v>
      </c>
      <c r="AG229" s="32">
        <v>0</v>
      </c>
      <c r="AH229" s="33">
        <v>0</v>
      </c>
      <c r="AI229" s="31">
        <f t="shared" si="27"/>
        <v>0</v>
      </c>
      <c r="AJ229" s="32">
        <v>0</v>
      </c>
      <c r="AK229" s="32">
        <v>0</v>
      </c>
      <c r="AL229" s="32">
        <v>0</v>
      </c>
      <c r="AM229" s="34">
        <v>0</v>
      </c>
    </row>
    <row r="230" spans="1:39" x14ac:dyDescent="0.3">
      <c r="A230" s="24" t="s">
        <v>202</v>
      </c>
      <c r="B230" s="25" t="s">
        <v>23</v>
      </c>
      <c r="C230" s="25" t="s">
        <v>23</v>
      </c>
      <c r="D230" s="25" t="s">
        <v>328</v>
      </c>
      <c r="E230" s="26" t="s">
        <v>330</v>
      </c>
      <c r="F230" s="27">
        <v>1</v>
      </c>
      <c r="G230" s="28">
        <f t="shared" si="21"/>
        <v>0</v>
      </c>
      <c r="H230" s="29">
        <v>0</v>
      </c>
      <c r="I230" s="29">
        <v>0</v>
      </c>
      <c r="J230" s="29">
        <v>0</v>
      </c>
      <c r="K230" s="30">
        <v>0</v>
      </c>
      <c r="L230" s="31">
        <f t="shared" si="22"/>
        <v>0</v>
      </c>
      <c r="M230" s="32">
        <v>0</v>
      </c>
      <c r="N230" s="32">
        <v>0</v>
      </c>
      <c r="O230" s="32">
        <v>0</v>
      </c>
      <c r="P230" s="33">
        <v>0</v>
      </c>
      <c r="Q230" s="31">
        <f t="shared" si="23"/>
        <v>0</v>
      </c>
      <c r="R230" s="32">
        <v>0</v>
      </c>
      <c r="S230" s="32">
        <v>0</v>
      </c>
      <c r="T230" s="32">
        <v>0</v>
      </c>
      <c r="U230" s="33">
        <v>0</v>
      </c>
      <c r="V230" s="31">
        <f t="shared" si="24"/>
        <v>0</v>
      </c>
      <c r="W230" s="32">
        <v>0</v>
      </c>
      <c r="X230" s="32">
        <v>0</v>
      </c>
      <c r="Y230" s="32">
        <v>0</v>
      </c>
      <c r="Z230" s="33">
        <v>0</v>
      </c>
      <c r="AA230" s="31">
        <f t="shared" si="25"/>
        <v>0</v>
      </c>
      <c r="AB230" s="32">
        <v>0</v>
      </c>
      <c r="AC230" s="33">
        <v>0</v>
      </c>
      <c r="AD230" s="31">
        <f t="shared" si="26"/>
        <v>0</v>
      </c>
      <c r="AE230" s="32">
        <v>0</v>
      </c>
      <c r="AF230" s="32">
        <v>0</v>
      </c>
      <c r="AG230" s="32">
        <v>0</v>
      </c>
      <c r="AH230" s="33">
        <v>0</v>
      </c>
      <c r="AI230" s="31">
        <f t="shared" si="27"/>
        <v>0</v>
      </c>
      <c r="AJ230" s="32">
        <v>0</v>
      </c>
      <c r="AK230" s="32">
        <v>0</v>
      </c>
      <c r="AL230" s="32">
        <v>0</v>
      </c>
      <c r="AM230" s="34">
        <v>0</v>
      </c>
    </row>
    <row r="231" spans="1:39" x14ac:dyDescent="0.3">
      <c r="A231" s="24" t="s">
        <v>202</v>
      </c>
      <c r="B231" s="25" t="s">
        <v>23</v>
      </c>
      <c r="C231" s="25" t="s">
        <v>23</v>
      </c>
      <c r="D231" s="25" t="s">
        <v>328</v>
      </c>
      <c r="E231" s="26" t="s">
        <v>331</v>
      </c>
      <c r="F231" s="27">
        <v>3</v>
      </c>
      <c r="G231" s="28">
        <f t="shared" si="21"/>
        <v>2</v>
      </c>
      <c r="H231" s="29">
        <v>0</v>
      </c>
      <c r="I231" s="29">
        <v>2</v>
      </c>
      <c r="J231" s="29">
        <v>4</v>
      </c>
      <c r="K231" s="30">
        <v>2</v>
      </c>
      <c r="L231" s="31">
        <f t="shared" si="22"/>
        <v>1.3463449999999999</v>
      </c>
      <c r="M231" s="32">
        <v>0</v>
      </c>
      <c r="N231" s="32">
        <v>2.0087799999999998</v>
      </c>
      <c r="O231" s="32">
        <v>2.7618499999999999</v>
      </c>
      <c r="P231" s="33">
        <v>0.61475000000000002</v>
      </c>
      <c r="Q231" s="31">
        <f t="shared" si="23"/>
        <v>0.4358725</v>
      </c>
      <c r="R231" s="32">
        <v>0</v>
      </c>
      <c r="S231" s="32">
        <v>0</v>
      </c>
      <c r="T231" s="32">
        <v>1.24264</v>
      </c>
      <c r="U231" s="33">
        <v>0.50085000000000002</v>
      </c>
      <c r="V231" s="31">
        <f t="shared" si="24"/>
        <v>0.91047250000000002</v>
      </c>
      <c r="W231" s="32">
        <v>0</v>
      </c>
      <c r="X231" s="32">
        <v>2.0087799999999998</v>
      </c>
      <c r="Y231" s="32">
        <v>1.5192099999999999</v>
      </c>
      <c r="Z231" s="33">
        <v>0.1139</v>
      </c>
      <c r="AA231" s="31">
        <f t="shared" si="25"/>
        <v>0</v>
      </c>
      <c r="AB231" s="32">
        <v>0</v>
      </c>
      <c r="AC231" s="33">
        <v>0</v>
      </c>
      <c r="AD231" s="31">
        <f t="shared" si="26"/>
        <v>0</v>
      </c>
      <c r="AE231" s="32">
        <v>0</v>
      </c>
      <c r="AF231" s="32">
        <v>0</v>
      </c>
      <c r="AG231" s="32">
        <v>0</v>
      </c>
      <c r="AH231" s="33">
        <v>0</v>
      </c>
      <c r="AI231" s="31">
        <f t="shared" si="27"/>
        <v>0</v>
      </c>
      <c r="AJ231" s="32">
        <v>0</v>
      </c>
      <c r="AK231" s="32">
        <v>0</v>
      </c>
      <c r="AL231" s="32">
        <v>0</v>
      </c>
      <c r="AM231" s="34">
        <v>0</v>
      </c>
    </row>
    <row r="232" spans="1:39" x14ac:dyDescent="0.3">
      <c r="A232" s="24" t="s">
        <v>202</v>
      </c>
      <c r="B232" s="25" t="s">
        <v>23</v>
      </c>
      <c r="C232" s="25" t="s">
        <v>23</v>
      </c>
      <c r="D232" s="25" t="s">
        <v>328</v>
      </c>
      <c r="E232" s="26" t="s">
        <v>332</v>
      </c>
      <c r="F232" s="27">
        <v>4</v>
      </c>
      <c r="G232" s="28">
        <f t="shared" si="21"/>
        <v>2.5</v>
      </c>
      <c r="H232" s="29">
        <v>0</v>
      </c>
      <c r="I232" s="29">
        <v>0</v>
      </c>
      <c r="J232" s="29">
        <v>4</v>
      </c>
      <c r="K232" s="30">
        <v>6</v>
      </c>
      <c r="L232" s="31">
        <f t="shared" si="22"/>
        <v>1.6982377500000001</v>
      </c>
      <c r="M232" s="32">
        <v>0</v>
      </c>
      <c r="N232" s="32">
        <v>0</v>
      </c>
      <c r="O232" s="32">
        <v>2.7120340000000001</v>
      </c>
      <c r="P232" s="33">
        <v>4.0809170000000003</v>
      </c>
      <c r="Q232" s="31">
        <f t="shared" si="23"/>
        <v>1.5544072500000001</v>
      </c>
      <c r="R232" s="32">
        <v>0</v>
      </c>
      <c r="S232" s="32">
        <v>0</v>
      </c>
      <c r="T232" s="32">
        <v>2.5002960000000001</v>
      </c>
      <c r="U232" s="33">
        <v>3.717333</v>
      </c>
      <c r="V232" s="31">
        <f t="shared" si="24"/>
        <v>0</v>
      </c>
      <c r="W232" s="32">
        <v>0</v>
      </c>
      <c r="X232" s="32">
        <v>0</v>
      </c>
      <c r="Y232" s="32">
        <v>0</v>
      </c>
      <c r="Z232" s="33">
        <v>0</v>
      </c>
      <c r="AA232" s="31">
        <f t="shared" si="25"/>
        <v>0</v>
      </c>
      <c r="AB232" s="32">
        <v>0</v>
      </c>
      <c r="AC232" s="33">
        <v>0</v>
      </c>
      <c r="AD232" s="31">
        <f t="shared" si="26"/>
        <v>0.1438305</v>
      </c>
      <c r="AE232" s="32">
        <v>0</v>
      </c>
      <c r="AF232" s="32">
        <v>0</v>
      </c>
      <c r="AG232" s="32">
        <v>0.21173800000000001</v>
      </c>
      <c r="AH232" s="33">
        <v>0.36358400000000002</v>
      </c>
      <c r="AI232" s="31">
        <f t="shared" si="27"/>
        <v>0</v>
      </c>
      <c r="AJ232" s="32">
        <v>0</v>
      </c>
      <c r="AK232" s="32">
        <v>0</v>
      </c>
      <c r="AL232" s="32">
        <v>0</v>
      </c>
      <c r="AM232" s="34">
        <v>0</v>
      </c>
    </row>
    <row r="233" spans="1:39" x14ac:dyDescent="0.3">
      <c r="A233" s="24" t="s">
        <v>202</v>
      </c>
      <c r="B233" s="25" t="s">
        <v>23</v>
      </c>
      <c r="C233" s="25" t="s">
        <v>23</v>
      </c>
      <c r="D233" s="25" t="s">
        <v>328</v>
      </c>
      <c r="E233" s="26" t="s">
        <v>333</v>
      </c>
      <c r="F233" s="27">
        <v>5</v>
      </c>
      <c r="G233" s="28">
        <f t="shared" si="21"/>
        <v>0.75</v>
      </c>
      <c r="H233" s="29">
        <v>2</v>
      </c>
      <c r="I233" s="29">
        <v>0</v>
      </c>
      <c r="J233" s="29">
        <v>0</v>
      </c>
      <c r="K233" s="30">
        <v>1</v>
      </c>
      <c r="L233" s="31">
        <f t="shared" si="22"/>
        <v>0.22234199999999998</v>
      </c>
      <c r="M233" s="32">
        <v>0.359406</v>
      </c>
      <c r="N233" s="32">
        <v>0</v>
      </c>
      <c r="O233" s="32">
        <v>0</v>
      </c>
      <c r="P233" s="33">
        <v>0.26790199999999997</v>
      </c>
      <c r="Q233" s="31">
        <f t="shared" si="23"/>
        <v>0</v>
      </c>
      <c r="R233" s="32">
        <v>0</v>
      </c>
      <c r="S233" s="32">
        <v>0</v>
      </c>
      <c r="T233" s="32">
        <v>0</v>
      </c>
      <c r="U233" s="33">
        <v>0</v>
      </c>
      <c r="V233" s="31">
        <f t="shared" si="24"/>
        <v>0</v>
      </c>
      <c r="W233" s="32">
        <v>0</v>
      </c>
      <c r="X233" s="32">
        <v>0</v>
      </c>
      <c r="Y233" s="32">
        <v>0</v>
      </c>
      <c r="Z233" s="33">
        <v>0</v>
      </c>
      <c r="AA233" s="31">
        <f t="shared" si="25"/>
        <v>0.13103000000000001</v>
      </c>
      <c r="AB233" s="32">
        <v>0.26206000000000002</v>
      </c>
      <c r="AC233" s="33">
        <v>0</v>
      </c>
      <c r="AD233" s="31">
        <f t="shared" si="26"/>
        <v>9.131199999999999E-2</v>
      </c>
      <c r="AE233" s="32">
        <v>9.7346000000000002E-2</v>
      </c>
      <c r="AF233" s="32">
        <v>0</v>
      </c>
      <c r="AG233" s="32">
        <v>0</v>
      </c>
      <c r="AH233" s="33">
        <v>0.26790199999999997</v>
      </c>
      <c r="AI233" s="31">
        <f t="shared" si="27"/>
        <v>0</v>
      </c>
      <c r="AJ233" s="32">
        <v>0</v>
      </c>
      <c r="AK233" s="32">
        <v>0</v>
      </c>
      <c r="AL233" s="32">
        <v>0</v>
      </c>
      <c r="AM233" s="34">
        <v>0</v>
      </c>
    </row>
    <row r="234" spans="1:39" x14ac:dyDescent="0.3">
      <c r="A234" s="24" t="s">
        <v>202</v>
      </c>
      <c r="B234" s="25" t="s">
        <v>23</v>
      </c>
      <c r="C234" s="25" t="s">
        <v>23</v>
      </c>
      <c r="D234" s="25" t="s">
        <v>328</v>
      </c>
      <c r="E234" s="26" t="s">
        <v>334</v>
      </c>
      <c r="F234" s="27">
        <v>23</v>
      </c>
      <c r="G234" s="28">
        <f t="shared" si="21"/>
        <v>1.25</v>
      </c>
      <c r="H234" s="29">
        <v>4</v>
      </c>
      <c r="I234" s="29">
        <v>0</v>
      </c>
      <c r="J234" s="29">
        <v>0</v>
      </c>
      <c r="K234" s="30">
        <v>1</v>
      </c>
      <c r="L234" s="31">
        <f t="shared" si="22"/>
        <v>0.79212574999999996</v>
      </c>
      <c r="M234" s="32">
        <v>2.0388440000000001</v>
      </c>
      <c r="N234" s="32">
        <v>0</v>
      </c>
      <c r="O234" s="32">
        <v>0</v>
      </c>
      <c r="P234" s="33">
        <v>1.0249200000000001</v>
      </c>
      <c r="Q234" s="31">
        <f t="shared" si="23"/>
        <v>0.38554875</v>
      </c>
      <c r="R234" s="32">
        <v>0.51727500000000004</v>
      </c>
      <c r="S234" s="32">
        <v>0</v>
      </c>
      <c r="T234" s="32">
        <v>0</v>
      </c>
      <c r="U234" s="33">
        <v>1.0249200000000001</v>
      </c>
      <c r="V234" s="31">
        <f t="shared" si="24"/>
        <v>0.35420750000000001</v>
      </c>
      <c r="W234" s="32">
        <v>1.41683</v>
      </c>
      <c r="X234" s="32">
        <v>0</v>
      </c>
      <c r="Y234" s="32">
        <v>0</v>
      </c>
      <c r="Z234" s="33">
        <v>0</v>
      </c>
      <c r="AA234" s="31">
        <f t="shared" si="25"/>
        <v>5.2369499999999999E-2</v>
      </c>
      <c r="AB234" s="32">
        <v>0.104739</v>
      </c>
      <c r="AC234" s="33">
        <v>0</v>
      </c>
      <c r="AD234" s="31">
        <f t="shared" si="26"/>
        <v>0</v>
      </c>
      <c r="AE234" s="32">
        <v>0</v>
      </c>
      <c r="AF234" s="32">
        <v>0</v>
      </c>
      <c r="AG234" s="32">
        <v>0</v>
      </c>
      <c r="AH234" s="33">
        <v>0</v>
      </c>
      <c r="AI234" s="31">
        <f t="shared" si="27"/>
        <v>0</v>
      </c>
      <c r="AJ234" s="32">
        <v>0</v>
      </c>
      <c r="AK234" s="32">
        <v>0</v>
      </c>
      <c r="AL234" s="32">
        <v>0</v>
      </c>
      <c r="AM234" s="34">
        <v>0</v>
      </c>
    </row>
    <row r="235" spans="1:39" x14ac:dyDescent="0.3">
      <c r="A235" s="24" t="s">
        <v>202</v>
      </c>
      <c r="B235" s="25" t="s">
        <v>23</v>
      </c>
      <c r="C235" s="25" t="s">
        <v>23</v>
      </c>
      <c r="D235" s="25" t="s">
        <v>328</v>
      </c>
      <c r="E235" s="26" t="s">
        <v>335</v>
      </c>
      <c r="F235" s="27">
        <v>1</v>
      </c>
      <c r="G235" s="28">
        <f t="shared" si="21"/>
        <v>0</v>
      </c>
      <c r="H235" s="29">
        <v>0</v>
      </c>
      <c r="I235" s="29">
        <v>0</v>
      </c>
      <c r="J235" s="29">
        <v>0</v>
      </c>
      <c r="K235" s="30">
        <v>0</v>
      </c>
      <c r="L235" s="31">
        <f t="shared" si="22"/>
        <v>0</v>
      </c>
      <c r="M235" s="32">
        <v>0</v>
      </c>
      <c r="N235" s="32">
        <v>0</v>
      </c>
      <c r="O235" s="32">
        <v>0</v>
      </c>
      <c r="P235" s="33">
        <v>0</v>
      </c>
      <c r="Q235" s="31">
        <f t="shared" si="23"/>
        <v>0</v>
      </c>
      <c r="R235" s="32">
        <v>0</v>
      </c>
      <c r="S235" s="32">
        <v>0</v>
      </c>
      <c r="T235" s="32">
        <v>0</v>
      </c>
      <c r="U235" s="33">
        <v>0</v>
      </c>
      <c r="V235" s="31">
        <f t="shared" si="24"/>
        <v>0</v>
      </c>
      <c r="W235" s="32">
        <v>0</v>
      </c>
      <c r="X235" s="32">
        <v>0</v>
      </c>
      <c r="Y235" s="32">
        <v>0</v>
      </c>
      <c r="Z235" s="33">
        <v>0</v>
      </c>
      <c r="AA235" s="31">
        <f t="shared" si="25"/>
        <v>0</v>
      </c>
      <c r="AB235" s="32">
        <v>0</v>
      </c>
      <c r="AC235" s="33">
        <v>0</v>
      </c>
      <c r="AD235" s="31">
        <f t="shared" si="26"/>
        <v>0</v>
      </c>
      <c r="AE235" s="32">
        <v>0</v>
      </c>
      <c r="AF235" s="32">
        <v>0</v>
      </c>
      <c r="AG235" s="32">
        <v>0</v>
      </c>
      <c r="AH235" s="33">
        <v>0</v>
      </c>
      <c r="AI235" s="31">
        <f t="shared" si="27"/>
        <v>0</v>
      </c>
      <c r="AJ235" s="32">
        <v>0</v>
      </c>
      <c r="AK235" s="32">
        <v>0</v>
      </c>
      <c r="AL235" s="32">
        <v>0</v>
      </c>
      <c r="AM235" s="34">
        <v>0</v>
      </c>
    </row>
    <row r="236" spans="1:39" x14ac:dyDescent="0.3">
      <c r="A236" s="24" t="s">
        <v>202</v>
      </c>
      <c r="B236" s="25" t="s">
        <v>23</v>
      </c>
      <c r="C236" s="25" t="s">
        <v>23</v>
      </c>
      <c r="D236" s="25" t="s">
        <v>328</v>
      </c>
      <c r="E236" s="26" t="s">
        <v>336</v>
      </c>
      <c r="F236" s="27">
        <v>4</v>
      </c>
      <c r="G236" s="28">
        <f t="shared" si="21"/>
        <v>0</v>
      </c>
      <c r="H236" s="29">
        <v>0</v>
      </c>
      <c r="I236" s="29">
        <v>0</v>
      </c>
      <c r="J236" s="29">
        <v>0</v>
      </c>
      <c r="K236" s="30">
        <v>0</v>
      </c>
      <c r="L236" s="31">
        <f t="shared" si="22"/>
        <v>0</v>
      </c>
      <c r="M236" s="32">
        <v>0</v>
      </c>
      <c r="N236" s="32">
        <v>0</v>
      </c>
      <c r="O236" s="32">
        <v>0</v>
      </c>
      <c r="P236" s="33">
        <v>0</v>
      </c>
      <c r="Q236" s="31">
        <f t="shared" si="23"/>
        <v>0</v>
      </c>
      <c r="R236" s="32">
        <v>0</v>
      </c>
      <c r="S236" s="32">
        <v>0</v>
      </c>
      <c r="T236" s="32">
        <v>0</v>
      </c>
      <c r="U236" s="33">
        <v>0</v>
      </c>
      <c r="V236" s="31">
        <f t="shared" si="24"/>
        <v>0</v>
      </c>
      <c r="W236" s="32">
        <v>0</v>
      </c>
      <c r="X236" s="32">
        <v>0</v>
      </c>
      <c r="Y236" s="32">
        <v>0</v>
      </c>
      <c r="Z236" s="33">
        <v>0</v>
      </c>
      <c r="AA236" s="31">
        <f t="shared" si="25"/>
        <v>0</v>
      </c>
      <c r="AB236" s="32">
        <v>0</v>
      </c>
      <c r="AC236" s="33">
        <v>0</v>
      </c>
      <c r="AD236" s="31">
        <f t="shared" si="26"/>
        <v>0</v>
      </c>
      <c r="AE236" s="32">
        <v>0</v>
      </c>
      <c r="AF236" s="32">
        <v>0</v>
      </c>
      <c r="AG236" s="32">
        <v>0</v>
      </c>
      <c r="AH236" s="33">
        <v>0</v>
      </c>
      <c r="AI236" s="31">
        <f t="shared" si="27"/>
        <v>0</v>
      </c>
      <c r="AJ236" s="32">
        <v>0</v>
      </c>
      <c r="AK236" s="32">
        <v>0</v>
      </c>
      <c r="AL236" s="32">
        <v>0</v>
      </c>
      <c r="AM236" s="34">
        <v>0</v>
      </c>
    </row>
    <row r="237" spans="1:39" x14ac:dyDescent="0.3">
      <c r="A237" s="24" t="s">
        <v>202</v>
      </c>
      <c r="B237" s="25" t="s">
        <v>23</v>
      </c>
      <c r="C237" s="25" t="s">
        <v>23</v>
      </c>
      <c r="D237" s="25" t="s">
        <v>328</v>
      </c>
      <c r="E237" s="26" t="s">
        <v>337</v>
      </c>
      <c r="F237" s="27">
        <v>117</v>
      </c>
      <c r="G237" s="28">
        <f t="shared" si="21"/>
        <v>59</v>
      </c>
      <c r="H237" s="29">
        <v>63</v>
      </c>
      <c r="I237" s="29">
        <v>64</v>
      </c>
      <c r="J237" s="29">
        <v>60</v>
      </c>
      <c r="K237" s="30">
        <v>49</v>
      </c>
      <c r="L237" s="31">
        <f t="shared" si="22"/>
        <v>40.453857499999998</v>
      </c>
      <c r="M237" s="32">
        <v>38.834004999999998</v>
      </c>
      <c r="N237" s="32">
        <v>42.011308999999997</v>
      </c>
      <c r="O237" s="32">
        <v>35.580103999999999</v>
      </c>
      <c r="P237" s="33">
        <v>41.438878000000003</v>
      </c>
      <c r="Q237" s="31">
        <f t="shared" si="23"/>
        <v>10.614932749999999</v>
      </c>
      <c r="R237" s="32">
        <v>8.901053000000001</v>
      </c>
      <c r="S237" s="32">
        <v>11.539569</v>
      </c>
      <c r="T237" s="32">
        <v>13.852805999999999</v>
      </c>
      <c r="U237" s="33">
        <v>8.166303000000001</v>
      </c>
      <c r="V237" s="31">
        <f t="shared" si="24"/>
        <v>23.402994750000001</v>
      </c>
      <c r="W237" s="32">
        <v>26.043229</v>
      </c>
      <c r="X237" s="32">
        <v>26.571349999999999</v>
      </c>
      <c r="Y237" s="32">
        <v>12.346909999999999</v>
      </c>
      <c r="Z237" s="33">
        <v>28.650490000000001</v>
      </c>
      <c r="AA237" s="31">
        <f t="shared" si="25"/>
        <v>1.9755669999999999</v>
      </c>
      <c r="AB237" s="32">
        <v>2.106967</v>
      </c>
      <c r="AC237" s="33">
        <v>1.8441669999999999</v>
      </c>
      <c r="AD237" s="31">
        <f t="shared" si="26"/>
        <v>2.8146354999999996</v>
      </c>
      <c r="AE237" s="32">
        <v>0.98275599999999996</v>
      </c>
      <c r="AF237" s="32">
        <v>1.050333</v>
      </c>
      <c r="AG237" s="32">
        <v>4.6033679999999988</v>
      </c>
      <c r="AH237" s="33">
        <v>4.6220850000000002</v>
      </c>
      <c r="AI237" s="31">
        <f t="shared" si="27"/>
        <v>1.6457274999999987</v>
      </c>
      <c r="AJ237" s="32">
        <v>0.8000000000000036</v>
      </c>
      <c r="AK237" s="32">
        <v>1.005889999999994</v>
      </c>
      <c r="AL237" s="32">
        <v>4.7770199999999976</v>
      </c>
      <c r="AM237" s="34">
        <v>0</v>
      </c>
    </row>
    <row r="238" spans="1:39" x14ac:dyDescent="0.3">
      <c r="A238" s="24" t="s">
        <v>202</v>
      </c>
      <c r="B238" s="25" t="s">
        <v>23</v>
      </c>
      <c r="C238" s="25" t="s">
        <v>23</v>
      </c>
      <c r="D238" s="25" t="s">
        <v>328</v>
      </c>
      <c r="E238" s="26" t="s">
        <v>338</v>
      </c>
      <c r="F238" s="27">
        <v>25</v>
      </c>
      <c r="G238" s="28">
        <f t="shared" si="21"/>
        <v>2.75</v>
      </c>
      <c r="H238" s="29">
        <v>5</v>
      </c>
      <c r="I238" s="29">
        <v>2</v>
      </c>
      <c r="J238" s="29">
        <v>3</v>
      </c>
      <c r="K238" s="30">
        <v>1</v>
      </c>
      <c r="L238" s="31">
        <f t="shared" si="22"/>
        <v>1.2620742499999997</v>
      </c>
      <c r="M238" s="32">
        <v>3.3564039999999999</v>
      </c>
      <c r="N238" s="32">
        <v>6.5571000000000004E-2</v>
      </c>
      <c r="O238" s="32">
        <v>1.1826570000000001</v>
      </c>
      <c r="P238" s="33">
        <v>9.4899999999999998E-2</v>
      </c>
      <c r="Q238" s="31">
        <f t="shared" si="23"/>
        <v>0.25010399999999999</v>
      </c>
      <c r="R238" s="32">
        <v>0</v>
      </c>
      <c r="S238" s="32">
        <v>0</v>
      </c>
      <c r="T238" s="32">
        <v>1.000416</v>
      </c>
      <c r="U238" s="33">
        <v>0</v>
      </c>
      <c r="V238" s="31">
        <f t="shared" si="24"/>
        <v>0.75810999999999995</v>
      </c>
      <c r="W238" s="32">
        <v>3.0324399999999998</v>
      </c>
      <c r="X238" s="32">
        <v>0</v>
      </c>
      <c r="Y238" s="32">
        <v>0</v>
      </c>
      <c r="Z238" s="33">
        <v>0</v>
      </c>
      <c r="AA238" s="31">
        <f t="shared" si="25"/>
        <v>0.1743825</v>
      </c>
      <c r="AB238" s="32">
        <v>0.283194</v>
      </c>
      <c r="AC238" s="33">
        <v>6.5571000000000004E-2</v>
      </c>
      <c r="AD238" s="31">
        <f t="shared" si="26"/>
        <v>7.947775E-2</v>
      </c>
      <c r="AE238" s="32">
        <v>4.0770000000000001E-2</v>
      </c>
      <c r="AF238" s="32">
        <v>0</v>
      </c>
      <c r="AG238" s="32">
        <v>0.18224099999999999</v>
      </c>
      <c r="AH238" s="33">
        <v>9.4899999999999998E-2</v>
      </c>
      <c r="AI238" s="31">
        <f t="shared" si="27"/>
        <v>3.4694469519536148E-17</v>
      </c>
      <c r="AJ238" s="32">
        <v>1.3877787807814459E-16</v>
      </c>
      <c r="AK238" s="32">
        <v>0</v>
      </c>
      <c r="AL238" s="32">
        <v>0</v>
      </c>
      <c r="AM238" s="34">
        <v>0</v>
      </c>
    </row>
    <row r="239" spans="1:39" x14ac:dyDescent="0.3">
      <c r="A239" s="24" t="s">
        <v>339</v>
      </c>
      <c r="B239" s="25" t="s">
        <v>42</v>
      </c>
      <c r="C239" s="25" t="s">
        <v>340</v>
      </c>
      <c r="D239" s="25" t="s">
        <v>203</v>
      </c>
      <c r="E239" s="26" t="s">
        <v>207</v>
      </c>
      <c r="F239" s="27">
        <v>2</v>
      </c>
      <c r="G239" s="28">
        <f t="shared" si="21"/>
        <v>6.75</v>
      </c>
      <c r="H239" s="29">
        <v>10</v>
      </c>
      <c r="I239" s="29">
        <v>9</v>
      </c>
      <c r="J239" s="29">
        <v>5</v>
      </c>
      <c r="K239" s="30">
        <v>3</v>
      </c>
      <c r="L239" s="31">
        <f t="shared" si="22"/>
        <v>2.8710104999999997</v>
      </c>
      <c r="M239" s="32">
        <v>2.782238</v>
      </c>
      <c r="N239" s="32">
        <v>3.6398250000000001</v>
      </c>
      <c r="O239" s="32">
        <v>3.0743299999999998</v>
      </c>
      <c r="P239" s="33">
        <v>1.1049249999999999</v>
      </c>
      <c r="Q239" s="31">
        <f t="shared" si="23"/>
        <v>0.42882349999999997</v>
      </c>
      <c r="R239" s="32">
        <v>1.5084439999999999</v>
      </c>
      <c r="S239" s="32">
        <v>0.20685000000000001</v>
      </c>
      <c r="T239" s="32">
        <v>0</v>
      </c>
      <c r="U239" s="33">
        <v>0</v>
      </c>
      <c r="V239" s="31">
        <f t="shared" si="24"/>
        <v>1.959465</v>
      </c>
      <c r="W239" s="32">
        <v>0.50912000000000002</v>
      </c>
      <c r="X239" s="32">
        <v>3.2480099999999998</v>
      </c>
      <c r="Y239" s="32">
        <v>3.0394399999999999</v>
      </c>
      <c r="Z239" s="33">
        <v>1.04129</v>
      </c>
      <c r="AA239" s="31">
        <f t="shared" si="25"/>
        <v>0.44136199999999998</v>
      </c>
      <c r="AB239" s="32">
        <v>0.76467399999999996</v>
      </c>
      <c r="AC239" s="33">
        <v>0.11805</v>
      </c>
      <c r="AD239" s="31">
        <f t="shared" si="26"/>
        <v>4.1360000000000001E-2</v>
      </c>
      <c r="AE239" s="32">
        <v>0</v>
      </c>
      <c r="AF239" s="32">
        <v>6.6915000000000002E-2</v>
      </c>
      <c r="AG239" s="32">
        <v>3.4889999999999997E-2</v>
      </c>
      <c r="AH239" s="33">
        <v>6.3634999999999997E-2</v>
      </c>
      <c r="AI239" s="31">
        <f t="shared" si="27"/>
        <v>2.7755575615628926E-17</v>
      </c>
      <c r="AJ239" s="32">
        <v>1.110223024625157E-16</v>
      </c>
      <c r="AK239" s="32">
        <v>0</v>
      </c>
      <c r="AL239" s="32">
        <v>0</v>
      </c>
      <c r="AM239" s="34">
        <v>0</v>
      </c>
    </row>
    <row r="240" spans="1:39" x14ac:dyDescent="0.3">
      <c r="A240" s="24" t="s">
        <v>339</v>
      </c>
      <c r="B240" s="25" t="s">
        <v>42</v>
      </c>
      <c r="C240" s="25" t="s">
        <v>340</v>
      </c>
      <c r="D240" s="25" t="s">
        <v>203</v>
      </c>
      <c r="E240" s="26" t="s">
        <v>208</v>
      </c>
      <c r="F240" s="27">
        <v>2</v>
      </c>
      <c r="G240" s="28">
        <f t="shared" si="21"/>
        <v>2.75</v>
      </c>
      <c r="H240" s="29">
        <v>2</v>
      </c>
      <c r="I240" s="29">
        <v>4</v>
      </c>
      <c r="J240" s="29">
        <v>3</v>
      </c>
      <c r="K240" s="30">
        <v>2</v>
      </c>
      <c r="L240" s="31">
        <f t="shared" si="22"/>
        <v>1.6725675</v>
      </c>
      <c r="M240" s="32">
        <v>1.2238500000000001</v>
      </c>
      <c r="N240" s="32">
        <v>3.8450000000000002</v>
      </c>
      <c r="O240" s="32">
        <v>0.76032</v>
      </c>
      <c r="P240" s="33">
        <v>0.86109999999999998</v>
      </c>
      <c r="Q240" s="31">
        <f t="shared" si="23"/>
        <v>0.66547000000000001</v>
      </c>
      <c r="R240" s="32">
        <v>0</v>
      </c>
      <c r="S240" s="32">
        <v>2</v>
      </c>
      <c r="T240" s="32">
        <v>0.31580000000000003</v>
      </c>
      <c r="U240" s="33">
        <v>0.34608</v>
      </c>
      <c r="V240" s="31">
        <f t="shared" si="24"/>
        <v>1.0070975</v>
      </c>
      <c r="W240" s="32">
        <v>1.2238500000000001</v>
      </c>
      <c r="X240" s="32">
        <v>1.845</v>
      </c>
      <c r="Y240" s="32">
        <v>0.44452000000000003</v>
      </c>
      <c r="Z240" s="33">
        <v>0.51502000000000003</v>
      </c>
      <c r="AA240" s="31">
        <f t="shared" si="25"/>
        <v>0</v>
      </c>
      <c r="AB240" s="32">
        <v>0</v>
      </c>
      <c r="AC240" s="33">
        <v>0</v>
      </c>
      <c r="AD240" s="31">
        <f t="shared" si="26"/>
        <v>0</v>
      </c>
      <c r="AE240" s="32">
        <v>0</v>
      </c>
      <c r="AF240" s="32">
        <v>0</v>
      </c>
      <c r="AG240" s="32">
        <v>0</v>
      </c>
      <c r="AH240" s="33">
        <v>0</v>
      </c>
      <c r="AI240" s="31">
        <f t="shared" si="27"/>
        <v>0</v>
      </c>
      <c r="AJ240" s="32">
        <v>0</v>
      </c>
      <c r="AK240" s="32">
        <v>0</v>
      </c>
      <c r="AL240" s="32">
        <v>0</v>
      </c>
      <c r="AM240" s="34">
        <v>0</v>
      </c>
    </row>
    <row r="241" spans="1:39" x14ac:dyDescent="0.3">
      <c r="A241" s="24" t="s">
        <v>339</v>
      </c>
      <c r="B241" s="25" t="s">
        <v>42</v>
      </c>
      <c r="C241" s="25" t="s">
        <v>340</v>
      </c>
      <c r="D241" s="25" t="s">
        <v>203</v>
      </c>
      <c r="E241" s="26" t="s">
        <v>210</v>
      </c>
      <c r="F241" s="27">
        <v>14</v>
      </c>
      <c r="G241" s="28">
        <f t="shared" si="21"/>
        <v>43.5</v>
      </c>
      <c r="H241" s="29">
        <v>34</v>
      </c>
      <c r="I241" s="29">
        <v>80</v>
      </c>
      <c r="J241" s="29">
        <v>30</v>
      </c>
      <c r="K241" s="30">
        <v>30</v>
      </c>
      <c r="L241" s="31">
        <f t="shared" si="22"/>
        <v>28.329837749999999</v>
      </c>
      <c r="M241" s="32">
        <v>25.292950000000001</v>
      </c>
      <c r="N241" s="32">
        <v>48.159395000000004</v>
      </c>
      <c r="O241" s="32">
        <v>18.710972999999999</v>
      </c>
      <c r="P241" s="33">
        <v>18.123737999999999</v>
      </c>
      <c r="Q241" s="31">
        <f t="shared" si="23"/>
        <v>6.7444877499999993</v>
      </c>
      <c r="R241" s="32">
        <v>7.3534430000000004</v>
      </c>
      <c r="S241" s="32">
        <v>11.669525</v>
      </c>
      <c r="T241" s="32">
        <v>4.130196999999999</v>
      </c>
      <c r="U241" s="33">
        <v>3.824786</v>
      </c>
      <c r="V241" s="31">
        <f t="shared" si="24"/>
        <v>12.480495000000001</v>
      </c>
      <c r="W241" s="32">
        <v>7.6824300000000001</v>
      </c>
      <c r="X241" s="32">
        <v>28.977150000000002</v>
      </c>
      <c r="Y241" s="32">
        <v>6.6528700000000001</v>
      </c>
      <c r="Z241" s="33">
        <v>6.6095299999999986</v>
      </c>
      <c r="AA241" s="31">
        <f t="shared" si="25"/>
        <v>1.5161475</v>
      </c>
      <c r="AB241" s="32">
        <v>1.3749929999999999</v>
      </c>
      <c r="AC241" s="33">
        <v>1.6573020000000001</v>
      </c>
      <c r="AD241" s="31">
        <f t="shared" si="26"/>
        <v>1.9662074999999999</v>
      </c>
      <c r="AE241" s="32">
        <v>0.32208399999999998</v>
      </c>
      <c r="AF241" s="32">
        <v>1.075418</v>
      </c>
      <c r="AG241" s="32">
        <v>2.827906</v>
      </c>
      <c r="AH241" s="33">
        <v>3.6394220000000002</v>
      </c>
      <c r="AI241" s="31">
        <f t="shared" si="27"/>
        <v>5.6224999999999978</v>
      </c>
      <c r="AJ241" s="32">
        <v>8.5599999999999987</v>
      </c>
      <c r="AK241" s="32">
        <v>4.7799999999999949</v>
      </c>
      <c r="AL241" s="32">
        <v>5.0999999999999996</v>
      </c>
      <c r="AM241" s="34">
        <v>4.0500000000000007</v>
      </c>
    </row>
    <row r="242" spans="1:39" x14ac:dyDescent="0.3">
      <c r="A242" s="24" t="s">
        <v>339</v>
      </c>
      <c r="B242" s="25" t="s">
        <v>42</v>
      </c>
      <c r="C242" s="25" t="s">
        <v>340</v>
      </c>
      <c r="D242" s="25" t="s">
        <v>203</v>
      </c>
      <c r="E242" s="26" t="s">
        <v>211</v>
      </c>
      <c r="F242" s="27">
        <v>7</v>
      </c>
      <c r="G242" s="28">
        <f t="shared" si="21"/>
        <v>40</v>
      </c>
      <c r="H242" s="29">
        <v>51</v>
      </c>
      <c r="I242" s="29">
        <v>49</v>
      </c>
      <c r="J242" s="29">
        <v>28</v>
      </c>
      <c r="K242" s="30">
        <v>32</v>
      </c>
      <c r="L242" s="31">
        <f t="shared" si="22"/>
        <v>24.045291500000005</v>
      </c>
      <c r="M242" s="32">
        <v>27.389132</v>
      </c>
      <c r="N242" s="32">
        <v>37.199762999999997</v>
      </c>
      <c r="O242" s="32">
        <v>13.677889</v>
      </c>
      <c r="P242" s="33">
        <v>15.275623</v>
      </c>
      <c r="Q242" s="31">
        <f t="shared" si="23"/>
        <v>2.14383225</v>
      </c>
      <c r="R242" s="32">
        <v>3.3826939999999999</v>
      </c>
      <c r="S242" s="32">
        <v>3.794495</v>
      </c>
      <c r="T242" s="32">
        <v>1.3981399999999999</v>
      </c>
      <c r="U242" s="33">
        <v>0</v>
      </c>
      <c r="V242" s="31">
        <f t="shared" si="24"/>
        <v>19.818927500000001</v>
      </c>
      <c r="W242" s="32">
        <v>22.316890000000001</v>
      </c>
      <c r="X242" s="32">
        <v>31.332100000000001</v>
      </c>
      <c r="Y242" s="32">
        <v>11.145009999999999</v>
      </c>
      <c r="Z242" s="33">
        <v>14.48171</v>
      </c>
      <c r="AA242" s="31">
        <f t="shared" si="25"/>
        <v>1.3193794999999999</v>
      </c>
      <c r="AB242" s="32">
        <v>1.2009339999999999</v>
      </c>
      <c r="AC242" s="33">
        <v>1.4378249999999999</v>
      </c>
      <c r="AD242" s="31">
        <f t="shared" si="26"/>
        <v>0.76315224999999987</v>
      </c>
      <c r="AE242" s="32">
        <v>0.48861399999999999</v>
      </c>
      <c r="AF242" s="32">
        <v>0.63534299999999999</v>
      </c>
      <c r="AG242" s="32">
        <v>1.1347389999999999</v>
      </c>
      <c r="AH242" s="33">
        <v>0.79391299999999998</v>
      </c>
      <c r="AI242" s="31">
        <f t="shared" si="27"/>
        <v>2.3869795029440866E-15</v>
      </c>
      <c r="AJ242" s="32">
        <v>0</v>
      </c>
      <c r="AK242" s="32">
        <v>9.5479180117763462E-15</v>
      </c>
      <c r="AL242" s="32">
        <v>0</v>
      </c>
      <c r="AM242" s="34">
        <v>0</v>
      </c>
    </row>
    <row r="243" spans="1:39" x14ac:dyDescent="0.3">
      <c r="A243" s="24" t="s">
        <v>339</v>
      </c>
      <c r="B243" s="25" t="s">
        <v>42</v>
      </c>
      <c r="C243" s="25" t="s">
        <v>340</v>
      </c>
      <c r="D243" s="25" t="s">
        <v>212</v>
      </c>
      <c r="E243" s="26" t="s">
        <v>213</v>
      </c>
      <c r="F243" s="27">
        <v>1</v>
      </c>
      <c r="G243" s="28">
        <f t="shared" si="21"/>
        <v>3.5</v>
      </c>
      <c r="H243" s="29">
        <v>3</v>
      </c>
      <c r="I243" s="29">
        <v>4</v>
      </c>
      <c r="J243" s="29">
        <v>5</v>
      </c>
      <c r="K243" s="30">
        <v>2</v>
      </c>
      <c r="L243" s="31">
        <f t="shared" si="22"/>
        <v>1.7307717500000002</v>
      </c>
      <c r="M243" s="32">
        <v>1.3532500000000001</v>
      </c>
      <c r="N243" s="32">
        <v>2.56054</v>
      </c>
      <c r="O243" s="32">
        <v>2.514866</v>
      </c>
      <c r="P243" s="33">
        <v>0.49443100000000001</v>
      </c>
      <c r="Q243" s="31">
        <f t="shared" si="23"/>
        <v>7.5899999999999995E-2</v>
      </c>
      <c r="R243" s="32">
        <v>0.30359999999999998</v>
      </c>
      <c r="S243" s="32">
        <v>0</v>
      </c>
      <c r="T243" s="32">
        <v>0</v>
      </c>
      <c r="U243" s="33">
        <v>0</v>
      </c>
      <c r="V243" s="31">
        <f t="shared" si="24"/>
        <v>1.5708250000000001</v>
      </c>
      <c r="W243" s="32">
        <v>1.04965</v>
      </c>
      <c r="X243" s="32">
        <v>2.56054</v>
      </c>
      <c r="Y243" s="32">
        <v>2.3644500000000002</v>
      </c>
      <c r="Z243" s="33">
        <v>0.30865999999999999</v>
      </c>
      <c r="AA243" s="31">
        <f t="shared" si="25"/>
        <v>0</v>
      </c>
      <c r="AB243" s="32">
        <v>0</v>
      </c>
      <c r="AC243" s="33">
        <v>0</v>
      </c>
      <c r="AD243" s="31">
        <f t="shared" si="26"/>
        <v>8.4046750000000003E-2</v>
      </c>
      <c r="AE243" s="32">
        <v>0</v>
      </c>
      <c r="AF243" s="32">
        <v>0</v>
      </c>
      <c r="AG243" s="32">
        <v>0.15041599999999999</v>
      </c>
      <c r="AH243" s="33">
        <v>0.18577099999999999</v>
      </c>
      <c r="AI243" s="31">
        <f t="shared" si="27"/>
        <v>5.5511151231257827E-17</v>
      </c>
      <c r="AJ243" s="32">
        <v>2.2204460492503131E-16</v>
      </c>
      <c r="AK243" s="32">
        <v>0</v>
      </c>
      <c r="AL243" s="32">
        <v>0</v>
      </c>
      <c r="AM243" s="34">
        <v>0</v>
      </c>
    </row>
    <row r="244" spans="1:39" x14ac:dyDescent="0.3">
      <c r="A244" s="24" t="s">
        <v>339</v>
      </c>
      <c r="B244" s="25" t="s">
        <v>42</v>
      </c>
      <c r="C244" s="25" t="s">
        <v>340</v>
      </c>
      <c r="D244" s="25" t="s">
        <v>212</v>
      </c>
      <c r="E244" s="26" t="s">
        <v>214</v>
      </c>
      <c r="F244" s="27">
        <v>3</v>
      </c>
      <c r="G244" s="28">
        <f t="shared" si="21"/>
        <v>15</v>
      </c>
      <c r="H244" s="29">
        <v>12</v>
      </c>
      <c r="I244" s="29">
        <v>14</v>
      </c>
      <c r="J244" s="29">
        <v>18</v>
      </c>
      <c r="K244" s="30">
        <v>16</v>
      </c>
      <c r="L244" s="31">
        <f t="shared" si="22"/>
        <v>11.568456499999998</v>
      </c>
      <c r="M244" s="32">
        <v>8.9777059999999995</v>
      </c>
      <c r="N244" s="32">
        <v>13.678248</v>
      </c>
      <c r="O244" s="32">
        <v>14.351099</v>
      </c>
      <c r="P244" s="33">
        <v>9.2667730000000006</v>
      </c>
      <c r="Q244" s="31">
        <f t="shared" si="23"/>
        <v>0.80272900000000003</v>
      </c>
      <c r="R244" s="32">
        <v>0</v>
      </c>
      <c r="S244" s="32">
        <v>2.0321600000000002</v>
      </c>
      <c r="T244" s="32">
        <v>0.37740000000000001</v>
      </c>
      <c r="U244" s="33">
        <v>0.80135599999999996</v>
      </c>
      <c r="V244" s="31">
        <f t="shared" si="24"/>
        <v>9.98198425</v>
      </c>
      <c r="W244" s="32">
        <v>7.5261699999999996</v>
      </c>
      <c r="X244" s="32">
        <v>11.429468</v>
      </c>
      <c r="Y244" s="32">
        <v>13.389049</v>
      </c>
      <c r="Z244" s="33">
        <v>7.5832499999999996</v>
      </c>
      <c r="AA244" s="31">
        <f t="shared" si="25"/>
        <v>0</v>
      </c>
      <c r="AB244" s="32">
        <v>0</v>
      </c>
      <c r="AC244" s="33">
        <v>0</v>
      </c>
      <c r="AD244" s="31">
        <f t="shared" si="26"/>
        <v>0.70874324999999994</v>
      </c>
      <c r="AE244" s="32">
        <v>1.1515359999999999</v>
      </c>
      <c r="AF244" s="32">
        <v>0.21662000000000001</v>
      </c>
      <c r="AG244" s="32">
        <v>0.58465</v>
      </c>
      <c r="AH244" s="33">
        <v>0.88216700000000003</v>
      </c>
      <c r="AI244" s="31">
        <f t="shared" si="27"/>
        <v>7.4999999999999803E-2</v>
      </c>
      <c r="AJ244" s="32">
        <v>0.29999999999999921</v>
      </c>
      <c r="AK244" s="32">
        <v>0</v>
      </c>
      <c r="AL244" s="32">
        <v>0</v>
      </c>
      <c r="AM244" s="34">
        <v>0</v>
      </c>
    </row>
    <row r="245" spans="1:39" x14ac:dyDescent="0.3">
      <c r="A245" s="24" t="s">
        <v>339</v>
      </c>
      <c r="B245" s="25" t="s">
        <v>42</v>
      </c>
      <c r="C245" s="25" t="s">
        <v>340</v>
      </c>
      <c r="D245" s="25" t="s">
        <v>212</v>
      </c>
      <c r="E245" s="26" t="s">
        <v>215</v>
      </c>
      <c r="F245" s="27">
        <v>4</v>
      </c>
      <c r="G245" s="28">
        <f t="shared" si="21"/>
        <v>14</v>
      </c>
      <c r="H245" s="29">
        <v>20</v>
      </c>
      <c r="I245" s="29">
        <v>11</v>
      </c>
      <c r="J245" s="29">
        <v>16</v>
      </c>
      <c r="K245" s="30">
        <v>9</v>
      </c>
      <c r="L245" s="31">
        <f t="shared" si="22"/>
        <v>4.9325302500000001</v>
      </c>
      <c r="M245" s="32">
        <v>5.0386509999999998</v>
      </c>
      <c r="N245" s="32">
        <v>3.961589</v>
      </c>
      <c r="O245" s="32">
        <v>7.6285059999999998</v>
      </c>
      <c r="P245" s="33">
        <v>2.29244</v>
      </c>
      <c r="Q245" s="31">
        <f t="shared" si="23"/>
        <v>0.34465000000000001</v>
      </c>
      <c r="R245" s="32">
        <v>0.76662000000000008</v>
      </c>
      <c r="S245" s="32">
        <v>0</v>
      </c>
      <c r="T245" s="32">
        <v>0.30471999999999999</v>
      </c>
      <c r="U245" s="33">
        <v>0.30725999999999998</v>
      </c>
      <c r="V245" s="31">
        <f t="shared" si="24"/>
        <v>2.7962877499999998</v>
      </c>
      <c r="W245" s="32">
        <v>1.9276800000000001</v>
      </c>
      <c r="X245" s="32">
        <v>3.0009600000000001</v>
      </c>
      <c r="Y245" s="32">
        <v>5.2175510000000003</v>
      </c>
      <c r="Z245" s="33">
        <v>1.0389600000000001</v>
      </c>
      <c r="AA245" s="31">
        <f t="shared" si="25"/>
        <v>0.40446749999999998</v>
      </c>
      <c r="AB245" s="32">
        <v>0.70720099999999997</v>
      </c>
      <c r="AC245" s="33">
        <v>0.101734</v>
      </c>
      <c r="AD245" s="31">
        <f t="shared" si="26"/>
        <v>1.0871250000000001</v>
      </c>
      <c r="AE245" s="32">
        <v>1.6371500000000001</v>
      </c>
      <c r="AF245" s="32">
        <v>0.35889500000000002</v>
      </c>
      <c r="AG245" s="32">
        <v>1.4062349999999999</v>
      </c>
      <c r="AH245" s="33">
        <v>0.94622000000000006</v>
      </c>
      <c r="AI245" s="31">
        <f t="shared" si="27"/>
        <v>0.30000000000000004</v>
      </c>
      <c r="AJ245" s="32">
        <v>0</v>
      </c>
      <c r="AK245" s="32">
        <v>0.50000000000000044</v>
      </c>
      <c r="AL245" s="32">
        <v>0.69999999999999973</v>
      </c>
      <c r="AM245" s="34">
        <v>0</v>
      </c>
    </row>
    <row r="246" spans="1:39" x14ac:dyDescent="0.3">
      <c r="A246" s="24" t="s">
        <v>339</v>
      </c>
      <c r="B246" s="25" t="s">
        <v>42</v>
      </c>
      <c r="C246" s="25" t="s">
        <v>340</v>
      </c>
      <c r="D246" s="25" t="s">
        <v>212</v>
      </c>
      <c r="E246" s="26" t="s">
        <v>220</v>
      </c>
      <c r="F246" s="27">
        <v>3</v>
      </c>
      <c r="G246" s="28">
        <f t="shared" si="21"/>
        <v>5.25</v>
      </c>
      <c r="H246" s="29">
        <v>5</v>
      </c>
      <c r="I246" s="29">
        <v>9</v>
      </c>
      <c r="J246" s="29">
        <v>3</v>
      </c>
      <c r="K246" s="30">
        <v>4</v>
      </c>
      <c r="L246" s="31">
        <f t="shared" si="22"/>
        <v>2.9358300000000002</v>
      </c>
      <c r="M246" s="32">
        <v>3.6644199999999998</v>
      </c>
      <c r="N246" s="32">
        <v>4.8591799999999994</v>
      </c>
      <c r="O246" s="32">
        <v>1.56504</v>
      </c>
      <c r="P246" s="33">
        <v>1.6546799999999999</v>
      </c>
      <c r="Q246" s="31">
        <f t="shared" si="23"/>
        <v>0.34127249999999998</v>
      </c>
      <c r="R246" s="32">
        <v>0.30020000000000002</v>
      </c>
      <c r="S246" s="32">
        <v>0.1454</v>
      </c>
      <c r="T246" s="32">
        <v>0.91949000000000003</v>
      </c>
      <c r="U246" s="33">
        <v>0</v>
      </c>
      <c r="V246" s="31">
        <f t="shared" si="24"/>
        <v>2.3436249999999998</v>
      </c>
      <c r="W246" s="32">
        <v>3.36422</v>
      </c>
      <c r="X246" s="32">
        <v>4.7137799999999999</v>
      </c>
      <c r="Y246" s="32">
        <v>0</v>
      </c>
      <c r="Z246" s="33">
        <v>1.2965</v>
      </c>
      <c r="AA246" s="31">
        <f t="shared" si="25"/>
        <v>0</v>
      </c>
      <c r="AB246" s="32">
        <v>0</v>
      </c>
      <c r="AC246" s="33">
        <v>0</v>
      </c>
      <c r="AD246" s="31">
        <f t="shared" si="26"/>
        <v>1.3157500000000001E-2</v>
      </c>
      <c r="AE246" s="32">
        <v>0</v>
      </c>
      <c r="AF246" s="32">
        <v>0</v>
      </c>
      <c r="AG246" s="32">
        <v>0</v>
      </c>
      <c r="AH246" s="33">
        <v>5.2630000000000003E-2</v>
      </c>
      <c r="AI246" s="31">
        <f t="shared" si="27"/>
        <v>0.23777499999999996</v>
      </c>
      <c r="AJ246" s="32">
        <v>0</v>
      </c>
      <c r="AK246" s="32">
        <v>0</v>
      </c>
      <c r="AL246" s="32">
        <v>0.64554999999999996</v>
      </c>
      <c r="AM246" s="34">
        <v>0.30554999999999988</v>
      </c>
    </row>
    <row r="247" spans="1:39" x14ac:dyDescent="0.3">
      <c r="A247" s="24" t="s">
        <v>339</v>
      </c>
      <c r="B247" s="25" t="s">
        <v>42</v>
      </c>
      <c r="C247" s="25" t="s">
        <v>340</v>
      </c>
      <c r="D247" s="25" t="s">
        <v>212</v>
      </c>
      <c r="E247" s="26" t="s">
        <v>221</v>
      </c>
      <c r="F247" s="27">
        <v>1</v>
      </c>
      <c r="G247" s="28">
        <f t="shared" si="21"/>
        <v>3</v>
      </c>
      <c r="H247" s="29">
        <v>4</v>
      </c>
      <c r="I247" s="29">
        <v>5</v>
      </c>
      <c r="J247" s="29">
        <v>2</v>
      </c>
      <c r="K247" s="30">
        <v>1</v>
      </c>
      <c r="L247" s="31">
        <f t="shared" si="22"/>
        <v>3.0444374999999999</v>
      </c>
      <c r="M247" s="32">
        <v>3.3933200000000001</v>
      </c>
      <c r="N247" s="32">
        <v>3.7918500000000002</v>
      </c>
      <c r="O247" s="32">
        <v>4.2797799999999997</v>
      </c>
      <c r="P247" s="33">
        <v>0.71279999999999999</v>
      </c>
      <c r="Q247" s="31">
        <f t="shared" si="23"/>
        <v>0.12634999999999999</v>
      </c>
      <c r="R247" s="32">
        <v>0</v>
      </c>
      <c r="S247" s="32">
        <v>0.50539999999999996</v>
      </c>
      <c r="T247" s="32">
        <v>0</v>
      </c>
      <c r="U247" s="33">
        <v>0</v>
      </c>
      <c r="V247" s="31">
        <f t="shared" si="24"/>
        <v>2.9180874999999999</v>
      </c>
      <c r="W247" s="32">
        <v>3.3933200000000001</v>
      </c>
      <c r="X247" s="32">
        <v>3.2864499999999999</v>
      </c>
      <c r="Y247" s="32">
        <v>4.2797799999999997</v>
      </c>
      <c r="Z247" s="33">
        <v>0.71279999999999999</v>
      </c>
      <c r="AA247" s="31">
        <f t="shared" si="25"/>
        <v>0</v>
      </c>
      <c r="AB247" s="32">
        <v>0</v>
      </c>
      <c r="AC247" s="33">
        <v>0</v>
      </c>
      <c r="AD247" s="31">
        <f t="shared" si="26"/>
        <v>0</v>
      </c>
      <c r="AE247" s="32">
        <v>0</v>
      </c>
      <c r="AF247" s="32">
        <v>0</v>
      </c>
      <c r="AG247" s="32">
        <v>0</v>
      </c>
      <c r="AH247" s="33">
        <v>0</v>
      </c>
      <c r="AI247" s="31">
        <f t="shared" si="27"/>
        <v>1.1102230246251565E-16</v>
      </c>
      <c r="AJ247" s="32">
        <v>0</v>
      </c>
      <c r="AK247" s="32">
        <v>4.4408920985006262E-16</v>
      </c>
      <c r="AL247" s="32">
        <v>0</v>
      </c>
      <c r="AM247" s="34">
        <v>0</v>
      </c>
    </row>
    <row r="248" spans="1:39" x14ac:dyDescent="0.3">
      <c r="A248" s="24" t="s">
        <v>339</v>
      </c>
      <c r="B248" s="25" t="s">
        <v>42</v>
      </c>
      <c r="C248" s="25" t="s">
        <v>340</v>
      </c>
      <c r="D248" s="25" t="s">
        <v>212</v>
      </c>
      <c r="E248" s="26" t="s">
        <v>225</v>
      </c>
      <c r="F248" s="27">
        <v>1</v>
      </c>
      <c r="G248" s="28">
        <f t="shared" si="21"/>
        <v>2</v>
      </c>
      <c r="H248" s="29">
        <v>4</v>
      </c>
      <c r="I248" s="29">
        <v>4</v>
      </c>
      <c r="J248" s="29">
        <v>0</v>
      </c>
      <c r="K248" s="30">
        <v>0</v>
      </c>
      <c r="L248" s="31">
        <f t="shared" si="22"/>
        <v>1.9170275000000001</v>
      </c>
      <c r="M248" s="32">
        <v>5.4413200000000002</v>
      </c>
      <c r="N248" s="32">
        <v>2.2267899999999998</v>
      </c>
      <c r="O248" s="32">
        <v>0</v>
      </c>
      <c r="P248" s="33">
        <v>0</v>
      </c>
      <c r="Q248" s="31">
        <f t="shared" si="23"/>
        <v>0</v>
      </c>
      <c r="R248" s="32">
        <v>0</v>
      </c>
      <c r="S248" s="32">
        <v>0</v>
      </c>
      <c r="T248" s="32">
        <v>0</v>
      </c>
      <c r="U248" s="33">
        <v>0</v>
      </c>
      <c r="V248" s="31">
        <f t="shared" si="24"/>
        <v>1.9170275000000001</v>
      </c>
      <c r="W248" s="32">
        <v>5.4413200000000002</v>
      </c>
      <c r="X248" s="32">
        <v>2.2267899999999998</v>
      </c>
      <c r="Y248" s="32">
        <v>0</v>
      </c>
      <c r="Z248" s="33">
        <v>0</v>
      </c>
      <c r="AA248" s="31">
        <f t="shared" si="25"/>
        <v>0</v>
      </c>
      <c r="AB248" s="32">
        <v>0</v>
      </c>
      <c r="AC248" s="33">
        <v>0</v>
      </c>
      <c r="AD248" s="31">
        <f t="shared" si="26"/>
        <v>0</v>
      </c>
      <c r="AE248" s="32">
        <v>0</v>
      </c>
      <c r="AF248" s="32">
        <v>0</v>
      </c>
      <c r="AG248" s="32">
        <v>0</v>
      </c>
      <c r="AH248" s="33">
        <v>0</v>
      </c>
      <c r="AI248" s="31">
        <f t="shared" si="27"/>
        <v>0</v>
      </c>
      <c r="AJ248" s="32">
        <v>0</v>
      </c>
      <c r="AK248" s="32">
        <v>0</v>
      </c>
      <c r="AL248" s="32">
        <v>0</v>
      </c>
      <c r="AM248" s="34">
        <v>0</v>
      </c>
    </row>
    <row r="249" spans="1:39" x14ac:dyDescent="0.3">
      <c r="A249" s="24" t="s">
        <v>339</v>
      </c>
      <c r="B249" s="25" t="s">
        <v>42</v>
      </c>
      <c r="C249" s="25" t="s">
        <v>340</v>
      </c>
      <c r="D249" s="25" t="s">
        <v>212</v>
      </c>
      <c r="E249" s="26" t="s">
        <v>227</v>
      </c>
      <c r="F249" s="27">
        <v>2</v>
      </c>
      <c r="G249" s="28">
        <f t="shared" si="21"/>
        <v>0</v>
      </c>
      <c r="H249" s="29">
        <v>0</v>
      </c>
      <c r="I249" s="29">
        <v>0</v>
      </c>
      <c r="J249" s="29">
        <v>0</v>
      </c>
      <c r="K249" s="30">
        <v>0</v>
      </c>
      <c r="L249" s="31">
        <f t="shared" si="22"/>
        <v>0</v>
      </c>
      <c r="M249" s="32">
        <v>0</v>
      </c>
      <c r="N249" s="32">
        <v>0</v>
      </c>
      <c r="O249" s="32">
        <v>0</v>
      </c>
      <c r="P249" s="33">
        <v>0</v>
      </c>
      <c r="Q249" s="31">
        <f t="shared" si="23"/>
        <v>0</v>
      </c>
      <c r="R249" s="32">
        <v>0</v>
      </c>
      <c r="S249" s="32">
        <v>0</v>
      </c>
      <c r="T249" s="32">
        <v>0</v>
      </c>
      <c r="U249" s="33">
        <v>0</v>
      </c>
      <c r="V249" s="31">
        <f t="shared" si="24"/>
        <v>0</v>
      </c>
      <c r="W249" s="32">
        <v>0</v>
      </c>
      <c r="X249" s="32">
        <v>0</v>
      </c>
      <c r="Y249" s="32">
        <v>0</v>
      </c>
      <c r="Z249" s="33">
        <v>0</v>
      </c>
      <c r="AA249" s="31">
        <f t="shared" si="25"/>
        <v>0</v>
      </c>
      <c r="AB249" s="32">
        <v>0</v>
      </c>
      <c r="AC249" s="33">
        <v>0</v>
      </c>
      <c r="AD249" s="31">
        <f t="shared" si="26"/>
        <v>0</v>
      </c>
      <c r="AE249" s="32">
        <v>0</v>
      </c>
      <c r="AF249" s="32">
        <v>0</v>
      </c>
      <c r="AG249" s="32">
        <v>0</v>
      </c>
      <c r="AH249" s="33">
        <v>0</v>
      </c>
      <c r="AI249" s="31">
        <f t="shared" si="27"/>
        <v>0</v>
      </c>
      <c r="AJ249" s="32">
        <v>0</v>
      </c>
      <c r="AK249" s="32">
        <v>0</v>
      </c>
      <c r="AL249" s="32">
        <v>0</v>
      </c>
      <c r="AM249" s="34">
        <v>0</v>
      </c>
    </row>
    <row r="250" spans="1:39" x14ac:dyDescent="0.3">
      <c r="A250" s="24" t="s">
        <v>339</v>
      </c>
      <c r="B250" s="25" t="s">
        <v>42</v>
      </c>
      <c r="C250" s="25" t="s">
        <v>340</v>
      </c>
      <c r="D250" s="25" t="s">
        <v>212</v>
      </c>
      <c r="E250" s="26" t="s">
        <v>228</v>
      </c>
      <c r="F250" s="27">
        <v>5</v>
      </c>
      <c r="G250" s="28">
        <f t="shared" si="21"/>
        <v>21.5</v>
      </c>
      <c r="H250" s="29">
        <v>18</v>
      </c>
      <c r="I250" s="29">
        <v>32</v>
      </c>
      <c r="J250" s="29">
        <v>20</v>
      </c>
      <c r="K250" s="30">
        <v>16</v>
      </c>
      <c r="L250" s="31">
        <f t="shared" si="22"/>
        <v>12.072774500000001</v>
      </c>
      <c r="M250" s="32">
        <v>8.8766960000000008</v>
      </c>
      <c r="N250" s="32">
        <v>17.740682</v>
      </c>
      <c r="O250" s="32">
        <v>11.744313999999999</v>
      </c>
      <c r="P250" s="33">
        <v>9.2163400000000006</v>
      </c>
      <c r="Q250" s="31">
        <f t="shared" si="23"/>
        <v>1.9592117500000001</v>
      </c>
      <c r="R250" s="32">
        <v>0.13320000000000001</v>
      </c>
      <c r="S250" s="32">
        <v>2.225355</v>
      </c>
      <c r="T250" s="32">
        <v>3.0203820000000001</v>
      </c>
      <c r="U250" s="33">
        <v>2.45791</v>
      </c>
      <c r="V250" s="31">
        <f t="shared" si="24"/>
        <v>9.4134925000000003</v>
      </c>
      <c r="W250" s="32">
        <v>7.9909699999999999</v>
      </c>
      <c r="X250" s="32">
        <v>14.386649999999999</v>
      </c>
      <c r="Y250" s="32">
        <v>8.6835400000000007</v>
      </c>
      <c r="Z250" s="33">
        <v>6.5928100000000001</v>
      </c>
      <c r="AA250" s="31">
        <f t="shared" si="25"/>
        <v>0.35653299999999999</v>
      </c>
      <c r="AB250" s="32">
        <v>0.52634800000000004</v>
      </c>
      <c r="AC250" s="33">
        <v>0.186718</v>
      </c>
      <c r="AD250" s="31">
        <f t="shared" si="26"/>
        <v>0.34353725000000002</v>
      </c>
      <c r="AE250" s="32">
        <v>0.22617799999999999</v>
      </c>
      <c r="AF250" s="32">
        <v>0.94195899999999999</v>
      </c>
      <c r="AG250" s="32">
        <v>4.0391999999999997E-2</v>
      </c>
      <c r="AH250" s="33">
        <v>0.16561999999999999</v>
      </c>
      <c r="AI250" s="31">
        <f t="shared" si="27"/>
        <v>2.4980018054066022E-16</v>
      </c>
      <c r="AJ250" s="32">
        <v>4.4408920985006262E-16</v>
      </c>
      <c r="AK250" s="32">
        <v>0</v>
      </c>
      <c r="AL250" s="32">
        <v>0</v>
      </c>
      <c r="AM250" s="34">
        <v>5.5511151231257827E-16</v>
      </c>
    </row>
    <row r="251" spans="1:39" x14ac:dyDescent="0.3">
      <c r="A251" s="24" t="s">
        <v>339</v>
      </c>
      <c r="B251" s="25" t="s">
        <v>42</v>
      </c>
      <c r="C251" s="25" t="s">
        <v>340</v>
      </c>
      <c r="D251" s="25" t="s">
        <v>178</v>
      </c>
      <c r="E251" s="26" t="s">
        <v>248</v>
      </c>
      <c r="F251" s="27">
        <v>1</v>
      </c>
      <c r="G251" s="28">
        <f t="shared" si="21"/>
        <v>0.75</v>
      </c>
      <c r="H251" s="29">
        <v>0</v>
      </c>
      <c r="I251" s="29">
        <v>1</v>
      </c>
      <c r="J251" s="29">
        <v>1</v>
      </c>
      <c r="K251" s="30">
        <v>1</v>
      </c>
      <c r="L251" s="31">
        <f t="shared" si="22"/>
        <v>0.48214499999999999</v>
      </c>
      <c r="M251" s="32">
        <v>0</v>
      </c>
      <c r="N251" s="32">
        <v>1.5225599999999999</v>
      </c>
      <c r="O251" s="32">
        <v>0.1002</v>
      </c>
      <c r="P251" s="33">
        <v>0.30581999999999998</v>
      </c>
      <c r="Q251" s="31">
        <f t="shared" si="23"/>
        <v>0</v>
      </c>
      <c r="R251" s="32">
        <v>0</v>
      </c>
      <c r="S251" s="32">
        <v>0</v>
      </c>
      <c r="T251" s="32">
        <v>0</v>
      </c>
      <c r="U251" s="33">
        <v>0</v>
      </c>
      <c r="V251" s="31">
        <f t="shared" si="24"/>
        <v>0.48214499999999999</v>
      </c>
      <c r="W251" s="32">
        <v>0</v>
      </c>
      <c r="X251" s="32">
        <v>1.5225599999999999</v>
      </c>
      <c r="Y251" s="32">
        <v>0.1002</v>
      </c>
      <c r="Z251" s="33">
        <v>0.30581999999999998</v>
      </c>
      <c r="AA251" s="31">
        <f t="shared" si="25"/>
        <v>0</v>
      </c>
      <c r="AB251" s="32">
        <v>0</v>
      </c>
      <c r="AC251" s="33">
        <v>0</v>
      </c>
      <c r="AD251" s="31">
        <f t="shared" si="26"/>
        <v>0</v>
      </c>
      <c r="AE251" s="32">
        <v>0</v>
      </c>
      <c r="AF251" s="32">
        <v>0</v>
      </c>
      <c r="AG251" s="32">
        <v>0</v>
      </c>
      <c r="AH251" s="33">
        <v>0</v>
      </c>
      <c r="AI251" s="31">
        <f t="shared" si="27"/>
        <v>0</v>
      </c>
      <c r="AJ251" s="32">
        <v>0</v>
      </c>
      <c r="AK251" s="32">
        <v>0</v>
      </c>
      <c r="AL251" s="32">
        <v>0</v>
      </c>
      <c r="AM251" s="34">
        <v>0</v>
      </c>
    </row>
    <row r="252" spans="1:39" x14ac:dyDescent="0.3">
      <c r="A252" s="24" t="s">
        <v>339</v>
      </c>
      <c r="B252" s="25" t="s">
        <v>42</v>
      </c>
      <c r="C252" s="25" t="s">
        <v>340</v>
      </c>
      <c r="D252" s="25" t="s">
        <v>178</v>
      </c>
      <c r="E252" s="26" t="s">
        <v>179</v>
      </c>
      <c r="F252" s="27">
        <v>2</v>
      </c>
      <c r="G252" s="28">
        <f t="shared" si="21"/>
        <v>1.25</v>
      </c>
      <c r="H252" s="29">
        <v>0</v>
      </c>
      <c r="I252" s="29">
        <v>5</v>
      </c>
      <c r="J252" s="29">
        <v>0</v>
      </c>
      <c r="K252" s="30">
        <v>0</v>
      </c>
      <c r="L252" s="31">
        <f t="shared" si="22"/>
        <v>0.27653499999999998</v>
      </c>
      <c r="M252" s="32">
        <v>0</v>
      </c>
      <c r="N252" s="32">
        <v>1.1061399999999999</v>
      </c>
      <c r="O252" s="32">
        <v>0</v>
      </c>
      <c r="P252" s="33">
        <v>0</v>
      </c>
      <c r="Q252" s="31">
        <f t="shared" si="23"/>
        <v>8.1799999999999998E-2</v>
      </c>
      <c r="R252" s="32">
        <v>0</v>
      </c>
      <c r="S252" s="32">
        <v>0.32719999999999999</v>
      </c>
      <c r="T252" s="32">
        <v>0</v>
      </c>
      <c r="U252" s="33">
        <v>0</v>
      </c>
      <c r="V252" s="31">
        <f t="shared" si="24"/>
        <v>0.19473499999999999</v>
      </c>
      <c r="W252" s="32">
        <v>0</v>
      </c>
      <c r="X252" s="32">
        <v>0.77893999999999997</v>
      </c>
      <c r="Y252" s="32">
        <v>0</v>
      </c>
      <c r="Z252" s="33">
        <v>0</v>
      </c>
      <c r="AA252" s="31">
        <f t="shared" si="25"/>
        <v>0</v>
      </c>
      <c r="AB252" s="32">
        <v>0</v>
      </c>
      <c r="AC252" s="33">
        <v>0</v>
      </c>
      <c r="AD252" s="31">
        <f t="shared" si="26"/>
        <v>0</v>
      </c>
      <c r="AE252" s="32">
        <v>0</v>
      </c>
      <c r="AF252" s="32">
        <v>0</v>
      </c>
      <c r="AG252" s="32">
        <v>0</v>
      </c>
      <c r="AH252" s="33">
        <v>0</v>
      </c>
      <c r="AI252" s="31">
        <f t="shared" si="27"/>
        <v>0</v>
      </c>
      <c r="AJ252" s="32">
        <v>0</v>
      </c>
      <c r="AK252" s="32">
        <v>0</v>
      </c>
      <c r="AL252" s="32">
        <v>0</v>
      </c>
      <c r="AM252" s="34">
        <v>0</v>
      </c>
    </row>
    <row r="253" spans="1:39" x14ac:dyDescent="0.3">
      <c r="A253" s="24" t="s">
        <v>339</v>
      </c>
      <c r="B253" s="25" t="s">
        <v>42</v>
      </c>
      <c r="C253" s="25" t="s">
        <v>340</v>
      </c>
      <c r="D253" s="25" t="s">
        <v>178</v>
      </c>
      <c r="E253" s="26" t="s">
        <v>230</v>
      </c>
      <c r="F253" s="27">
        <v>38</v>
      </c>
      <c r="G253" s="28">
        <f t="shared" si="21"/>
        <v>95</v>
      </c>
      <c r="H253" s="29">
        <v>101</v>
      </c>
      <c r="I253" s="29">
        <v>140</v>
      </c>
      <c r="J253" s="29">
        <v>79</v>
      </c>
      <c r="K253" s="30">
        <v>60</v>
      </c>
      <c r="L253" s="31">
        <f t="shared" si="22"/>
        <v>53.353427250000003</v>
      </c>
      <c r="M253" s="32">
        <v>48.313752999999991</v>
      </c>
      <c r="N253" s="32">
        <v>86.578630000000018</v>
      </c>
      <c r="O253" s="32">
        <v>45.781874000000002</v>
      </c>
      <c r="P253" s="33">
        <v>28.907717999999999</v>
      </c>
      <c r="Q253" s="31">
        <f t="shared" si="23"/>
        <v>7.7481917499999993</v>
      </c>
      <c r="R253" s="32">
        <v>10.276163</v>
      </c>
      <c r="S253" s="32">
        <v>14.493900999999999</v>
      </c>
      <c r="T253" s="32">
        <v>3.675303</v>
      </c>
      <c r="U253" s="33">
        <v>2.5474000000000001</v>
      </c>
      <c r="V253" s="31">
        <f t="shared" si="24"/>
        <v>37.459046000000001</v>
      </c>
      <c r="W253" s="32">
        <v>34.901147000000002</v>
      </c>
      <c r="X253" s="32">
        <v>60.192785000000001</v>
      </c>
      <c r="Y253" s="32">
        <v>32.825961999999997</v>
      </c>
      <c r="Z253" s="33">
        <v>21.91629</v>
      </c>
      <c r="AA253" s="31">
        <f t="shared" si="25"/>
        <v>1.915867</v>
      </c>
      <c r="AB253" s="32">
        <v>1.5991569999999999</v>
      </c>
      <c r="AC253" s="33">
        <v>2.232577</v>
      </c>
      <c r="AD253" s="31">
        <f t="shared" si="26"/>
        <v>1.2589975</v>
      </c>
      <c r="AE253" s="32">
        <v>0.48728600000000011</v>
      </c>
      <c r="AF253" s="32">
        <v>0.75936700000000001</v>
      </c>
      <c r="AG253" s="32">
        <v>1.9806090000000001</v>
      </c>
      <c r="AH253" s="33">
        <v>1.8087279999999999</v>
      </c>
      <c r="AI253" s="31">
        <f t="shared" si="27"/>
        <v>4.9713250000000047</v>
      </c>
      <c r="AJ253" s="32">
        <v>1.0499999999999921</v>
      </c>
      <c r="AK253" s="32">
        <v>8.9000000000000252</v>
      </c>
      <c r="AL253" s="32">
        <v>7.299999999999998</v>
      </c>
      <c r="AM253" s="34">
        <v>2.6353000000000031</v>
      </c>
    </row>
    <row r="254" spans="1:39" x14ac:dyDescent="0.3">
      <c r="A254" s="24" t="s">
        <v>339</v>
      </c>
      <c r="B254" s="25" t="s">
        <v>42</v>
      </c>
      <c r="C254" s="25" t="s">
        <v>340</v>
      </c>
      <c r="D254" s="25" t="s">
        <v>178</v>
      </c>
      <c r="E254" s="26" t="s">
        <v>231</v>
      </c>
      <c r="F254" s="27">
        <v>3</v>
      </c>
      <c r="G254" s="28">
        <f t="shared" si="21"/>
        <v>15.25</v>
      </c>
      <c r="H254" s="29">
        <v>11</v>
      </c>
      <c r="I254" s="29">
        <v>23</v>
      </c>
      <c r="J254" s="29">
        <v>17</v>
      </c>
      <c r="K254" s="30">
        <v>10</v>
      </c>
      <c r="L254" s="31">
        <f t="shared" si="22"/>
        <v>12.8587925</v>
      </c>
      <c r="M254" s="32">
        <v>5.6354740000000003</v>
      </c>
      <c r="N254" s="32">
        <v>37.079515000000001</v>
      </c>
      <c r="O254" s="32">
        <v>5.1105919999999996</v>
      </c>
      <c r="P254" s="33">
        <v>3.468826</v>
      </c>
      <c r="Q254" s="31">
        <f t="shared" si="23"/>
        <v>3.0079249999999997</v>
      </c>
      <c r="R254" s="32">
        <v>0</v>
      </c>
      <c r="S254" s="32">
        <v>11.03</v>
      </c>
      <c r="T254" s="32">
        <v>1.0017</v>
      </c>
      <c r="U254" s="33">
        <v>0</v>
      </c>
      <c r="V254" s="31">
        <f t="shared" si="24"/>
        <v>9.0979724999999991</v>
      </c>
      <c r="W254" s="32">
        <v>4.1760400000000004</v>
      </c>
      <c r="X254" s="32">
        <v>26.008759999999999</v>
      </c>
      <c r="Y254" s="32">
        <v>3.1794500000000001</v>
      </c>
      <c r="Z254" s="33">
        <v>3.0276399999999999</v>
      </c>
      <c r="AA254" s="31">
        <f t="shared" si="25"/>
        <v>7.03815E-2</v>
      </c>
      <c r="AB254" s="32">
        <v>0.140763</v>
      </c>
      <c r="AC254" s="33">
        <v>0</v>
      </c>
      <c r="AD254" s="31">
        <f t="shared" si="26"/>
        <v>0.36478349999999998</v>
      </c>
      <c r="AE254" s="32">
        <v>0.30647099999999999</v>
      </c>
      <c r="AF254" s="32">
        <v>4.0755E-2</v>
      </c>
      <c r="AG254" s="32">
        <v>0.92944199999999999</v>
      </c>
      <c r="AH254" s="33">
        <v>0.18246599999999999</v>
      </c>
      <c r="AI254" s="31">
        <f t="shared" si="27"/>
        <v>0.31773000000000018</v>
      </c>
      <c r="AJ254" s="32">
        <v>1.0122</v>
      </c>
      <c r="AK254" s="32">
        <v>7.6327832942979512E-16</v>
      </c>
      <c r="AL254" s="32">
        <v>0</v>
      </c>
      <c r="AM254" s="34">
        <v>0.25872000000000012</v>
      </c>
    </row>
    <row r="255" spans="1:39" x14ac:dyDescent="0.3">
      <c r="A255" s="24" t="s">
        <v>339</v>
      </c>
      <c r="B255" s="25" t="s">
        <v>42</v>
      </c>
      <c r="C255" s="25" t="s">
        <v>340</v>
      </c>
      <c r="D255" s="25" t="s">
        <v>178</v>
      </c>
      <c r="E255" s="26" t="s">
        <v>250</v>
      </c>
      <c r="F255" s="27">
        <v>2</v>
      </c>
      <c r="G255" s="28">
        <f t="shared" si="21"/>
        <v>3.25</v>
      </c>
      <c r="H255" s="29">
        <v>7</v>
      </c>
      <c r="I255" s="29">
        <v>3</v>
      </c>
      <c r="J255" s="29">
        <v>1</v>
      </c>
      <c r="K255" s="30">
        <v>2</v>
      </c>
      <c r="L255" s="31">
        <f t="shared" si="22"/>
        <v>1.5669939999999998</v>
      </c>
      <c r="M255" s="32">
        <v>3.7792759999999999</v>
      </c>
      <c r="N255" s="32">
        <v>1.7121900000000001</v>
      </c>
      <c r="O255" s="32">
        <v>0.40131</v>
      </c>
      <c r="P255" s="33">
        <v>0.37519999999999998</v>
      </c>
      <c r="Q255" s="31">
        <f t="shared" si="23"/>
        <v>0.1506275</v>
      </c>
      <c r="R255" s="32">
        <v>0</v>
      </c>
      <c r="S255" s="32">
        <v>0.20119999999999999</v>
      </c>
      <c r="T255" s="32">
        <v>0.40131</v>
      </c>
      <c r="U255" s="33">
        <v>0</v>
      </c>
      <c r="V255" s="31">
        <f t="shared" si="24"/>
        <v>1.3757874999999999</v>
      </c>
      <c r="W255" s="32">
        <v>3.6169600000000002</v>
      </c>
      <c r="X255" s="32">
        <v>1.5109900000000001</v>
      </c>
      <c r="Y255" s="32">
        <v>0</v>
      </c>
      <c r="Z255" s="33">
        <v>0.37519999999999998</v>
      </c>
      <c r="AA255" s="31">
        <f t="shared" si="25"/>
        <v>0</v>
      </c>
      <c r="AB255" s="32">
        <v>0</v>
      </c>
      <c r="AC255" s="33">
        <v>0</v>
      </c>
      <c r="AD255" s="31">
        <f t="shared" si="26"/>
        <v>4.0578999999999997E-2</v>
      </c>
      <c r="AE255" s="32">
        <v>0.16231599999999999</v>
      </c>
      <c r="AF255" s="32">
        <v>0</v>
      </c>
      <c r="AG255" s="32">
        <v>0</v>
      </c>
      <c r="AH255" s="33">
        <v>0</v>
      </c>
      <c r="AI255" s="31">
        <f t="shared" si="27"/>
        <v>0</v>
      </c>
      <c r="AJ255" s="32">
        <v>0</v>
      </c>
      <c r="AK255" s="32">
        <v>0</v>
      </c>
      <c r="AL255" s="32">
        <v>0</v>
      </c>
      <c r="AM255" s="34">
        <v>0</v>
      </c>
    </row>
    <row r="256" spans="1:39" x14ac:dyDescent="0.3">
      <c r="A256" s="24" t="s">
        <v>339</v>
      </c>
      <c r="B256" s="25" t="s">
        <v>42</v>
      </c>
      <c r="C256" s="25" t="s">
        <v>340</v>
      </c>
      <c r="D256" s="25" t="s">
        <v>178</v>
      </c>
      <c r="E256" s="26" t="s">
        <v>251</v>
      </c>
      <c r="F256" s="27">
        <v>9</v>
      </c>
      <c r="G256" s="28">
        <f t="shared" si="21"/>
        <v>30.25</v>
      </c>
      <c r="H256" s="29">
        <v>28</v>
      </c>
      <c r="I256" s="29">
        <v>46</v>
      </c>
      <c r="J256" s="29">
        <v>23</v>
      </c>
      <c r="K256" s="30">
        <v>24</v>
      </c>
      <c r="L256" s="31">
        <f t="shared" si="22"/>
        <v>18.06313725</v>
      </c>
      <c r="M256" s="32">
        <v>17.16958</v>
      </c>
      <c r="N256" s="32">
        <v>24.253689999999999</v>
      </c>
      <c r="O256" s="32">
        <v>11.753534</v>
      </c>
      <c r="P256" s="33">
        <v>15.880696</v>
      </c>
      <c r="Q256" s="31">
        <f t="shared" si="23"/>
        <v>2.7149019999999999</v>
      </c>
      <c r="R256" s="32">
        <v>1.0117499999999999</v>
      </c>
      <c r="S256" s="32">
        <v>4.639068</v>
      </c>
      <c r="T256" s="32">
        <v>2.3136199999999998</v>
      </c>
      <c r="U256" s="33">
        <v>2.8951699999999998</v>
      </c>
      <c r="V256" s="31">
        <f t="shared" si="24"/>
        <v>12.717171500000001</v>
      </c>
      <c r="W256" s="32">
        <v>14.36534</v>
      </c>
      <c r="X256" s="32">
        <v>15.720594</v>
      </c>
      <c r="Y256" s="32">
        <v>8.2561100000000014</v>
      </c>
      <c r="Z256" s="33">
        <v>12.526642000000001</v>
      </c>
      <c r="AA256" s="31">
        <f t="shared" si="25"/>
        <v>1.5975245</v>
      </c>
      <c r="AB256" s="32">
        <v>1.6575040000000001</v>
      </c>
      <c r="AC256" s="33">
        <v>1.5375449999999999</v>
      </c>
      <c r="AD256" s="31">
        <f t="shared" si="26"/>
        <v>0.43137425000000001</v>
      </c>
      <c r="AE256" s="32">
        <v>0.13498599999999999</v>
      </c>
      <c r="AF256" s="32">
        <v>0.35648299999999999</v>
      </c>
      <c r="AG256" s="32">
        <v>0.77514400000000006</v>
      </c>
      <c r="AH256" s="33">
        <v>0.45888400000000001</v>
      </c>
      <c r="AI256" s="31">
        <f t="shared" si="27"/>
        <v>0.6021649999999994</v>
      </c>
      <c r="AJ256" s="32">
        <v>0</v>
      </c>
      <c r="AK256" s="32">
        <v>1.9999999999999989</v>
      </c>
      <c r="AL256" s="32">
        <v>0.40865999999999852</v>
      </c>
      <c r="AM256" s="34">
        <v>0</v>
      </c>
    </row>
    <row r="257" spans="1:39" x14ac:dyDescent="0.3">
      <c r="A257" s="24" t="s">
        <v>339</v>
      </c>
      <c r="B257" s="25" t="s">
        <v>42</v>
      </c>
      <c r="C257" s="25" t="s">
        <v>340</v>
      </c>
      <c r="D257" s="25" t="s">
        <v>178</v>
      </c>
      <c r="E257" s="26" t="s">
        <v>234</v>
      </c>
      <c r="F257" s="27">
        <v>1</v>
      </c>
      <c r="G257" s="28">
        <f t="shared" si="21"/>
        <v>5.5</v>
      </c>
      <c r="H257" s="29">
        <v>4</v>
      </c>
      <c r="I257" s="29">
        <v>5</v>
      </c>
      <c r="J257" s="29">
        <v>8</v>
      </c>
      <c r="K257" s="30">
        <v>5</v>
      </c>
      <c r="L257" s="31">
        <f t="shared" si="22"/>
        <v>5.0112249999999996</v>
      </c>
      <c r="M257" s="32">
        <v>6.0913199999999996</v>
      </c>
      <c r="N257" s="32">
        <v>3.2052200000000002</v>
      </c>
      <c r="O257" s="32">
        <v>4.1276999999999999</v>
      </c>
      <c r="P257" s="33">
        <v>6.62066</v>
      </c>
      <c r="Q257" s="31">
        <f t="shared" si="23"/>
        <v>5.1249999999999997E-2</v>
      </c>
      <c r="R257" s="32">
        <v>0</v>
      </c>
      <c r="S257" s="32">
        <v>0.20499999999999999</v>
      </c>
      <c r="T257" s="32">
        <v>0</v>
      </c>
      <c r="U257" s="33">
        <v>0</v>
      </c>
      <c r="V257" s="31">
        <f t="shared" si="24"/>
        <v>4.9364499999999998</v>
      </c>
      <c r="W257" s="32">
        <v>6.0913199999999996</v>
      </c>
      <c r="X257" s="32">
        <v>3.0002200000000001</v>
      </c>
      <c r="Y257" s="32">
        <v>4.0335999999999999</v>
      </c>
      <c r="Z257" s="33">
        <v>6.62066</v>
      </c>
      <c r="AA257" s="31">
        <f t="shared" si="25"/>
        <v>0</v>
      </c>
      <c r="AB257" s="32">
        <v>0</v>
      </c>
      <c r="AC257" s="33">
        <v>0</v>
      </c>
      <c r="AD257" s="31">
        <f t="shared" si="26"/>
        <v>2.3525000000000001E-2</v>
      </c>
      <c r="AE257" s="32">
        <v>0</v>
      </c>
      <c r="AF257" s="32">
        <v>0</v>
      </c>
      <c r="AG257" s="32">
        <v>9.4100000000000003E-2</v>
      </c>
      <c r="AH257" s="33">
        <v>0</v>
      </c>
      <c r="AI257" s="31">
        <f t="shared" si="27"/>
        <v>0</v>
      </c>
      <c r="AJ257" s="32">
        <v>0</v>
      </c>
      <c r="AK257" s="32">
        <v>0</v>
      </c>
      <c r="AL257" s="32">
        <v>0</v>
      </c>
      <c r="AM257" s="34">
        <v>0</v>
      </c>
    </row>
    <row r="258" spans="1:39" x14ac:dyDescent="0.3">
      <c r="A258" s="24" t="s">
        <v>339</v>
      </c>
      <c r="B258" s="25" t="s">
        <v>42</v>
      </c>
      <c r="C258" s="25" t="s">
        <v>340</v>
      </c>
      <c r="D258" s="25" t="s">
        <v>235</v>
      </c>
      <c r="E258" s="26" t="s">
        <v>236</v>
      </c>
      <c r="F258" s="27">
        <v>13</v>
      </c>
      <c r="G258" s="28">
        <f t="shared" si="21"/>
        <v>47</v>
      </c>
      <c r="H258" s="29">
        <v>22</v>
      </c>
      <c r="I258" s="29">
        <v>73</v>
      </c>
      <c r="J258" s="29">
        <v>56</v>
      </c>
      <c r="K258" s="30">
        <v>37</v>
      </c>
      <c r="L258" s="31">
        <f t="shared" si="22"/>
        <v>39.738400499999997</v>
      </c>
      <c r="M258" s="32">
        <v>12.040706</v>
      </c>
      <c r="N258" s="32">
        <v>64.976898999999989</v>
      </c>
      <c r="O258" s="32">
        <v>47.390132000000001</v>
      </c>
      <c r="P258" s="33">
        <v>33.997100000000003</v>
      </c>
      <c r="Q258" s="31">
        <f t="shared" si="23"/>
        <v>0.97338000000000002</v>
      </c>
      <c r="R258" s="32">
        <v>0.52769999999999995</v>
      </c>
      <c r="S258" s="32">
        <v>0.30199999999999999</v>
      </c>
      <c r="T258" s="32">
        <v>2.7336</v>
      </c>
      <c r="U258" s="33">
        <v>0.33022000000000001</v>
      </c>
      <c r="V258" s="31">
        <f t="shared" si="24"/>
        <v>37.684190749999999</v>
      </c>
      <c r="W258" s="32">
        <v>10.180529999999999</v>
      </c>
      <c r="X258" s="32">
        <v>63.904491999999991</v>
      </c>
      <c r="Y258" s="32">
        <v>44.007390999999991</v>
      </c>
      <c r="Z258" s="33">
        <v>32.644350000000003</v>
      </c>
      <c r="AA258" s="31">
        <f t="shared" si="25"/>
        <v>0.27438249999999997</v>
      </c>
      <c r="AB258" s="32">
        <v>0.27835799999999999</v>
      </c>
      <c r="AC258" s="33">
        <v>0.27040700000000001</v>
      </c>
      <c r="AD258" s="31">
        <f t="shared" si="26"/>
        <v>0.33144724999999997</v>
      </c>
      <c r="AE258" s="32">
        <v>0.25411800000000001</v>
      </c>
      <c r="AF258" s="32">
        <v>0</v>
      </c>
      <c r="AG258" s="32">
        <v>0.44914100000000001</v>
      </c>
      <c r="AH258" s="33">
        <v>0.62252999999999992</v>
      </c>
      <c r="AI258" s="31">
        <f t="shared" si="27"/>
        <v>0.47500000000000053</v>
      </c>
      <c r="AJ258" s="32">
        <v>0.79999999999999982</v>
      </c>
      <c r="AK258" s="32">
        <v>0.49999999999999162</v>
      </c>
      <c r="AL258" s="32">
        <v>0.20000000000000731</v>
      </c>
      <c r="AM258" s="34">
        <v>0.40000000000000341</v>
      </c>
    </row>
    <row r="259" spans="1:39" x14ac:dyDescent="0.3">
      <c r="A259" s="24" t="s">
        <v>339</v>
      </c>
      <c r="B259" s="25" t="s">
        <v>42</v>
      </c>
      <c r="C259" s="25" t="s">
        <v>340</v>
      </c>
      <c r="D259" s="25" t="s">
        <v>235</v>
      </c>
      <c r="E259" s="26" t="s">
        <v>237</v>
      </c>
      <c r="F259" s="27">
        <v>1</v>
      </c>
      <c r="G259" s="28">
        <f t="shared" si="21"/>
        <v>0.25</v>
      </c>
      <c r="H259" s="29">
        <v>1</v>
      </c>
      <c r="I259" s="29">
        <v>0</v>
      </c>
      <c r="J259" s="29">
        <v>0</v>
      </c>
      <c r="K259" s="30">
        <v>0</v>
      </c>
      <c r="L259" s="31">
        <f t="shared" si="22"/>
        <v>2.1677499999999999E-2</v>
      </c>
      <c r="M259" s="32">
        <v>4.3354999999999998E-2</v>
      </c>
      <c r="N259" s="32">
        <v>0</v>
      </c>
      <c r="O259" s="32">
        <v>0</v>
      </c>
      <c r="P259" s="33">
        <v>0</v>
      </c>
      <c r="Q259" s="31">
        <f t="shared" si="23"/>
        <v>0</v>
      </c>
      <c r="R259" s="32">
        <v>0</v>
      </c>
      <c r="S259" s="32">
        <v>0</v>
      </c>
      <c r="T259" s="32">
        <v>0</v>
      </c>
      <c r="U259" s="33">
        <v>0</v>
      </c>
      <c r="V259" s="31">
        <f t="shared" si="24"/>
        <v>0</v>
      </c>
      <c r="W259" s="32">
        <v>0</v>
      </c>
      <c r="X259" s="32">
        <v>0</v>
      </c>
      <c r="Y259" s="32">
        <v>0</v>
      </c>
      <c r="Z259" s="33">
        <v>0</v>
      </c>
      <c r="AA259" s="31">
        <f t="shared" si="25"/>
        <v>2.1677499999999999E-2</v>
      </c>
      <c r="AB259" s="32">
        <v>4.3354999999999998E-2</v>
      </c>
      <c r="AC259" s="33">
        <v>0</v>
      </c>
      <c r="AD259" s="31">
        <f t="shared" si="26"/>
        <v>0</v>
      </c>
      <c r="AE259" s="32">
        <v>0</v>
      </c>
      <c r="AF259" s="32">
        <v>0</v>
      </c>
      <c r="AG259" s="32">
        <v>0</v>
      </c>
      <c r="AH259" s="33">
        <v>0</v>
      </c>
      <c r="AI259" s="31">
        <f t="shared" si="27"/>
        <v>0</v>
      </c>
      <c r="AJ259" s="32">
        <v>0</v>
      </c>
      <c r="AK259" s="32">
        <v>0</v>
      </c>
      <c r="AL259" s="32">
        <v>0</v>
      </c>
      <c r="AM259" s="34">
        <v>0</v>
      </c>
    </row>
    <row r="260" spans="1:39" x14ac:dyDescent="0.3">
      <c r="A260" s="24" t="s">
        <v>339</v>
      </c>
      <c r="B260" s="25" t="s">
        <v>42</v>
      </c>
      <c r="C260" s="25" t="s">
        <v>340</v>
      </c>
      <c r="D260" s="25" t="s">
        <v>235</v>
      </c>
      <c r="E260" s="26" t="s">
        <v>239</v>
      </c>
      <c r="F260" s="27">
        <v>1</v>
      </c>
      <c r="G260" s="28">
        <f t="shared" si="21"/>
        <v>0</v>
      </c>
      <c r="H260" s="29">
        <v>0</v>
      </c>
      <c r="I260" s="29">
        <v>0</v>
      </c>
      <c r="J260" s="29">
        <v>0</v>
      </c>
      <c r="K260" s="30">
        <v>0</v>
      </c>
      <c r="L260" s="31">
        <f t="shared" si="22"/>
        <v>0</v>
      </c>
      <c r="M260" s="32">
        <v>0</v>
      </c>
      <c r="N260" s="32">
        <v>0</v>
      </c>
      <c r="O260" s="32">
        <v>0</v>
      </c>
      <c r="P260" s="33">
        <v>0</v>
      </c>
      <c r="Q260" s="31">
        <f t="shared" si="23"/>
        <v>0</v>
      </c>
      <c r="R260" s="32">
        <v>0</v>
      </c>
      <c r="S260" s="32">
        <v>0</v>
      </c>
      <c r="T260" s="32">
        <v>0</v>
      </c>
      <c r="U260" s="33">
        <v>0</v>
      </c>
      <c r="V260" s="31">
        <f t="shared" si="24"/>
        <v>0</v>
      </c>
      <c r="W260" s="32">
        <v>0</v>
      </c>
      <c r="X260" s="32">
        <v>0</v>
      </c>
      <c r="Y260" s="32">
        <v>0</v>
      </c>
      <c r="Z260" s="33">
        <v>0</v>
      </c>
      <c r="AA260" s="31">
        <f t="shared" si="25"/>
        <v>0</v>
      </c>
      <c r="AB260" s="32">
        <v>0</v>
      </c>
      <c r="AC260" s="33">
        <v>0</v>
      </c>
      <c r="AD260" s="31">
        <f t="shared" si="26"/>
        <v>0</v>
      </c>
      <c r="AE260" s="32">
        <v>0</v>
      </c>
      <c r="AF260" s="32">
        <v>0</v>
      </c>
      <c r="AG260" s="32">
        <v>0</v>
      </c>
      <c r="AH260" s="33">
        <v>0</v>
      </c>
      <c r="AI260" s="31">
        <f t="shared" si="27"/>
        <v>0</v>
      </c>
      <c r="AJ260" s="32">
        <v>0</v>
      </c>
      <c r="AK260" s="32">
        <v>0</v>
      </c>
      <c r="AL260" s="32">
        <v>0</v>
      </c>
      <c r="AM260" s="34">
        <v>0</v>
      </c>
    </row>
    <row r="261" spans="1:39" x14ac:dyDescent="0.3">
      <c r="A261" s="24" t="s">
        <v>339</v>
      </c>
      <c r="B261" s="25" t="s">
        <v>42</v>
      </c>
      <c r="C261" s="25" t="s">
        <v>340</v>
      </c>
      <c r="D261" s="25" t="s">
        <v>235</v>
      </c>
      <c r="E261" s="26" t="s">
        <v>240</v>
      </c>
      <c r="F261" s="27">
        <v>2</v>
      </c>
      <c r="G261" s="28">
        <f t="shared" si="21"/>
        <v>1</v>
      </c>
      <c r="H261" s="29">
        <v>1</v>
      </c>
      <c r="I261" s="29">
        <v>1</v>
      </c>
      <c r="J261" s="29">
        <v>0</v>
      </c>
      <c r="K261" s="30">
        <v>2</v>
      </c>
      <c r="L261" s="31">
        <f t="shared" si="22"/>
        <v>0.35390825000000004</v>
      </c>
      <c r="M261" s="32">
        <v>0.50541999999999998</v>
      </c>
      <c r="N261" s="32">
        <v>0.31086000000000003</v>
      </c>
      <c r="O261" s="32">
        <v>0</v>
      </c>
      <c r="P261" s="33">
        <v>0.59935300000000002</v>
      </c>
      <c r="Q261" s="31">
        <f t="shared" si="23"/>
        <v>0.20407</v>
      </c>
      <c r="R261" s="32">
        <v>0.50541999999999998</v>
      </c>
      <c r="S261" s="32">
        <v>0.31086000000000003</v>
      </c>
      <c r="T261" s="32">
        <v>0</v>
      </c>
      <c r="U261" s="33">
        <v>0</v>
      </c>
      <c r="V261" s="31">
        <f t="shared" si="24"/>
        <v>0.12792500000000001</v>
      </c>
      <c r="W261" s="32">
        <v>0</v>
      </c>
      <c r="X261" s="32">
        <v>0</v>
      </c>
      <c r="Y261" s="32">
        <v>0</v>
      </c>
      <c r="Z261" s="33">
        <v>0.51170000000000004</v>
      </c>
      <c r="AA261" s="31">
        <f t="shared" si="25"/>
        <v>0</v>
      </c>
      <c r="AB261" s="32">
        <v>0</v>
      </c>
      <c r="AC261" s="33">
        <v>0</v>
      </c>
      <c r="AD261" s="31">
        <f t="shared" si="26"/>
        <v>2.1913249999999999E-2</v>
      </c>
      <c r="AE261" s="32">
        <v>0</v>
      </c>
      <c r="AF261" s="32">
        <v>0</v>
      </c>
      <c r="AG261" s="32">
        <v>0</v>
      </c>
      <c r="AH261" s="33">
        <v>8.7652999999999995E-2</v>
      </c>
      <c r="AI261" s="31">
        <f t="shared" si="27"/>
        <v>0</v>
      </c>
      <c r="AJ261" s="32">
        <v>0</v>
      </c>
      <c r="AK261" s="32">
        <v>0</v>
      </c>
      <c r="AL261" s="32">
        <v>0</v>
      </c>
      <c r="AM261" s="34">
        <v>0</v>
      </c>
    </row>
    <row r="262" spans="1:39" x14ac:dyDescent="0.3">
      <c r="A262" s="24" t="s">
        <v>339</v>
      </c>
      <c r="B262" s="25" t="s">
        <v>42</v>
      </c>
      <c r="C262" s="25" t="s">
        <v>340</v>
      </c>
      <c r="D262" s="25" t="s">
        <v>181</v>
      </c>
      <c r="E262" s="26" t="s">
        <v>241</v>
      </c>
      <c r="F262" s="27">
        <v>3</v>
      </c>
      <c r="G262" s="28">
        <f t="shared" si="21"/>
        <v>8.25</v>
      </c>
      <c r="H262" s="29">
        <v>2</v>
      </c>
      <c r="I262" s="29">
        <v>12</v>
      </c>
      <c r="J262" s="29">
        <v>7</v>
      </c>
      <c r="K262" s="30">
        <v>12</v>
      </c>
      <c r="L262" s="31">
        <f t="shared" si="22"/>
        <v>7.1726782499999988</v>
      </c>
      <c r="M262" s="32">
        <v>2.2100680000000001</v>
      </c>
      <c r="N262" s="32">
        <v>8.6517039999999987</v>
      </c>
      <c r="O262" s="32">
        <v>8.4591180000000001</v>
      </c>
      <c r="P262" s="33">
        <v>9.3698230000000002</v>
      </c>
      <c r="Q262" s="31">
        <f t="shared" si="23"/>
        <v>0.86178699999999997</v>
      </c>
      <c r="R262" s="32">
        <v>0.200928</v>
      </c>
      <c r="S262" s="32">
        <v>2.4350200000000002</v>
      </c>
      <c r="T262" s="32">
        <v>0</v>
      </c>
      <c r="U262" s="33">
        <v>0.81120000000000003</v>
      </c>
      <c r="V262" s="31">
        <f t="shared" si="24"/>
        <v>6.2250567499999985</v>
      </c>
      <c r="W262" s="32">
        <v>2.0091399999999999</v>
      </c>
      <c r="X262" s="32">
        <v>6.0567139999999986</v>
      </c>
      <c r="Y262" s="32">
        <v>8.2757500000000004</v>
      </c>
      <c r="Z262" s="33">
        <v>8.558622999999999</v>
      </c>
      <c r="AA262" s="31">
        <f t="shared" si="25"/>
        <v>0</v>
      </c>
      <c r="AB262" s="32">
        <v>0</v>
      </c>
      <c r="AC262" s="33">
        <v>0</v>
      </c>
      <c r="AD262" s="31">
        <f t="shared" si="26"/>
        <v>8.5834500000000008E-2</v>
      </c>
      <c r="AE262" s="32">
        <v>0</v>
      </c>
      <c r="AF262" s="32">
        <v>0.15997</v>
      </c>
      <c r="AG262" s="32">
        <v>0.183368</v>
      </c>
      <c r="AH262" s="33">
        <v>0</v>
      </c>
      <c r="AI262" s="31">
        <f t="shared" si="27"/>
        <v>4.4408920985006252E-16</v>
      </c>
      <c r="AJ262" s="32">
        <v>0</v>
      </c>
      <c r="AK262" s="35">
        <v>0</v>
      </c>
      <c r="AL262" s="32">
        <v>0</v>
      </c>
      <c r="AM262" s="34">
        <v>1.7763568394002501E-15</v>
      </c>
    </row>
    <row r="263" spans="1:39" x14ac:dyDescent="0.3">
      <c r="A263" s="24" t="s">
        <v>339</v>
      </c>
      <c r="B263" s="25" t="s">
        <v>42</v>
      </c>
      <c r="C263" s="25" t="s">
        <v>340</v>
      </c>
      <c r="D263" s="25" t="s">
        <v>181</v>
      </c>
      <c r="E263" s="26" t="s">
        <v>243</v>
      </c>
      <c r="F263" s="27">
        <v>3</v>
      </c>
      <c r="G263" s="28">
        <f t="shared" ref="G263:G269" si="28">SUM(H263:K263)/4</f>
        <v>4.5</v>
      </c>
      <c r="H263" s="29">
        <v>8</v>
      </c>
      <c r="I263" s="29">
        <v>6</v>
      </c>
      <c r="J263" s="29">
        <v>3</v>
      </c>
      <c r="K263" s="30">
        <v>1</v>
      </c>
      <c r="L263" s="31">
        <f t="shared" ref="L263:L269" si="29">Q263+V263+AA263+AD263+AI263</f>
        <v>2.1417147500000002</v>
      </c>
      <c r="M263" s="32">
        <v>4.6558080000000004</v>
      </c>
      <c r="N263" s="32">
        <v>1.9333940000000001</v>
      </c>
      <c r="O263" s="32">
        <v>1.557075</v>
      </c>
      <c r="P263" s="33">
        <v>0.30124000000000001</v>
      </c>
      <c r="Q263" s="31">
        <f t="shared" ref="Q263:Q269" si="30">SUM(R263:U263)/4</f>
        <v>0.11515</v>
      </c>
      <c r="R263" s="32">
        <v>0.24299999999999999</v>
      </c>
      <c r="S263" s="32">
        <v>0.21759999999999999</v>
      </c>
      <c r="T263" s="32">
        <v>0</v>
      </c>
      <c r="U263" s="33">
        <v>0</v>
      </c>
      <c r="V263" s="31">
        <f t="shared" ref="V263:V269" si="31">SUM(W263:Z263)/4</f>
        <v>1.6665699999999999</v>
      </c>
      <c r="W263" s="32">
        <v>4.32864</v>
      </c>
      <c r="X263" s="32">
        <v>1.63554</v>
      </c>
      <c r="Y263" s="32">
        <v>0.40085999999999999</v>
      </c>
      <c r="Z263" s="33">
        <v>0.30124000000000001</v>
      </c>
      <c r="AA263" s="31">
        <f t="shared" ref="AA263:AA269" si="32">SUM(AB263:AC263)/2</f>
        <v>5.9671000000000002E-2</v>
      </c>
      <c r="AB263" s="32">
        <v>3.9087999999999998E-2</v>
      </c>
      <c r="AC263" s="33">
        <v>8.0254000000000006E-2</v>
      </c>
      <c r="AD263" s="31">
        <f t="shared" ref="AD263:AD269" si="33">SUM(AE263:AH263)/4</f>
        <v>5.032375E-2</v>
      </c>
      <c r="AE263" s="32">
        <v>4.5080000000000002E-2</v>
      </c>
      <c r="AF263" s="32">
        <v>0</v>
      </c>
      <c r="AG263" s="32">
        <v>0.15621499999999999</v>
      </c>
      <c r="AH263" s="33">
        <v>0</v>
      </c>
      <c r="AI263" s="31">
        <f t="shared" ref="AI263:AI269" si="34">SUM(AJ263:AM263)/4</f>
        <v>0.25</v>
      </c>
      <c r="AJ263" s="32">
        <v>0</v>
      </c>
      <c r="AK263" s="32">
        <v>4.163336342344337E-17</v>
      </c>
      <c r="AL263" s="32">
        <v>1</v>
      </c>
      <c r="AM263" s="34">
        <v>0</v>
      </c>
    </row>
    <row r="264" spans="1:39" x14ac:dyDescent="0.3">
      <c r="A264" s="24" t="s">
        <v>339</v>
      </c>
      <c r="B264" s="25" t="s">
        <v>42</v>
      </c>
      <c r="C264" s="25" t="s">
        <v>340</v>
      </c>
      <c r="D264" s="25" t="s">
        <v>181</v>
      </c>
      <c r="E264" s="26" t="s">
        <v>254</v>
      </c>
      <c r="F264" s="27">
        <v>1</v>
      </c>
      <c r="G264" s="28">
        <f t="shared" si="28"/>
        <v>4.75</v>
      </c>
      <c r="H264" s="29">
        <v>7</v>
      </c>
      <c r="I264" s="29">
        <v>7</v>
      </c>
      <c r="J264" s="29">
        <v>2</v>
      </c>
      <c r="K264" s="30">
        <v>3</v>
      </c>
      <c r="L264" s="31">
        <f t="shared" si="29"/>
        <v>2.861393500000001</v>
      </c>
      <c r="M264" s="32">
        <v>4.5155419999999999</v>
      </c>
      <c r="N264" s="32">
        <v>4.4129500000000004</v>
      </c>
      <c r="O264" s="32">
        <v>1.0561</v>
      </c>
      <c r="P264" s="33">
        <v>1.33927</v>
      </c>
      <c r="Q264" s="31">
        <f t="shared" si="30"/>
        <v>0.1009125</v>
      </c>
      <c r="R264" s="32">
        <v>0</v>
      </c>
      <c r="S264" s="32">
        <v>0.40365000000000001</v>
      </c>
      <c r="T264" s="32">
        <v>0</v>
      </c>
      <c r="U264" s="33">
        <v>0</v>
      </c>
      <c r="V264" s="31">
        <f t="shared" si="31"/>
        <v>2.6869500000000004</v>
      </c>
      <c r="W264" s="32">
        <v>4.3938300000000003</v>
      </c>
      <c r="X264" s="32">
        <v>4.0092999999999996</v>
      </c>
      <c r="Y264" s="32">
        <v>1.0054000000000001</v>
      </c>
      <c r="Z264" s="33">
        <v>1.33927</v>
      </c>
      <c r="AA264" s="31">
        <f t="shared" si="32"/>
        <v>6.0856E-2</v>
      </c>
      <c r="AB264" s="32">
        <v>0.121712</v>
      </c>
      <c r="AC264" s="33">
        <v>0</v>
      </c>
      <c r="AD264" s="31">
        <f t="shared" si="33"/>
        <v>1.2675000000000001E-2</v>
      </c>
      <c r="AE264" s="32">
        <v>0</v>
      </c>
      <c r="AF264" s="32">
        <v>0</v>
      </c>
      <c r="AG264" s="32">
        <v>5.0700000000000002E-2</v>
      </c>
      <c r="AH264" s="33">
        <v>0</v>
      </c>
      <c r="AI264" s="31">
        <f t="shared" si="34"/>
        <v>2.2204460492503131E-16</v>
      </c>
      <c r="AJ264" s="32">
        <v>0</v>
      </c>
      <c r="AK264" s="32">
        <v>8.8817841970012523E-16</v>
      </c>
      <c r="AL264" s="32">
        <v>0</v>
      </c>
      <c r="AM264" s="34">
        <v>0</v>
      </c>
    </row>
    <row r="265" spans="1:39" x14ac:dyDescent="0.3">
      <c r="A265" s="24" t="s">
        <v>339</v>
      </c>
      <c r="B265" s="25" t="s">
        <v>42</v>
      </c>
      <c r="C265" s="25" t="s">
        <v>340</v>
      </c>
      <c r="D265" s="25" t="s">
        <v>181</v>
      </c>
      <c r="E265" s="26" t="s">
        <v>244</v>
      </c>
      <c r="F265" s="27">
        <v>2</v>
      </c>
      <c r="G265" s="28">
        <f t="shared" si="28"/>
        <v>11.5</v>
      </c>
      <c r="H265" s="29">
        <v>12</v>
      </c>
      <c r="I265" s="29">
        <v>8</v>
      </c>
      <c r="J265" s="29">
        <v>16</v>
      </c>
      <c r="K265" s="30">
        <v>10</v>
      </c>
      <c r="L265" s="31">
        <f t="shared" si="29"/>
        <v>6.0024697500000013</v>
      </c>
      <c r="M265" s="32">
        <v>6.9383900000000001</v>
      </c>
      <c r="N265" s="32">
        <v>5.0807380000000002</v>
      </c>
      <c r="O265" s="32">
        <v>9.7155509999999996</v>
      </c>
      <c r="P265" s="33">
        <v>2.1885469999999998</v>
      </c>
      <c r="Q265" s="31">
        <f t="shared" si="30"/>
        <v>0.70321900000000004</v>
      </c>
      <c r="R265" s="32">
        <v>0</v>
      </c>
      <c r="S265" s="32">
        <v>0.81188400000000005</v>
      </c>
      <c r="T265" s="32">
        <v>2.0009920000000001</v>
      </c>
      <c r="U265" s="33">
        <v>0</v>
      </c>
      <c r="V265" s="31">
        <f t="shared" si="31"/>
        <v>4.5681125000000007</v>
      </c>
      <c r="W265" s="32">
        <v>6.9383900000000001</v>
      </c>
      <c r="X265" s="32">
        <v>2.87419</v>
      </c>
      <c r="Y265" s="32">
        <v>7.0443699999999998</v>
      </c>
      <c r="Z265" s="33">
        <v>1.4155</v>
      </c>
      <c r="AA265" s="31">
        <f t="shared" si="32"/>
        <v>4.3326499999999997E-2</v>
      </c>
      <c r="AB265" s="32">
        <v>0</v>
      </c>
      <c r="AC265" s="33">
        <v>8.6652999999999994E-2</v>
      </c>
      <c r="AD265" s="31">
        <f t="shared" si="33"/>
        <v>0.43395925000000002</v>
      </c>
      <c r="AE265" s="32">
        <v>0</v>
      </c>
      <c r="AF265" s="32">
        <v>0.292601</v>
      </c>
      <c r="AG265" s="32">
        <v>0.67018899999999992</v>
      </c>
      <c r="AH265" s="33">
        <v>0.77304700000000004</v>
      </c>
      <c r="AI265" s="31">
        <f t="shared" si="34"/>
        <v>0.25385250000000026</v>
      </c>
      <c r="AJ265" s="32">
        <v>0</v>
      </c>
      <c r="AK265" s="32">
        <v>1.015410000000001</v>
      </c>
      <c r="AL265" s="32">
        <v>0</v>
      </c>
      <c r="AM265" s="34">
        <v>0</v>
      </c>
    </row>
    <row r="266" spans="1:39" x14ac:dyDescent="0.3">
      <c r="A266" s="24" t="s">
        <v>339</v>
      </c>
      <c r="B266" s="25" t="s">
        <v>42</v>
      </c>
      <c r="C266" s="25" t="s">
        <v>340</v>
      </c>
      <c r="D266" s="25" t="s">
        <v>181</v>
      </c>
      <c r="E266" s="26" t="s">
        <v>257</v>
      </c>
      <c r="F266" s="27">
        <v>3</v>
      </c>
      <c r="G266" s="28">
        <f t="shared" si="28"/>
        <v>17.25</v>
      </c>
      <c r="H266" s="29">
        <v>26</v>
      </c>
      <c r="I266" s="29">
        <v>22</v>
      </c>
      <c r="J266" s="29">
        <v>8</v>
      </c>
      <c r="K266" s="30">
        <v>13</v>
      </c>
      <c r="L266" s="31">
        <f t="shared" si="29"/>
        <v>8.2310344999999998</v>
      </c>
      <c r="M266" s="32">
        <v>11.564260000000001</v>
      </c>
      <c r="N266" s="32">
        <v>11.681278000000001</v>
      </c>
      <c r="O266" s="32">
        <v>4.1327199999999999</v>
      </c>
      <c r="P266" s="33">
        <v>5.4009699999999992</v>
      </c>
      <c r="Q266" s="31">
        <f t="shared" si="30"/>
        <v>1.463897</v>
      </c>
      <c r="R266" s="32">
        <v>1.96408</v>
      </c>
      <c r="S266" s="32">
        <v>3.4162080000000001</v>
      </c>
      <c r="T266" s="32">
        <v>0</v>
      </c>
      <c r="U266" s="33">
        <v>0.47530000000000011</v>
      </c>
      <c r="V266" s="31">
        <f t="shared" si="31"/>
        <v>4.2814649999999999</v>
      </c>
      <c r="W266" s="32">
        <v>6.9647800000000002</v>
      </c>
      <c r="X266" s="32">
        <v>6.6560000000000006</v>
      </c>
      <c r="Y266" s="32">
        <v>1.2827200000000001</v>
      </c>
      <c r="Z266" s="33">
        <v>2.2223600000000001</v>
      </c>
      <c r="AA266" s="31">
        <f t="shared" si="32"/>
        <v>7.2455000000000006E-2</v>
      </c>
      <c r="AB266" s="32">
        <v>0</v>
      </c>
      <c r="AC266" s="33">
        <v>0.14491000000000001</v>
      </c>
      <c r="AD266" s="31">
        <f t="shared" si="33"/>
        <v>2.58275E-2</v>
      </c>
      <c r="AE266" s="32">
        <v>0</v>
      </c>
      <c r="AF266" s="32">
        <v>0</v>
      </c>
      <c r="AG266" s="32">
        <v>0</v>
      </c>
      <c r="AH266" s="33">
        <v>0.10331</v>
      </c>
      <c r="AI266" s="31">
        <f t="shared" si="34"/>
        <v>2.3873900000000008</v>
      </c>
      <c r="AJ266" s="32">
        <v>2.635400000000002</v>
      </c>
      <c r="AK266" s="32">
        <v>1.464160000000001</v>
      </c>
      <c r="AL266" s="32">
        <v>2.85</v>
      </c>
      <c r="AM266" s="34">
        <v>2.5999999999999992</v>
      </c>
    </row>
    <row r="267" spans="1:39" x14ac:dyDescent="0.3">
      <c r="A267" s="24" t="s">
        <v>339</v>
      </c>
      <c r="B267" s="25" t="s">
        <v>42</v>
      </c>
      <c r="C267" s="25" t="s">
        <v>340</v>
      </c>
      <c r="D267" s="25" t="s">
        <v>181</v>
      </c>
      <c r="E267" s="26" t="s">
        <v>182</v>
      </c>
      <c r="F267" s="27">
        <v>13</v>
      </c>
      <c r="G267" s="28">
        <f t="shared" si="28"/>
        <v>60.75</v>
      </c>
      <c r="H267" s="29">
        <v>35</v>
      </c>
      <c r="I267" s="29">
        <v>67</v>
      </c>
      <c r="J267" s="29">
        <v>70</v>
      </c>
      <c r="K267" s="30">
        <v>71</v>
      </c>
      <c r="L267" s="31">
        <f t="shared" si="29"/>
        <v>50.593423750000007</v>
      </c>
      <c r="M267" s="32">
        <v>18.979773000000002</v>
      </c>
      <c r="N267" s="32">
        <v>44.581941</v>
      </c>
      <c r="O267" s="32">
        <v>74.824167000000003</v>
      </c>
      <c r="P267" s="33">
        <v>62.957298000000002</v>
      </c>
      <c r="Q267" s="31">
        <f t="shared" si="30"/>
        <v>3.0130319999999999</v>
      </c>
      <c r="R267" s="32">
        <v>2.2483080000000002</v>
      </c>
      <c r="S267" s="32">
        <v>4.65463</v>
      </c>
      <c r="T267" s="32">
        <v>3.1907899999999998</v>
      </c>
      <c r="U267" s="33">
        <v>1.9583999999999999</v>
      </c>
      <c r="V267" s="31">
        <f t="shared" si="31"/>
        <v>45.546038500000002</v>
      </c>
      <c r="W267" s="32">
        <v>14.462230999999999</v>
      </c>
      <c r="X267" s="32">
        <v>38.168073</v>
      </c>
      <c r="Y267" s="32">
        <v>69.846720000000005</v>
      </c>
      <c r="Z267" s="33">
        <v>59.707129999999999</v>
      </c>
      <c r="AA267" s="31">
        <f t="shared" si="32"/>
        <v>0.51525799999999999</v>
      </c>
      <c r="AB267" s="32">
        <v>0.23016700000000001</v>
      </c>
      <c r="AC267" s="33">
        <v>0.80034899999999998</v>
      </c>
      <c r="AD267" s="31">
        <f t="shared" si="33"/>
        <v>0.63159525000000005</v>
      </c>
      <c r="AE267" s="32">
        <v>0.73906700000000003</v>
      </c>
      <c r="AF267" s="32">
        <v>0.41888900000000001</v>
      </c>
      <c r="AG267" s="32">
        <v>0.67665700000000006</v>
      </c>
      <c r="AH267" s="33">
        <v>0.69176800000000005</v>
      </c>
      <c r="AI267" s="31">
        <f t="shared" si="34"/>
        <v>0.8874999999999994</v>
      </c>
      <c r="AJ267" s="32">
        <v>1.2999999999999989</v>
      </c>
      <c r="AK267" s="32">
        <v>0.54000000000000337</v>
      </c>
      <c r="AL267" s="32">
        <v>1.109999999999991</v>
      </c>
      <c r="AM267" s="34">
        <v>0.60000000000000464</v>
      </c>
    </row>
    <row r="268" spans="1:39" x14ac:dyDescent="0.3">
      <c r="A268" s="24" t="s">
        <v>339</v>
      </c>
      <c r="B268" s="25" t="s">
        <v>42</v>
      </c>
      <c r="C268" s="25" t="s">
        <v>340</v>
      </c>
      <c r="D268" s="25" t="s">
        <v>181</v>
      </c>
      <c r="E268" s="26" t="s">
        <v>245</v>
      </c>
      <c r="F268" s="27">
        <v>1</v>
      </c>
      <c r="G268" s="28">
        <f t="shared" si="28"/>
        <v>1</v>
      </c>
      <c r="H268" s="29">
        <v>0</v>
      </c>
      <c r="I268" s="29">
        <v>3</v>
      </c>
      <c r="J268" s="29">
        <v>1</v>
      </c>
      <c r="K268" s="30">
        <v>0</v>
      </c>
      <c r="L268" s="31">
        <f t="shared" si="29"/>
        <v>0.26028000000000001</v>
      </c>
      <c r="M268" s="32">
        <v>0</v>
      </c>
      <c r="N268" s="32">
        <v>0.88612000000000002</v>
      </c>
      <c r="O268" s="32">
        <v>0.155</v>
      </c>
      <c r="P268" s="33">
        <v>0</v>
      </c>
      <c r="Q268" s="31">
        <f t="shared" si="30"/>
        <v>5.3449999999999998E-2</v>
      </c>
      <c r="R268" s="32">
        <v>0</v>
      </c>
      <c r="S268" s="32">
        <v>0.21379999999999999</v>
      </c>
      <c r="T268" s="32">
        <v>0</v>
      </c>
      <c r="U268" s="33">
        <v>0</v>
      </c>
      <c r="V268" s="31">
        <f t="shared" si="31"/>
        <v>0.20683000000000001</v>
      </c>
      <c r="W268" s="32">
        <v>0</v>
      </c>
      <c r="X268" s="32">
        <v>0.67232000000000003</v>
      </c>
      <c r="Y268" s="32">
        <v>0.155</v>
      </c>
      <c r="Z268" s="33">
        <v>0</v>
      </c>
      <c r="AA268" s="31">
        <f t="shared" si="32"/>
        <v>0</v>
      </c>
      <c r="AB268" s="32">
        <v>0</v>
      </c>
      <c r="AC268" s="33">
        <v>0</v>
      </c>
      <c r="AD268" s="31">
        <f t="shared" si="33"/>
        <v>0</v>
      </c>
      <c r="AE268" s="32">
        <v>0</v>
      </c>
      <c r="AF268" s="32">
        <v>0</v>
      </c>
      <c r="AG268" s="32">
        <v>0</v>
      </c>
      <c r="AH268" s="33">
        <v>0</v>
      </c>
      <c r="AI268" s="31">
        <f t="shared" si="34"/>
        <v>0</v>
      </c>
      <c r="AJ268" s="32">
        <v>0</v>
      </c>
      <c r="AK268" s="32">
        <v>0</v>
      </c>
      <c r="AL268" s="32">
        <v>0</v>
      </c>
      <c r="AM268" s="34">
        <v>0</v>
      </c>
    </row>
    <row r="269" spans="1:39" x14ac:dyDescent="0.3">
      <c r="A269" s="36" t="s">
        <v>339</v>
      </c>
      <c r="B269" s="37" t="s">
        <v>42</v>
      </c>
      <c r="C269" s="37" t="s">
        <v>340</v>
      </c>
      <c r="D269" s="37" t="s">
        <v>181</v>
      </c>
      <c r="E269" s="38" t="s">
        <v>259</v>
      </c>
      <c r="F269" s="39">
        <v>1</v>
      </c>
      <c r="G269" s="40">
        <f t="shared" si="28"/>
        <v>1.75</v>
      </c>
      <c r="H269" s="41">
        <v>1</v>
      </c>
      <c r="I269" s="41">
        <v>2</v>
      </c>
      <c r="J269" s="41">
        <v>2</v>
      </c>
      <c r="K269" s="42">
        <v>2</v>
      </c>
      <c r="L269" s="43">
        <f t="shared" si="29"/>
        <v>1.07494</v>
      </c>
      <c r="M269" s="44">
        <v>1.0095499999999999</v>
      </c>
      <c r="N269" s="44">
        <v>0.97923000000000004</v>
      </c>
      <c r="O269" s="44">
        <v>0.88904000000000005</v>
      </c>
      <c r="P269" s="45">
        <v>1.42194</v>
      </c>
      <c r="Q269" s="43">
        <f t="shared" si="30"/>
        <v>0.20373250000000001</v>
      </c>
      <c r="R269" s="44">
        <v>0</v>
      </c>
      <c r="S269" s="44">
        <v>0.81493000000000004</v>
      </c>
      <c r="T269" s="44">
        <v>0</v>
      </c>
      <c r="U269" s="45">
        <v>0</v>
      </c>
      <c r="V269" s="43">
        <f t="shared" si="31"/>
        <v>0.87120749999999991</v>
      </c>
      <c r="W269" s="44">
        <v>1.0095499999999999</v>
      </c>
      <c r="X269" s="44">
        <v>0.1643</v>
      </c>
      <c r="Y269" s="44">
        <v>0.88904000000000005</v>
      </c>
      <c r="Z269" s="45">
        <v>1.42194</v>
      </c>
      <c r="AA269" s="43">
        <f t="shared" si="32"/>
        <v>0</v>
      </c>
      <c r="AB269" s="44">
        <v>0</v>
      </c>
      <c r="AC269" s="45">
        <v>0</v>
      </c>
      <c r="AD269" s="43">
        <f t="shared" si="33"/>
        <v>0</v>
      </c>
      <c r="AE269" s="44">
        <v>0</v>
      </c>
      <c r="AF269" s="44">
        <v>0</v>
      </c>
      <c r="AG269" s="44">
        <v>0</v>
      </c>
      <c r="AH269" s="45">
        <v>0</v>
      </c>
      <c r="AI269" s="43">
        <f t="shared" si="34"/>
        <v>0</v>
      </c>
      <c r="AJ269" s="44">
        <v>0</v>
      </c>
      <c r="AK269" s="44">
        <v>0</v>
      </c>
      <c r="AL269" s="44">
        <v>0</v>
      </c>
      <c r="AM269" s="46">
        <v>0</v>
      </c>
    </row>
    <row r="270" spans="1:39" x14ac:dyDescent="0.3">
      <c r="F270" s="47">
        <f t="shared" ref="F270:AM270" si="35">SUM(F7:F269)</f>
        <v>6473</v>
      </c>
      <c r="G270" s="47">
        <f t="shared" si="35"/>
        <v>4782.5</v>
      </c>
      <c r="H270" s="47">
        <f t="shared" si="35"/>
        <v>4751</v>
      </c>
      <c r="I270" s="47">
        <f t="shared" si="35"/>
        <v>5275</v>
      </c>
      <c r="J270" s="47">
        <f t="shared" si="35"/>
        <v>4458</v>
      </c>
      <c r="K270" s="47">
        <f t="shared" si="35"/>
        <v>4646</v>
      </c>
      <c r="L270" s="47">
        <f t="shared" si="35"/>
        <v>2843.3358992500016</v>
      </c>
      <c r="M270" s="47">
        <f t="shared" si="35"/>
        <v>2585.3348350000001</v>
      </c>
      <c r="N270" s="47">
        <f t="shared" si="35"/>
        <v>3063.4424150000013</v>
      </c>
      <c r="O270" s="47">
        <f t="shared" si="35"/>
        <v>2760.7014049999984</v>
      </c>
      <c r="P270" s="47">
        <f t="shared" si="35"/>
        <v>2490.9112100000002</v>
      </c>
      <c r="Q270" s="47">
        <f t="shared" si="35"/>
        <v>922.44434650000017</v>
      </c>
      <c r="R270" s="47">
        <f t="shared" si="35"/>
        <v>923.53011700000002</v>
      </c>
      <c r="S270" s="47">
        <f t="shared" si="35"/>
        <v>1016.5370069999998</v>
      </c>
      <c r="T270" s="47">
        <f t="shared" si="35"/>
        <v>959.09357200000068</v>
      </c>
      <c r="U270" s="47">
        <f t="shared" si="35"/>
        <v>790.61669000000018</v>
      </c>
      <c r="V270" s="47">
        <f t="shared" si="35"/>
        <v>1215.2249619999998</v>
      </c>
      <c r="W270" s="47">
        <f t="shared" si="35"/>
        <v>1009.7755399999999</v>
      </c>
      <c r="X270" s="47">
        <f t="shared" si="35"/>
        <v>1465.1250039999995</v>
      </c>
      <c r="Y270" s="47">
        <f t="shared" si="35"/>
        <v>1245.7478430000003</v>
      </c>
      <c r="Z270" s="47">
        <f t="shared" si="35"/>
        <v>1140.2514610000003</v>
      </c>
      <c r="AA270" s="47">
        <f t="shared" si="35"/>
        <v>236.476866</v>
      </c>
      <c r="AB270" s="47">
        <f t="shared" si="35"/>
        <v>282.8925910000001</v>
      </c>
      <c r="AC270" s="47">
        <f t="shared" si="35"/>
        <v>190.06114100000008</v>
      </c>
      <c r="AD270" s="47">
        <f t="shared" si="35"/>
        <v>222.36051474999991</v>
      </c>
      <c r="AE270" s="47">
        <f t="shared" si="35"/>
        <v>96.660926999999958</v>
      </c>
      <c r="AF270" s="47">
        <f t="shared" si="35"/>
        <v>151.96810299999996</v>
      </c>
      <c r="AG270" s="47">
        <f t="shared" si="35"/>
        <v>292.47973999999999</v>
      </c>
      <c r="AH270" s="47">
        <f t="shared" si="35"/>
        <v>348.33328899999987</v>
      </c>
      <c r="AI270" s="47">
        <f t="shared" si="35"/>
        <v>246.82920999999993</v>
      </c>
      <c r="AJ270" s="47">
        <f t="shared" si="35"/>
        <v>272.47566</v>
      </c>
      <c r="AK270" s="47">
        <f t="shared" si="35"/>
        <v>239.75115999999997</v>
      </c>
      <c r="AL270" s="47">
        <f t="shared" si="35"/>
        <v>263.38024999999999</v>
      </c>
      <c r="AM270" s="47">
        <f t="shared" si="35"/>
        <v>211.70976999999993</v>
      </c>
    </row>
  </sheetData>
  <mergeCells count="6">
    <mergeCell ref="A5:A6"/>
    <mergeCell ref="E5:E6"/>
    <mergeCell ref="F5:F6"/>
    <mergeCell ref="D5:D6"/>
    <mergeCell ref="B5:B6"/>
    <mergeCell ref="C5:C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GRM별_지점코드</vt:lpstr>
      <vt:lpstr>상품Data</vt:lpstr>
      <vt:lpstr>백업1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SeongGyu Lee</cp:lastModifiedBy>
  <cp:lastPrinted>2026-03-13T04:36:57Z</cp:lastPrinted>
  <dcterms:created xsi:type="dcterms:W3CDTF">2026-03-12T04:24:48Z</dcterms:created>
  <dcterms:modified xsi:type="dcterms:W3CDTF">2026-07-01T00:33:10Z</dcterms:modified>
</cp:coreProperties>
</file>